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Taxonomia" state="visible" r:id="rId4"/>
    <sheet sheetId="2" name="Listas" state="visible" r:id="rId5"/>
    <sheet sheetId="3" name="Pacientes" state="visible" r:id="rId6"/>
    <sheet sheetId="4" name="Intervenções" state="visible" r:id="rId7"/>
    <sheet sheetId="5" name="Ficha Diária" state="visible" r:id="rId8"/>
    <sheet sheetId="6" name="Indicadores" state="visible" r:id="rId9"/>
    <sheet sheetId="7" name="Menu" state="visible" r:id="rId10"/>
    <sheet sheetId="8" name="Instruções" state="visible" r:id="rId11"/>
  </sheets>
  <definedNames>
    <definedName name="Cat1_Motivos">Taxonomia!$A$2:$A$6</definedName>
    <definedName name="Cat1_Sugestoes">Taxonomia!$B$2:$B$6</definedName>
    <definedName name="Cat2_Motivos">Taxonomia!$C$2:$C$3</definedName>
    <definedName name="Cat2_Sugestoes">Taxonomia!$D$2</definedName>
    <definedName name="Cat3_Motivos">Taxonomia!$E$2:$E$3</definedName>
    <definedName name="Cat3_Sugestoes">Taxonomia!$F$2</definedName>
    <definedName name="Cat4_Motivos">Taxonomia!$G$2:$G$4</definedName>
    <definedName name="Cat4_Sugestoes">Taxonomia!$H$2:$H$5</definedName>
    <definedName name="Cat5_Motivos">Taxonomia!$I$2</definedName>
    <definedName name="Cat5_Sugestoes">Taxonomia!$J$2:$J$3</definedName>
    <definedName name="Cat6_Motivos">Taxonomia!$K$2:$K$5</definedName>
    <definedName name="Cat6_Sugestoes">Taxonomia!$L$2:$L$5</definedName>
    <definedName name="Cat7_Motivos">Taxonomia!$M$2:$M$7</definedName>
    <definedName name="Cat7_Sugestoes">Taxonomia!$N$2:$N$5</definedName>
    <definedName name="Cat8_Motivos">Taxonomia!$O$2:$O$3</definedName>
    <definedName name="Cat8_Sugestoes">Taxonomia!$P$2:$P$3</definedName>
    <definedName name="Cat9_Motivos">Taxonomia!$Q$2:$Q$3</definedName>
    <definedName name="Cat9_Sugestoes">Taxonomia!$R$2:$R$4</definedName>
    <definedName name="Cat10_Motivos">Taxonomia!$S$2:$S$4</definedName>
    <definedName name="Cat10_Sugestoes">Taxonomia!$T$2:$T$4</definedName>
    <definedName name="Cat11_Motivos">Taxonomia!$U$2:$U$7</definedName>
    <definedName name="Cat11_Sugestoes">Taxonomia!$V$2:$V$5</definedName>
    <definedName name="Cat12_Motivos">Taxonomia!$W$2:$W$4</definedName>
    <definedName name="Cat12_Sugestoes">Taxonomia!$X$2:$X$4</definedName>
  </definedNames>
  <calcPr calcId="171027"/>
</workbook>
</file>

<file path=xl/sharedStrings.xml><?xml version="1.0" encoding="utf-8"?>
<sst xmlns="http://schemas.openxmlformats.org/spreadsheetml/2006/main" count="360" uniqueCount="292">
  <si>
    <t>Cat1_Motivos (Dose)</t>
  </si>
  <si>
    <t>Cat1_Sugestoes (Dose)</t>
  </si>
  <si>
    <t>Cat2_Motivos (Dispensação)</t>
  </si>
  <si>
    <t>Cat2_Sugestoes (Dispensação)</t>
  </si>
  <si>
    <t>Cat3_Motivos (Frequência de Administração)</t>
  </si>
  <si>
    <t>Cat3_Sugestoes (Frequência de Administração)</t>
  </si>
  <si>
    <t>Cat4_Motivos (Via / Forma Farmacêutica)</t>
  </si>
  <si>
    <t>Cat4_Sugestoes (Via / Forma Farmacêutica)</t>
  </si>
  <si>
    <t>Cat5_Motivos (Administração por Sonda)</t>
  </si>
  <si>
    <t>Cat5_Sugestoes (Administração por Sonda)</t>
  </si>
  <si>
    <t>Cat6_Motivos (Tempo de Infusão &amp; Diluição)</t>
  </si>
  <si>
    <t>Cat6_Sugestoes (Tempo de Infusão &amp; Diluição)</t>
  </si>
  <si>
    <t>Cat7_Motivos (Indicação &amp; Resposta Terapêutica)</t>
  </si>
  <si>
    <t>Cat7_Sugestoes (Indicação &amp; Resposta Terapêutica)</t>
  </si>
  <si>
    <t>Cat8_Motivos (Exames &amp; Dispositivos)</t>
  </si>
  <si>
    <t>Cat8_Sugestoes (Exames &amp; Dispositivos)</t>
  </si>
  <si>
    <t>Cat9_Motivos (Reação Adversa (RAM))</t>
  </si>
  <si>
    <t>Cat9_Sugestoes (Reação Adversa (RAM))</t>
  </si>
  <si>
    <t>Cat10_Motivos (Incompatibilidade &amp; Interações)</t>
  </si>
  <si>
    <t>Cat10_Sugestoes (Incompatibilidade &amp; Interações)</t>
  </si>
  <si>
    <t>Cat11_Motivos (Gerenciamento de Antimicrobianos (Stewardship))</t>
  </si>
  <si>
    <t>Cat11_Sugestoes (Gerenciamento de Antimicrobianos (Stewardship))</t>
  </si>
  <si>
    <t>Cat12_Motivos (Analgesia Multimodal)</t>
  </si>
  <si>
    <t>Cat12_Sugestoes (Analgesia Multimodal)</t>
  </si>
  <si>
    <t>Necessidade de dose de ataque</t>
  </si>
  <si>
    <t>Fazer dose de ataque</t>
  </si>
  <si>
    <t>Medicamento indisponível</t>
  </si>
  <si>
    <t>Substituir medicamento</t>
  </si>
  <si>
    <t>Frequência aumentada (menor intervalo)</t>
  </si>
  <si>
    <t>Ajustar frequência</t>
  </si>
  <si>
    <t>Via inadequada para condição clínica</t>
  </si>
  <si>
    <t>Substituir forma farmacêutica</t>
  </si>
  <si>
    <t>Administração inadequada por sonda enteral</t>
  </si>
  <si>
    <t>Substituir forma/medicamento/via</t>
  </si>
  <si>
    <t>Tempo de infusão não adequado/ausente</t>
  </si>
  <si>
    <t>Ajustar/incluir tempo de infusão</t>
  </si>
  <si>
    <t>Duplicidade / Sem indicação de uso</t>
  </si>
  <si>
    <t>Suspender/substituir medicamento</t>
  </si>
  <si>
    <t>Ausência de monitoramento terapêutico</t>
  </si>
  <si>
    <t>Solicitar exame lab/imagem/cultura/nível sérico</t>
  </si>
  <si>
    <t>Risco de reação adversa a medicamento</t>
  </si>
  <si>
    <t>Ajustar tempo infusão/diluição</t>
  </si>
  <si>
    <t>Incompatibilidade físico-química</t>
  </si>
  <si>
    <t>Alterar aprazamento / vias diferentes</t>
  </si>
  <si>
    <t>Tempo prolongado / Ausência de ficha ATM</t>
  </si>
  <si>
    <t>Escalonar/Descalonar terapia</t>
  </si>
  <si>
    <t>Ausência de manejo da dor / Sem resposta</t>
  </si>
  <si>
    <t>Incluir terapia / medida não farmacológica</t>
  </si>
  <si>
    <t>Subdose (Literatura)</t>
  </si>
  <si>
    <t>Ajustar dose/frequência</t>
  </si>
  <si>
    <t>Medicamento não padronizado</t>
  </si>
  <si>
    <t>Frequência diminuída (maior intervalo)</t>
  </si>
  <si>
    <t>Critérios para iniciar transição oral</t>
  </si>
  <si>
    <t>Diluir com volume adequado para sonda</t>
  </si>
  <si>
    <t>Indicação de infusão estendida</t>
  </si>
  <si>
    <t>Prescrever infusão estendida</t>
  </si>
  <si>
    <t>Medicamento inadequado à condição</t>
  </si>
  <si>
    <t>Incluir terapia adicional</t>
  </si>
  <si>
    <t>Risco de infecção de cateter / Cateter infectado</t>
  </si>
  <si>
    <t>Remover/trocar cateter / Lockterapia</t>
  </si>
  <si>
    <t>Reação adversa identificada</t>
  </si>
  <si>
    <t>Administrar pré-medicação/hidratação</t>
  </si>
  <si>
    <t>Interação Medicamentosa (Efetividade/Toxicidade)</t>
  </si>
  <si>
    <t>Pausar, lavar via e administrar</t>
  </si>
  <si>
    <t>ATM desnecessário / Resistente (Antibiograma)</t>
  </si>
  <si>
    <t>Risco de delirium e/ou abstinência</t>
  </si>
  <si>
    <t>Ajustar dose/frequência / Associar opção</t>
  </si>
  <si>
    <t>Subdose (Função Renal/PK-PD)</t>
  </si>
  <si>
    <t>Ajustar dose e frequência</t>
  </si>
  <si>
    <t>Forma inadequada para a via</t>
  </si>
  <si>
    <t>Substituir via de administração</t>
  </si>
  <si>
    <t>Volume diluição/reconstituição ausente/inadequado</t>
  </si>
  <si>
    <t>Inserir/ajustar volume de diluição</t>
  </si>
  <si>
    <t>Omissão uso habitual / Condição não tratada</t>
  </si>
  <si>
    <t>Incluir medida não farmacológica</t>
  </si>
  <si>
    <t>Suspender/substituir/incluir terapia</t>
  </si>
  <si>
    <t>Interação Fármaco-Nutriente</t>
  </si>
  <si>
    <t>Administrar em jejum / Pausar dieta</t>
  </si>
  <si>
    <t>Empírico inadequado / Sem cobertura</t>
  </si>
  <si>
    <t>Ajustar dose/frequência/incluir terapia</t>
  </si>
  <si>
    <t>Uso prolongado de analgosedação</t>
  </si>
  <si>
    <t>Iniciar desmame / rodízio / sedativo enteral</t>
  </si>
  <si>
    <t>Sobredose (Literatura)</t>
  </si>
  <si>
    <t>Dose complementar pós-diálise</t>
  </si>
  <si>
    <t>Realizar transição oral</t>
  </si>
  <si>
    <t>Necessidade de restrição hídrica</t>
  </si>
  <si>
    <t>Substituir diluente / Restringir volume</t>
  </si>
  <si>
    <t>Escolha em desacordo com protocolo</t>
  </si>
  <si>
    <t>Ajustar dose e/ou frequência</t>
  </si>
  <si>
    <t>Sem penetração no sítio infeccioso</t>
  </si>
  <si>
    <t>Solicitar/renovar ficha de ATM</t>
  </si>
  <si>
    <t>Sobredose (Função Renal/PK-PD)</t>
  </si>
  <si>
    <t>Medicamento pós-diálise</t>
  </si>
  <si>
    <t>Paciente com alergia</t>
  </si>
  <si>
    <t>Espectro estreito ou amplo em cultura</t>
  </si>
  <si>
    <t>Terapia sem resposta efetiva</t>
  </si>
  <si>
    <t>Ausência de profilaxia cirúrgica/clínica</t>
  </si>
  <si>
    <t>Setor</t>
  </si>
  <si>
    <t>StatusPaciente</t>
  </si>
  <si>
    <t>HemoStatus</t>
  </si>
  <si>
    <t>Ventilacao</t>
  </si>
  <si>
    <t>EstadoNeuro</t>
  </si>
  <si>
    <t>SimNao</t>
  </si>
  <si>
    <t>Dieta</t>
  </si>
  <si>
    <t>Aceitacao</t>
  </si>
  <si>
    <t>Febre</t>
  </si>
  <si>
    <t>Categoria</t>
  </si>
  <si>
    <t>StatusIntervencao</t>
  </si>
  <si>
    <t>Profissional</t>
  </si>
  <si>
    <t>Meses</t>
  </si>
  <si>
    <t>SetorFiltro</t>
  </si>
  <si>
    <t>UTI neo</t>
  </si>
  <si>
    <t>Ativo</t>
  </si>
  <si>
    <t>hemodinamicamente estável</t>
  </si>
  <si>
    <t>Ar Ambiente</t>
  </si>
  <si>
    <t>Confortável</t>
  </si>
  <si>
    <t>Sim</t>
  </si>
  <si>
    <t>Dieta Zero</t>
  </si>
  <si>
    <t>Boa Aceitação</t>
  </si>
  <si>
    <t>Afebril</t>
  </si>
  <si>
    <t>Dose</t>
  </si>
  <si>
    <t>Aceita e implementada</t>
  </si>
  <si>
    <t>Médico</t>
  </si>
  <si>
    <t>1 - Janeiro</t>
  </si>
  <si>
    <t>Todos</t>
  </si>
  <si>
    <t>UTI ped</t>
  </si>
  <si>
    <t>Alta</t>
  </si>
  <si>
    <t>hemodinamicamente instável</t>
  </si>
  <si>
    <t>VMI por TOT</t>
  </si>
  <si>
    <t>Agitado</t>
  </si>
  <si>
    <t>Não</t>
  </si>
  <si>
    <t>Dieta Oral</t>
  </si>
  <si>
    <t>Aceitação Parcial</t>
  </si>
  <si>
    <t>Dispensação</t>
  </si>
  <si>
    <t>Aceita, porém não implementada</t>
  </si>
  <si>
    <t>Residente</t>
  </si>
  <si>
    <t>2 - Fevereiro</t>
  </si>
  <si>
    <t>UCSIN</t>
  </si>
  <si>
    <t>VMI por TQT</t>
  </si>
  <si>
    <t>Comatoso</t>
  </si>
  <si>
    <t>Dieta Oral por Mamadeira</t>
  </si>
  <si>
    <t>Intolerância à Dieta</t>
  </si>
  <si>
    <t>Frequência de Administração</t>
  </si>
  <si>
    <t>Não aceita com justificativa clínica</t>
  </si>
  <si>
    <t>Enfermeiro</t>
  </si>
  <si>
    <t>3 - Março</t>
  </si>
  <si>
    <t>Cateter Nasal</t>
  </si>
  <si>
    <t>Arreativo</t>
  </si>
  <si>
    <t>Dieta Oral por Copinho</t>
  </si>
  <si>
    <t>Via / Forma Farmacêutica</t>
  </si>
  <si>
    <t>Não aceita sem justificativa clínica</t>
  </si>
  <si>
    <t>Técnico de Enfermagem</t>
  </si>
  <si>
    <t>4 - Abril</t>
  </si>
  <si>
    <t>Máscara de Venturi</t>
  </si>
  <si>
    <t>Reativo</t>
  </si>
  <si>
    <t>Dieta Enteral em Bomba de Infusão</t>
  </si>
  <si>
    <t>Administração por Sonda</t>
  </si>
  <si>
    <t>Pendente de resposta</t>
  </si>
  <si>
    <t>Fisioterapeuta</t>
  </si>
  <si>
    <t>5 - Maio</t>
  </si>
  <si>
    <t>VNI/CPAP</t>
  </si>
  <si>
    <t>Dieta Enteral por Gavagem</t>
  </si>
  <si>
    <t>Tempo de Infusão &amp; Diluição</t>
  </si>
  <si>
    <t>Fonoaudiólogo</t>
  </si>
  <si>
    <t>6 - Junho</t>
  </si>
  <si>
    <t>NPT</t>
  </si>
  <si>
    <t>Indicação &amp; Resposta Terapêutica</t>
  </si>
  <si>
    <t>Nutricionista</t>
  </si>
  <si>
    <t>7 - Julho</t>
  </si>
  <si>
    <t>Exames &amp; Dispositivos</t>
  </si>
  <si>
    <t>Outro</t>
  </si>
  <si>
    <t>8 - Agosto</t>
  </si>
  <si>
    <t>Reação Adversa (RAM)</t>
  </si>
  <si>
    <t>9 - Setembro</t>
  </si>
  <si>
    <t>Incompatibilidade &amp; Interações</t>
  </si>
  <si>
    <t>10 - Outubro</t>
  </si>
  <si>
    <t>Gerenciamento de Antimicrobianos (Stewardship)</t>
  </si>
  <si>
    <t>11 - Novembro</t>
  </si>
  <si>
    <t>Analgesia Multimodal</t>
  </si>
  <si>
    <t>12 - Dezembro</t>
  </si>
  <si>
    <t>Nome</t>
  </si>
  <si>
    <t>Prontuário</t>
  </si>
  <si>
    <t>Leito</t>
  </si>
  <si>
    <t>Status</t>
  </si>
  <si>
    <t>Data Admissão</t>
  </si>
  <si>
    <t>Data Alta</t>
  </si>
  <si>
    <t>Diagnóstico</t>
  </si>
  <si>
    <t>Reconciliação Realizada?</t>
  </si>
  <si>
    <t>M.L.C.A.</t>
  </si>
  <si>
    <t>PED-8942</t>
  </si>
  <si>
    <t>UTIP-04</t>
  </si>
  <si>
    <t>2026-05-10</t>
  </si>
  <si>
    <t/>
  </si>
  <si>
    <t>Bronquiolite Viral Aguda Grave</t>
  </si>
  <si>
    <t>J.S.O.</t>
  </si>
  <si>
    <t>PED-7731</t>
  </si>
  <si>
    <t>UTIN-02</t>
  </si>
  <si>
    <t>2026-04-02</t>
  </si>
  <si>
    <t>2026-04-20</t>
  </si>
  <si>
    <t>Sepse neonatal precoce</t>
  </si>
  <si>
    <t>A.B.C.</t>
  </si>
  <si>
    <t>UCS-3310</t>
  </si>
  <si>
    <t>UCS-01</t>
  </si>
  <si>
    <t>2026-05-18</t>
  </si>
  <si>
    <t>Prematuridade extrema</t>
  </si>
  <si>
    <t>Data</t>
  </si>
  <si>
    <t>Nome (herdado)</t>
  </si>
  <si>
    <t>Setor (herdado)</t>
  </si>
  <si>
    <t>Motivo (Intervenção)</t>
  </si>
  <si>
    <t>Recomendação Farmacêutica</t>
  </si>
  <si>
    <t>Descrição Adicional (opcional)</t>
  </si>
  <si>
    <t>Status da Intervenção</t>
  </si>
  <si>
    <t>Profissional Contatado</t>
  </si>
  <si>
    <t>Texto Resumo (auxiliar)</t>
  </si>
  <si>
    <t>2026-05-14</t>
  </si>
  <si>
    <t>Ajuste renal do antimicrobiano recomendado.</t>
  </si>
  <si>
    <t>2026-04-03</t>
  </si>
  <si>
    <t>Leito (herdado)</t>
  </si>
  <si>
    <t>Status Paciente (herdado)</t>
  </si>
  <si>
    <t>Medicamentos de Uso Prévio (texto livre)</t>
  </si>
  <si>
    <t>Histórico de Alergia/RAM (texto livre)</t>
  </si>
  <si>
    <t>Status Hemodinâmico</t>
  </si>
  <si>
    <t>Drogas Vasoativas (texto livre)</t>
  </si>
  <si>
    <t>Suporte Ventilatório</t>
  </si>
  <si>
    <t>Parâmetros Ventilatórios (FiO2/PEEP)</t>
  </si>
  <si>
    <t>Estado Neurológico</t>
  </si>
  <si>
    <t>Sedoanalgesia (texto livre)</t>
  </si>
  <si>
    <t>Aceitação</t>
  </si>
  <si>
    <t>Observação Dieta/Aceitação</t>
  </si>
  <si>
    <t>Detalhe Febre (Tmax / episódios)</t>
  </si>
  <si>
    <t>Função Renal (Cr/Ur/Diurese)</t>
  </si>
  <si>
    <t>Ajuste Renal?</t>
  </si>
  <si>
    <t>Antimicrobiano(s) (texto livre)</t>
  </si>
  <si>
    <t>Profilaxia TEV</t>
  </si>
  <si>
    <t>Profilaxia LAMG</t>
  </si>
  <si>
    <t>Profilaxia Úlcera de Córnea</t>
  </si>
  <si>
    <t>Corticoide / DART (texto livre)</t>
  </si>
  <si>
    <t>Plano Terapêutico</t>
  </si>
  <si>
    <t>Conduta 1 (auxiliar)</t>
  </si>
  <si>
    <t>Conduta 2 (auxiliar)</t>
  </si>
  <si>
    <t>Conduta 3 (auxiliar)</t>
  </si>
  <si>
    <t>RECONCILIAÇÃO MEDICAMENTOSA (fórmula)</t>
  </si>
  <si>
    <t>EVOLUÇÃO GERADA (fórmula automática)</t>
  </si>
  <si>
    <t>Losartana 25mg 1x/dia; Sinvastatina 20mg à noite</t>
  </si>
  <si>
    <t>Alergia a Dipirona (relato de rash cutâneo)</t>
  </si>
  <si>
    <t>Noradrenalina 0.15 mcg/kg/min</t>
  </si>
  <si>
    <t>FiO2 40% | PEEP 7,0</t>
  </si>
  <si>
    <t>Dexmedetomidina 0.4 mcg/kg/h</t>
  </si>
  <si>
    <t>Tmax 38.4°C, 2 episódios</t>
  </si>
  <si>
    <t>Cr 1.8 mg/dL, Ur 82 mg/dL, Diurese 0.6 mL/kg/h</t>
  </si>
  <si>
    <t>Piperacilina + Tazobactam 4.5g IV 6/6h (DTA 2)</t>
  </si>
  <si>
    <t>Enoxaparina 40mg SC</t>
  </si>
  <si>
    <t>Omeprazol 40mg IV</t>
  </si>
  <si>
    <t>Vidisic gel</t>
  </si>
  <si>
    <t>Mantenho acompanhamento farmacoterapêutico diário. Monitoro função renal e ajusto doses conforme necessário.</t>
  </si>
  <si>
    <t>Indicadores da Farmácia Clínica</t>
  </si>
  <si>
    <t>Mês</t>
  </si>
  <si>
    <t>Ano</t>
  </si>
  <si>
    <t>Mês (nº) [aux]</t>
  </si>
  <si>
    <t>Data Início [aux]</t>
  </si>
  <si>
    <t>Data Fim [aux]</t>
  </si>
  <si>
    <t>Indicadores do Período (Intervenções)</t>
  </si>
  <si>
    <t>Intervenções por Categoria (período/setor filtrado)</t>
  </si>
  <si>
    <t>Total de Intervenções</t>
  </si>
  <si>
    <t>Contagem</t>
  </si>
  <si>
    <t>Intervenções Aceitas</t>
  </si>
  <si>
    <t>Taxa de Aceitação (%)</t>
  </si>
  <si>
    <t>Pacientes Ativos Cadastrados</t>
  </si>
  <si>
    <t>Pacientes com Alta</t>
  </si>
  <si>
    <t>Pacientes Reconciliados (total, sem filtro de data)</t>
  </si>
  <si>
    <t>⚠ Esta aba ainda vai ser reorganizada com base nos exemplos que você vai enviar.</t>
  </si>
  <si>
    <t>FARMÁCIA CLÍNICA — HMAF</t>
  </si>
  <si>
    <t>Clique em um botão para ir direto à aba</t>
  </si>
  <si>
    <t>Fluxo sugerido: 1) Cadastre em Pacientes → 2) Preencha a Ficha Diária → 3) Registre em Intervenções → 4) Acompanhe em Indicadores.</t>
  </si>
  <si>
    <t>COMO USAR — VERSÃO 5</t>
  </si>
  <si>
    <t>Novidades desta versão:</t>
  </si>
  <si>
    <t>• Aba "Menu": botões coloridos que levam direto pra cada aba.</t>
  </si>
  <si>
    <t>• Suporte Ventilatório já traz "VMI por TOT" e "VMI por TQT" prontos na lista.</t>
  </si>
  <si>
    <t>• Dieta agora é uma lista única já combinando tipo + via (ex: "Dieta Oral por Mamadeira").</t>
  </si>
  <si>
    <t>• Profilaxias voltaram a ser 3 colunas separadas: TEV, LAMG e Úlcera de Córnea.</t>
  </si>
  <si>
    <t>• Novos campos na Ficha Diária: Medicamentos de Uso Prévio e Histórico de Alergia/RAM — e uma coluna de RECONCILIAÇÃO MEDICAMENTOSA que já monta o texto sozinha a partir desses dois campos.</t>
  </si>
  <si>
    <t>• A aba "Intervenções" agora tem listas em cascata de verdade: escolha a Categoria, e as opções de Motivo e Recomendação mudam sozinhas para as da taxonomia daquela categoria (16 categorias, igual ao app).</t>
  </si>
  <si>
    <t>• A pergunta "Reconciliação Realizada?" saiu de Intervenções e foi para a aba Pacientes (é uma informação do paciente, não de cada intervenção).</t>
  </si>
  <si>
    <t>• CORRIGIDO: a coluna de Evolução Gerada não estava funcionando porque a fórmula anterior usava a função FILTER, que depende da versão do Excel/Sheets. Troquei por uma técnica com AGGREGATE, compatível com qualquer versão (Excel 2010 em diante e Google Sheets).</t>
  </si>
  <si>
    <t>Fluxo de uso:</t>
  </si>
  <si>
    <t>1. Cadastre o paciente em "Pacientes" (inclua se já tem reconciliação feita).</t>
  </si>
  <si>
    <t>2. Todo dia, adicione uma linha em "Ficha Diária" com o Prontuário — os dados do paciente vêm sozinhos.</t>
  </si>
  <si>
    <t>3. Quando fizer uma intervenção, registre em "Intervenções" (mesmo Prontuário, mesma Data do dia).</t>
  </si>
  <si>
    <t>4. A evolução do dia (com reconciliação + evolução clínica + conduta do dia + plano) já sai pronta na última coluna da Ficha Diária.</t>
  </si>
  <si>
    <t>5. Acompanhe os números em "Indicadores" — essa aba ainda vai ser reorganizada com base nos exemplos que você for mandar.</t>
  </si>
  <si>
    <t>Colunas com fundo cinza-azulado e texto em itálico = "herdadas" (vêm de outra aba por fórmula, não edite direto ali).</t>
  </si>
  <si>
    <t>Colunas com fundo lilás no cabeçalho = têm lista suspensa.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</si>
</sst>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7" x14ac:knownFonts="1">
    <font>
      <color theme="1"/>
      <family val="2"/>
      <scheme val="minor"/>
      <sz val="11"/>
      <name val="Calibri"/>
    </font>
    <font>
      <b/>
      <color rgb="FF2563EB"/>
    </font>
    <font>
      <b/>
      <color rgb="FFFFFFFF"/>
      <sz val="10"/>
    </font>
    <font>
      <i/>
      <color rgb="FF6B7690"/>
    </font>
    <font>
      <b/>
      <color rgb="FF2563EB"/>
      <sz val="15"/>
    </font>
    <font>
      <b/>
    </font>
    <font>
      <b/>
      <color rgb="FFFFFFFF"/>
    </font>
    <font>
      <i/>
      <color rgb="FF4B615D"/>
      <sz val="9"/>
    </font>
    <font>
      <b/>
      <color rgb="FF2563EB"/>
      <sz val="13"/>
    </font>
    <font>
      <b/>
      <color rgb="FF2563EB"/>
      <sz val="12"/>
    </font>
    <font>
      <b/>
      <color rgb="FF2563EB"/>
      <sz val="14"/>
    </font>
    <font>
      <i/>
      <color rgb="FFB45309"/>
      <sz val="10"/>
    </font>
    <font>
      <b/>
      <color rgb="FF2563EB"/>
      <sz val="20"/>
    </font>
    <font>
      <i/>
      <color rgb="FF4B615D"/>
      <sz val="11"/>
    </font>
    <font>
      <b/>
      <color rgb="FFFFFFFF"/>
      <sz val="16"/>
    </font>
    <font>
      <i/>
      <color rgb="FF4B615D"/>
      <sz val="10"/>
    </font>
    <font>
      <b/>
      <color rgb="FF166534"/>
    </font>
  </fonts>
  <fills count="11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8B5CF6"/>
      </patternFill>
    </fill>
    <fill>
      <patternFill patternType="solid">
        <fgColor rgb="FFF4F6FA"/>
      </patternFill>
    </fill>
    <fill>
      <patternFill patternType="solid">
        <fgColor rgb="FF6B7FE0"/>
      </patternFill>
    </fill>
    <fill>
      <patternFill patternType="solid">
        <fgColor rgb="FFEAF1FE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C2410C"/>
      </patternFill>
    </fill>
    <fill>
      <patternFill patternType="solid">
        <fgColor rgb="FF6D28D9"/>
      </patternFill>
    </fill>
  </fills>
  <borders count="4">
    <border>
      <left/>
      <right/>
      <top/>
      <bottom/>
      <diagonal/>
    </border>
    <border>
      <left style="thin">
        <color rgb="FFD7DEEA"/>
      </left>
      <right style="thin">
        <color rgb="FFD7DEEA"/>
      </right>
      <top style="thin">
        <color rgb="FFD7DEEA"/>
      </top>
      <bottom style="medium">
        <color rgb="FF1D4ED8"/>
      </bottom>
      <diagonal/>
    </border>
    <border>
      <left style="thin">
        <color rgb="FFD7DEEA"/>
      </left>
      <right style="thin">
        <color rgb="FFD7DEEA"/>
      </right>
      <top style="thin">
        <color rgb="FFD7DEEA"/>
      </top>
      <bottom style="thin">
        <color rgb="FFD7DEEA"/>
      </bottom>
      <diagonal/>
    </border>
    <border>
      <left/>
      <right/>
      <top/>
      <bottom style="thin">
        <color rgb="FFD7DEE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3" fillId="4" borderId="2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3" borderId="2" xfId="0" applyFont="1" applyFill="1" applyBorder="1"/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5" fillId="0" borderId="3" xfId="0" applyFont="1" applyBorder="1"/>
    <xf numFmtId="0" fontId="10" fillId="0" borderId="3" xfId="0" applyFont="1" applyBorder="1"/>
    <xf numFmtId="0" fontId="0" fillId="0" borderId="3" xfId="0" applyBorder="1"/>
    <xf numFmtId="0" fontId="0" fillId="6" borderId="3" xfId="0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0" borderId="0" xfId="0" applyFont="1"/>
    <xf numFmtId="0" fontId="10" fillId="0" borderId="0" xfId="0" applyFont="1"/>
    <xf numFmtId="0" fontId="16" fillId="0" borderId="0" xfId="0" applyFont="1"/>
  </cellXfs>
  <cellStyles count="1">
    <cellStyle name="Normal" xfId="0" builtinId="0"/>
  </cellStyles>
  <dxfs count="8">
    <dxf>
      <fill>
        <patternFill patternType="solid">
          <bgColor rgb="FFEAF1FE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7E9E7"/>
        </patternFill>
      </fill>
    </dxf>
    <dxf>
      <fill>
        <patternFill patternType="solid">
          <bgColor rgb="FFEAF1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CE7E7"/>
        </patternFill>
      </fill>
    </dxf>
    <dxf>
      <fill>
        <patternFill patternType="solid">
          <bgColor rgb="FFEAF1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X7"/>
  <sheetFormatPr defaultRowHeight="15" outlineLevelRow="0" outlineLevelCol="0" x14ac:dyDescent="55"/>
  <cols>
    <col min="1" max="24" width="42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50</v>
      </c>
      <c r="E3" t="s">
        <v>51</v>
      </c>
      <c r="G3" t="s">
        <v>52</v>
      </c>
      <c r="H3" t="s">
        <v>27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37</v>
      </c>
      <c r="W3" t="s">
        <v>65</v>
      </c>
      <c r="X3" t="s">
        <v>66</v>
      </c>
    </row>
    <row r="4" spans="1:24" x14ac:dyDescent="0.25">
      <c r="A4" t="s">
        <v>67</v>
      </c>
      <c r="B4" t="s">
        <v>68</v>
      </c>
      <c r="G4" t="s">
        <v>69</v>
      </c>
      <c r="H4" t="s">
        <v>70</v>
      </c>
      <c r="K4" t="s">
        <v>71</v>
      </c>
      <c r="L4" t="s">
        <v>72</v>
      </c>
      <c r="M4" t="s">
        <v>73</v>
      </c>
      <c r="N4" t="s">
        <v>74</v>
      </c>
      <c r="R4" t="s">
        <v>75</v>
      </c>
      <c r="S4" t="s">
        <v>76</v>
      </c>
      <c r="T4" t="s">
        <v>77</v>
      </c>
      <c r="U4" t="s">
        <v>78</v>
      </c>
      <c r="V4" t="s">
        <v>79</v>
      </c>
      <c r="W4" t="s">
        <v>80</v>
      </c>
      <c r="X4" t="s">
        <v>81</v>
      </c>
    </row>
    <row r="5" spans="1:22" x14ac:dyDescent="0.25">
      <c r="A5" t="s">
        <v>82</v>
      </c>
      <c r="B5" t="s">
        <v>83</v>
      </c>
      <c r="H5" t="s">
        <v>84</v>
      </c>
      <c r="K5" t="s">
        <v>85</v>
      </c>
      <c r="L5" t="s">
        <v>86</v>
      </c>
      <c r="M5" t="s">
        <v>87</v>
      </c>
      <c r="N5" t="s">
        <v>88</v>
      </c>
      <c r="U5" t="s">
        <v>89</v>
      </c>
      <c r="V5" t="s">
        <v>90</v>
      </c>
    </row>
    <row r="6" spans="1:21" x14ac:dyDescent="0.25">
      <c r="A6" t="s">
        <v>91</v>
      </c>
      <c r="B6" t="s">
        <v>92</v>
      </c>
      <c r="M6" t="s">
        <v>93</v>
      </c>
      <c r="U6" t="s">
        <v>94</v>
      </c>
    </row>
    <row r="7" spans="13:21" x14ac:dyDescent="0.25">
      <c r="M7" t="s">
        <v>95</v>
      </c>
      <c r="U7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N13"/>
  <sheetFormatPr defaultRowHeight="15" outlineLevelRow="0" outlineLevelCol="0" x14ac:dyDescent="55"/>
  <cols>
    <col min="1" max="14" width="44" customWidth="1"/>
  </cols>
  <sheetData>
    <row r="1" spans="1:14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</row>
    <row r="2" spans="1:14" x14ac:dyDescent="0.2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</row>
    <row r="3" spans="1:14" x14ac:dyDescent="0.25">
      <c r="A3" t="s">
        <v>125</v>
      </c>
      <c r="B3" t="s">
        <v>126</v>
      </c>
      <c r="C3" t="s">
        <v>127</v>
      </c>
      <c r="D3" t="s">
        <v>128</v>
      </c>
      <c r="E3" t="s">
        <v>129</v>
      </c>
      <c r="F3" t="s">
        <v>130</v>
      </c>
      <c r="G3" t="s">
        <v>131</v>
      </c>
      <c r="H3" t="s">
        <v>132</v>
      </c>
      <c r="I3" t="s">
        <v>105</v>
      </c>
      <c r="J3" t="s">
        <v>133</v>
      </c>
      <c r="K3" t="s">
        <v>134</v>
      </c>
      <c r="L3" t="s">
        <v>135</v>
      </c>
      <c r="M3" t="s">
        <v>136</v>
      </c>
      <c r="N3" t="s">
        <v>111</v>
      </c>
    </row>
    <row r="4" spans="1:14" x14ac:dyDescent="0.25">
      <c r="A4" t="s">
        <v>137</v>
      </c>
      <c r="D4" t="s">
        <v>138</v>
      </c>
      <c r="E4" t="s">
        <v>139</v>
      </c>
      <c r="G4" t="s">
        <v>140</v>
      </c>
      <c r="H4" t="s">
        <v>141</v>
      </c>
      <c r="J4" t="s">
        <v>142</v>
      </c>
      <c r="K4" t="s">
        <v>143</v>
      </c>
      <c r="L4" t="s">
        <v>144</v>
      </c>
      <c r="M4" t="s">
        <v>145</v>
      </c>
      <c r="N4" t="s">
        <v>125</v>
      </c>
    </row>
    <row r="5" spans="4:14" x14ac:dyDescent="0.25">
      <c r="D5" t="s">
        <v>146</v>
      </c>
      <c r="E5" t="s">
        <v>147</v>
      </c>
      <c r="G5" t="s">
        <v>148</v>
      </c>
      <c r="J5" t="s">
        <v>149</v>
      </c>
      <c r="K5" t="s">
        <v>150</v>
      </c>
      <c r="L5" t="s">
        <v>151</v>
      </c>
      <c r="M5" t="s">
        <v>152</v>
      </c>
      <c r="N5" t="s">
        <v>137</v>
      </c>
    </row>
    <row r="6" spans="4:13" x14ac:dyDescent="0.25">
      <c r="D6" t="s">
        <v>153</v>
      </c>
      <c r="E6" t="s">
        <v>154</v>
      </c>
      <c r="G6" t="s">
        <v>155</v>
      </c>
      <c r="J6" t="s">
        <v>156</v>
      </c>
      <c r="K6" t="s">
        <v>157</v>
      </c>
      <c r="L6" t="s">
        <v>158</v>
      </c>
      <c r="M6" t="s">
        <v>159</v>
      </c>
    </row>
    <row r="7" spans="4:13" x14ac:dyDescent="0.25">
      <c r="D7" t="s">
        <v>160</v>
      </c>
      <c r="G7" t="s">
        <v>161</v>
      </c>
      <c r="J7" t="s">
        <v>162</v>
      </c>
      <c r="L7" t="s">
        <v>163</v>
      </c>
      <c r="M7" t="s">
        <v>164</v>
      </c>
    </row>
    <row r="8" spans="7:13" x14ac:dyDescent="0.25">
      <c r="G8" t="s">
        <v>165</v>
      </c>
      <c r="J8" t="s">
        <v>166</v>
      </c>
      <c r="L8" t="s">
        <v>167</v>
      </c>
      <c r="M8" t="s">
        <v>168</v>
      </c>
    </row>
    <row r="9" spans="10:13" x14ac:dyDescent="0.25">
      <c r="J9" t="s">
        <v>169</v>
      </c>
      <c r="L9" t="s">
        <v>170</v>
      </c>
      <c r="M9" t="s">
        <v>171</v>
      </c>
    </row>
    <row r="10" spans="10:13" x14ac:dyDescent="0.25">
      <c r="J10" t="s">
        <v>172</v>
      </c>
      <c r="M10" t="s">
        <v>173</v>
      </c>
    </row>
    <row r="11" spans="10:13" x14ac:dyDescent="0.25">
      <c r="J11" t="s">
        <v>174</v>
      </c>
      <c r="M11" t="s">
        <v>175</v>
      </c>
    </row>
    <row r="12" spans="10:13" x14ac:dyDescent="0.25">
      <c r="J12" t="s">
        <v>176</v>
      </c>
      <c r="M12" t="s">
        <v>177</v>
      </c>
    </row>
    <row r="13" spans="10:13" x14ac:dyDescent="0.25">
      <c r="J13" t="s">
        <v>178</v>
      </c>
      <c r="M13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I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4" width="12" customWidth="1"/>
    <col min="5" max="5" width="10" customWidth="1"/>
    <col min="6" max="6" width="15" customWidth="1"/>
    <col min="7" max="7" width="13" customWidth="1"/>
    <col min="8" max="8" width="32" customWidth="1"/>
    <col min="9" max="9" width="18" customWidth="1"/>
  </cols>
  <sheetData>
    <row r="1" ht="40" customHeight="1" spans="1:9" x14ac:dyDescent="0.25">
      <c r="A1" s="2" t="s">
        <v>180</v>
      </c>
      <c r="B1" s="2" t="s">
        <v>181</v>
      </c>
      <c r="C1" s="3" t="s">
        <v>97</v>
      </c>
      <c r="D1" s="2" t="s">
        <v>182</v>
      </c>
      <c r="E1" s="3" t="s">
        <v>183</v>
      </c>
      <c r="F1" s="2" t="s">
        <v>184</v>
      </c>
      <c r="G1" s="2" t="s">
        <v>185</v>
      </c>
      <c r="H1" s="2" t="s">
        <v>186</v>
      </c>
      <c r="I1" s="3" t="s">
        <v>187</v>
      </c>
    </row>
    <row r="2" spans="1:9" x14ac:dyDescent="0.25">
      <c r="A2" s="4" t="s">
        <v>188</v>
      </c>
      <c r="B2" s="4" t="s">
        <v>189</v>
      </c>
      <c r="C2" s="4" t="s">
        <v>125</v>
      </c>
      <c r="D2" s="4" t="s">
        <v>190</v>
      </c>
      <c r="E2" s="4" t="s">
        <v>112</v>
      </c>
      <c r="F2" s="5" t="s">
        <v>191</v>
      </c>
      <c r="G2" s="5" t="s">
        <v>192</v>
      </c>
      <c r="H2" s="4" t="s">
        <v>193</v>
      </c>
      <c r="I2" s="4" t="s">
        <v>116</v>
      </c>
    </row>
    <row r="3" spans="1:9" x14ac:dyDescent="0.25">
      <c r="A3" s="4" t="s">
        <v>194</v>
      </c>
      <c r="B3" s="4" t="s">
        <v>195</v>
      </c>
      <c r="C3" s="4" t="s">
        <v>111</v>
      </c>
      <c r="D3" s="4" t="s">
        <v>196</v>
      </c>
      <c r="E3" s="4" t="s">
        <v>126</v>
      </c>
      <c r="F3" s="5" t="s">
        <v>197</v>
      </c>
      <c r="G3" s="5" t="s">
        <v>198</v>
      </c>
      <c r="H3" s="4" t="s">
        <v>199</v>
      </c>
      <c r="I3" s="4" t="s">
        <v>130</v>
      </c>
    </row>
    <row r="4" spans="1:9" x14ac:dyDescent="0.25">
      <c r="A4" s="4" t="s">
        <v>200</v>
      </c>
      <c r="B4" s="4" t="s">
        <v>201</v>
      </c>
      <c r="C4" s="4" t="s">
        <v>137</v>
      </c>
      <c r="D4" s="4" t="s">
        <v>202</v>
      </c>
      <c r="E4" s="4" t="s">
        <v>112</v>
      </c>
      <c r="F4" s="5" t="s">
        <v>203</v>
      </c>
      <c r="G4" s="5" t="s">
        <v>192</v>
      </c>
      <c r="H4" s="4" t="s">
        <v>204</v>
      </c>
      <c r="I4" s="4" t="s">
        <v>116</v>
      </c>
    </row>
    <row r="5" spans="1:9" x14ac:dyDescent="0.25">
      <c r="A5" s="4"/>
      <c r="B5" s="4"/>
      <c r="C5" s="4"/>
      <c r="D5" s="4"/>
      <c r="E5" s="4"/>
      <c r="F5" s="5"/>
      <c r="G5" s="5"/>
      <c r="H5" s="4"/>
      <c r="I5" s="4"/>
    </row>
    <row r="6" spans="1:9" x14ac:dyDescent="0.25">
      <c r="A6" s="4"/>
      <c r="B6" s="4"/>
      <c r="C6" s="4"/>
      <c r="D6" s="4"/>
      <c r="E6" s="4"/>
      <c r="F6" s="5"/>
      <c r="G6" s="5"/>
      <c r="H6" s="4"/>
      <c r="I6" s="4"/>
    </row>
    <row r="7" spans="1:9" x14ac:dyDescent="0.25">
      <c r="A7" s="4"/>
      <c r="B7" s="4"/>
      <c r="C7" s="4"/>
      <c r="D7" s="4"/>
      <c r="E7" s="4"/>
      <c r="F7" s="5"/>
      <c r="G7" s="5"/>
      <c r="H7" s="4"/>
      <c r="I7" s="4"/>
    </row>
    <row r="8" spans="1:9" x14ac:dyDescent="0.25">
      <c r="A8" s="4"/>
      <c r="B8" s="4"/>
      <c r="C8" s="4"/>
      <c r="D8" s="4"/>
      <c r="E8" s="4"/>
      <c r="F8" s="5"/>
      <c r="G8" s="5"/>
      <c r="H8" s="4"/>
      <c r="I8" s="4"/>
    </row>
    <row r="9" spans="1:9" x14ac:dyDescent="0.25">
      <c r="A9" s="4"/>
      <c r="B9" s="4"/>
      <c r="C9" s="4"/>
      <c r="D9" s="4"/>
      <c r="E9" s="4"/>
      <c r="F9" s="5"/>
      <c r="G9" s="5"/>
      <c r="H9" s="4"/>
      <c r="I9" s="4"/>
    </row>
    <row r="10" spans="1:9" x14ac:dyDescent="0.25">
      <c r="A10" s="4"/>
      <c r="B10" s="4"/>
      <c r="C10" s="4"/>
      <c r="D10" s="4"/>
      <c r="E10" s="4"/>
      <c r="F10" s="5"/>
      <c r="G10" s="5"/>
      <c r="H10" s="4"/>
      <c r="I10" s="4"/>
    </row>
    <row r="11" spans="1:9" x14ac:dyDescent="0.25">
      <c r="A11" s="4"/>
      <c r="B11" s="4"/>
      <c r="C11" s="4"/>
      <c r="D11" s="4"/>
      <c r="E11" s="4"/>
      <c r="F11" s="5"/>
      <c r="G11" s="5"/>
      <c r="H11" s="4"/>
      <c r="I11" s="4"/>
    </row>
    <row r="12" spans="1:9" x14ac:dyDescent="0.25">
      <c r="A12" s="4"/>
      <c r="B12" s="4"/>
      <c r="C12" s="4"/>
      <c r="D12" s="4"/>
      <c r="E12" s="4"/>
      <c r="F12" s="5"/>
      <c r="G12" s="5"/>
      <c r="H12" s="4"/>
      <c r="I12" s="4"/>
    </row>
    <row r="13" spans="1:9" x14ac:dyDescent="0.25">
      <c r="A13" s="4"/>
      <c r="B13" s="4"/>
      <c r="C13" s="4"/>
      <c r="D13" s="4"/>
      <c r="E13" s="4"/>
      <c r="F13" s="5"/>
      <c r="G13" s="5"/>
      <c r="H13" s="4"/>
      <c r="I13" s="4"/>
    </row>
    <row r="14" spans="1:9" x14ac:dyDescent="0.25">
      <c r="A14" s="4"/>
      <c r="B14" s="4"/>
      <c r="C14" s="4"/>
      <c r="D14" s="4"/>
      <c r="E14" s="4"/>
      <c r="F14" s="5"/>
      <c r="G14" s="5"/>
      <c r="H14" s="4"/>
      <c r="I14" s="4"/>
    </row>
    <row r="15" spans="1:9" x14ac:dyDescent="0.25">
      <c r="A15" s="4"/>
      <c r="B15" s="4"/>
      <c r="C15" s="4"/>
      <c r="D15" s="4"/>
      <c r="E15" s="4"/>
      <c r="F15" s="5"/>
      <c r="G15" s="5"/>
      <c r="H15" s="4"/>
      <c r="I15" s="4"/>
    </row>
    <row r="16" spans="1:9" x14ac:dyDescent="0.25">
      <c r="A16" s="4"/>
      <c r="B16" s="4"/>
      <c r="C16" s="4"/>
      <c r="D16" s="4"/>
      <c r="E16" s="4"/>
      <c r="F16" s="5"/>
      <c r="G16" s="5"/>
      <c r="H16" s="4"/>
      <c r="I16" s="4"/>
    </row>
    <row r="17" spans="1:9" x14ac:dyDescent="0.25">
      <c r="A17" s="4"/>
      <c r="B17" s="4"/>
      <c r="C17" s="4"/>
      <c r="D17" s="4"/>
      <c r="E17" s="4"/>
      <c r="F17" s="5"/>
      <c r="G17" s="5"/>
      <c r="H17" s="4"/>
      <c r="I17" s="4"/>
    </row>
    <row r="18" spans="1:9" x14ac:dyDescent="0.25">
      <c r="A18" s="4"/>
      <c r="B18" s="4"/>
      <c r="C18" s="4"/>
      <c r="D18" s="4"/>
      <c r="E18" s="4"/>
      <c r="F18" s="5"/>
      <c r="G18" s="5"/>
      <c r="H18" s="4"/>
      <c r="I18" s="4"/>
    </row>
    <row r="19" spans="1:9" x14ac:dyDescent="0.25">
      <c r="A19" s="4"/>
      <c r="B19" s="4"/>
      <c r="C19" s="4"/>
      <c r="D19" s="4"/>
      <c r="E19" s="4"/>
      <c r="F19" s="5"/>
      <c r="G19" s="5"/>
      <c r="H19" s="4"/>
      <c r="I19" s="4"/>
    </row>
    <row r="20" spans="1:9" x14ac:dyDescent="0.25">
      <c r="A20" s="4"/>
      <c r="B20" s="4"/>
      <c r="C20" s="4"/>
      <c r="D20" s="4"/>
      <c r="E20" s="4"/>
      <c r="F20" s="5"/>
      <c r="G20" s="5"/>
      <c r="H20" s="4"/>
      <c r="I20" s="4"/>
    </row>
    <row r="21" spans="1:9" x14ac:dyDescent="0.25">
      <c r="A21" s="4"/>
      <c r="B21" s="4"/>
      <c r="C21" s="4"/>
      <c r="D21" s="4"/>
      <c r="E21" s="4"/>
      <c r="F21" s="5"/>
      <c r="G21" s="5"/>
      <c r="H21" s="4"/>
      <c r="I21" s="4"/>
    </row>
    <row r="22" spans="1:9" x14ac:dyDescent="0.25">
      <c r="A22" s="4"/>
      <c r="B22" s="4"/>
      <c r="C22" s="4"/>
      <c r="D22" s="4"/>
      <c r="E22" s="4"/>
      <c r="F22" s="5"/>
      <c r="G22" s="5"/>
      <c r="H22" s="4"/>
      <c r="I22" s="4"/>
    </row>
    <row r="23" spans="1:9" x14ac:dyDescent="0.25">
      <c r="A23" s="4"/>
      <c r="B23" s="4"/>
      <c r="C23" s="4"/>
      <c r="D23" s="4"/>
      <c r="E23" s="4"/>
      <c r="F23" s="5"/>
      <c r="G23" s="5"/>
      <c r="H23" s="4"/>
      <c r="I23" s="4"/>
    </row>
    <row r="24" spans="1:9" x14ac:dyDescent="0.25">
      <c r="A24" s="4"/>
      <c r="B24" s="4"/>
      <c r="C24" s="4"/>
      <c r="D24" s="4"/>
      <c r="E24" s="4"/>
      <c r="F24" s="5"/>
      <c r="G24" s="5"/>
      <c r="H24" s="4"/>
      <c r="I24" s="4"/>
    </row>
    <row r="25" spans="1:9" x14ac:dyDescent="0.25">
      <c r="A25" s="4"/>
      <c r="B25" s="4"/>
      <c r="C25" s="4"/>
      <c r="D25" s="4"/>
      <c r="E25" s="4"/>
      <c r="F25" s="5"/>
      <c r="G25" s="5"/>
      <c r="H25" s="4"/>
      <c r="I25" s="4"/>
    </row>
    <row r="26" spans="1:9" x14ac:dyDescent="0.25">
      <c r="A26" s="4"/>
      <c r="B26" s="4"/>
      <c r="C26" s="4"/>
      <c r="D26" s="4"/>
      <c r="E26" s="4"/>
      <c r="F26" s="5"/>
      <c r="G26" s="5"/>
      <c r="H26" s="4"/>
      <c r="I26" s="4"/>
    </row>
    <row r="27" spans="1:9" x14ac:dyDescent="0.25">
      <c r="A27" s="4"/>
      <c r="B27" s="4"/>
      <c r="C27" s="4"/>
      <c r="D27" s="4"/>
      <c r="E27" s="4"/>
      <c r="F27" s="5"/>
      <c r="G27" s="5"/>
      <c r="H27" s="4"/>
      <c r="I27" s="4"/>
    </row>
    <row r="28" spans="1:9" x14ac:dyDescent="0.25">
      <c r="A28" s="4"/>
      <c r="B28" s="4"/>
      <c r="C28" s="4"/>
      <c r="D28" s="4"/>
      <c r="E28" s="4"/>
      <c r="F28" s="5"/>
      <c r="G28" s="5"/>
      <c r="H28" s="4"/>
      <c r="I28" s="4"/>
    </row>
    <row r="29" spans="1:9" x14ac:dyDescent="0.25">
      <c r="A29" s="4"/>
      <c r="B29" s="4"/>
      <c r="C29" s="4"/>
      <c r="D29" s="4"/>
      <c r="E29" s="4"/>
      <c r="F29" s="5"/>
      <c r="G29" s="5"/>
      <c r="H29" s="4"/>
      <c r="I29" s="4"/>
    </row>
    <row r="30" spans="1:9" x14ac:dyDescent="0.25">
      <c r="A30" s="4"/>
      <c r="B30" s="4"/>
      <c r="C30" s="4"/>
      <c r="D30" s="4"/>
      <c r="E30" s="4"/>
      <c r="F30" s="5"/>
      <c r="G30" s="5"/>
      <c r="H30" s="4"/>
      <c r="I30" s="4"/>
    </row>
    <row r="31" spans="1:9" x14ac:dyDescent="0.25">
      <c r="A31" s="4"/>
      <c r="B31" s="4"/>
      <c r="C31" s="4"/>
      <c r="D31" s="4"/>
      <c r="E31" s="4"/>
      <c r="F31" s="5"/>
      <c r="G31" s="5"/>
      <c r="H31" s="4"/>
      <c r="I31" s="4"/>
    </row>
    <row r="32" spans="1:9" x14ac:dyDescent="0.25">
      <c r="A32" s="4"/>
      <c r="B32" s="4"/>
      <c r="C32" s="4"/>
      <c r="D32" s="4"/>
      <c r="E32" s="4"/>
      <c r="F32" s="5"/>
      <c r="G32" s="5"/>
      <c r="H32" s="4"/>
      <c r="I32" s="4"/>
    </row>
    <row r="33" spans="1:9" x14ac:dyDescent="0.25">
      <c r="A33" s="4"/>
      <c r="B33" s="4"/>
      <c r="C33" s="4"/>
      <c r="D33" s="4"/>
      <c r="E33" s="4"/>
      <c r="F33" s="5"/>
      <c r="G33" s="5"/>
      <c r="H33" s="4"/>
      <c r="I33" s="4"/>
    </row>
    <row r="34" spans="1:9" x14ac:dyDescent="0.25">
      <c r="A34" s="4"/>
      <c r="B34" s="4"/>
      <c r="C34" s="4"/>
      <c r="D34" s="4"/>
      <c r="E34" s="4"/>
      <c r="F34" s="5"/>
      <c r="G34" s="5"/>
      <c r="H34" s="4"/>
      <c r="I34" s="4"/>
    </row>
    <row r="35" spans="1:9" x14ac:dyDescent="0.25">
      <c r="A35" s="4"/>
      <c r="B35" s="4"/>
      <c r="C35" s="4"/>
      <c r="D35" s="4"/>
      <c r="E35" s="4"/>
      <c r="F35" s="5"/>
      <c r="G35" s="5"/>
      <c r="H35" s="4"/>
      <c r="I35" s="4"/>
    </row>
    <row r="36" spans="1:9" x14ac:dyDescent="0.25">
      <c r="A36" s="4"/>
      <c r="B36" s="4"/>
      <c r="C36" s="4"/>
      <c r="D36" s="4"/>
      <c r="E36" s="4"/>
      <c r="F36" s="5"/>
      <c r="G36" s="5"/>
      <c r="H36" s="4"/>
      <c r="I36" s="4"/>
    </row>
    <row r="37" spans="1:9" x14ac:dyDescent="0.25">
      <c r="A37" s="4"/>
      <c r="B37" s="4"/>
      <c r="C37" s="4"/>
      <c r="D37" s="4"/>
      <c r="E37" s="4"/>
      <c r="F37" s="5"/>
      <c r="G37" s="5"/>
      <c r="H37" s="4"/>
      <c r="I37" s="4"/>
    </row>
    <row r="38" spans="1:9" x14ac:dyDescent="0.25">
      <c r="A38" s="4"/>
      <c r="B38" s="4"/>
      <c r="C38" s="4"/>
      <c r="D38" s="4"/>
      <c r="E38" s="4"/>
      <c r="F38" s="5"/>
      <c r="G38" s="5"/>
      <c r="H38" s="4"/>
      <c r="I38" s="4"/>
    </row>
    <row r="39" spans="1:9" x14ac:dyDescent="0.25">
      <c r="A39" s="4"/>
      <c r="B39" s="4"/>
      <c r="C39" s="4"/>
      <c r="D39" s="4"/>
      <c r="E39" s="4"/>
      <c r="F39" s="5"/>
      <c r="G39" s="5"/>
      <c r="H39" s="4"/>
      <c r="I39" s="4"/>
    </row>
    <row r="40" spans="1:9" x14ac:dyDescent="0.25">
      <c r="A40" s="4"/>
      <c r="B40" s="4"/>
      <c r="C40" s="4"/>
      <c r="D40" s="4"/>
      <c r="E40" s="4"/>
      <c r="F40" s="5"/>
      <c r="G40" s="5"/>
      <c r="H40" s="4"/>
      <c r="I40" s="4"/>
    </row>
    <row r="41" spans="1:9" x14ac:dyDescent="0.25">
      <c r="A41" s="4"/>
      <c r="B41" s="4"/>
      <c r="C41" s="4"/>
      <c r="D41" s="4"/>
      <c r="E41" s="4"/>
      <c r="F41" s="5"/>
      <c r="G41" s="5"/>
      <c r="H41" s="4"/>
      <c r="I41" s="4"/>
    </row>
    <row r="42" spans="1:9" x14ac:dyDescent="0.25">
      <c r="A42" s="4"/>
      <c r="B42" s="4"/>
      <c r="C42" s="4"/>
      <c r="D42" s="4"/>
      <c r="E42" s="4"/>
      <c r="F42" s="5"/>
      <c r="G42" s="5"/>
      <c r="H42" s="4"/>
      <c r="I42" s="4"/>
    </row>
    <row r="43" spans="1:9" x14ac:dyDescent="0.25">
      <c r="A43" s="4"/>
      <c r="B43" s="4"/>
      <c r="C43" s="4"/>
      <c r="D43" s="4"/>
      <c r="E43" s="4"/>
      <c r="F43" s="5"/>
      <c r="G43" s="5"/>
      <c r="H43" s="4"/>
      <c r="I43" s="4"/>
    </row>
    <row r="44" spans="1:9" x14ac:dyDescent="0.25">
      <c r="A44" s="4"/>
      <c r="B44" s="4"/>
      <c r="C44" s="4"/>
      <c r="D44" s="4"/>
      <c r="E44" s="4"/>
      <c r="F44" s="5"/>
      <c r="G44" s="5"/>
      <c r="H44" s="4"/>
      <c r="I44" s="4"/>
    </row>
    <row r="45" spans="1:9" x14ac:dyDescent="0.25">
      <c r="A45" s="4"/>
      <c r="B45" s="4"/>
      <c r="C45" s="4"/>
      <c r="D45" s="4"/>
      <c r="E45" s="4"/>
      <c r="F45" s="5"/>
      <c r="G45" s="5"/>
      <c r="H45" s="4"/>
      <c r="I45" s="4"/>
    </row>
    <row r="46" spans="1:9" x14ac:dyDescent="0.25">
      <c r="A46" s="4"/>
      <c r="B46" s="4"/>
      <c r="C46" s="4"/>
      <c r="D46" s="4"/>
      <c r="E46" s="4"/>
      <c r="F46" s="5"/>
      <c r="G46" s="5"/>
      <c r="H46" s="4"/>
      <c r="I46" s="4"/>
    </row>
    <row r="47" spans="1:9" x14ac:dyDescent="0.25">
      <c r="A47" s="4"/>
      <c r="B47" s="4"/>
      <c r="C47" s="4"/>
      <c r="D47" s="4"/>
      <c r="E47" s="4"/>
      <c r="F47" s="5"/>
      <c r="G47" s="5"/>
      <c r="H47" s="4"/>
      <c r="I47" s="4"/>
    </row>
    <row r="48" spans="1:9" x14ac:dyDescent="0.25">
      <c r="A48" s="4"/>
      <c r="B48" s="4"/>
      <c r="C48" s="4"/>
      <c r="D48" s="4"/>
      <c r="E48" s="4"/>
      <c r="F48" s="5"/>
      <c r="G48" s="5"/>
      <c r="H48" s="4"/>
      <c r="I48" s="4"/>
    </row>
    <row r="49" spans="1:9" x14ac:dyDescent="0.25">
      <c r="A49" s="4"/>
      <c r="B49" s="4"/>
      <c r="C49" s="4"/>
      <c r="D49" s="4"/>
      <c r="E49" s="4"/>
      <c r="F49" s="5"/>
      <c r="G49" s="5"/>
      <c r="H49" s="4"/>
      <c r="I49" s="4"/>
    </row>
    <row r="50" spans="1:9" x14ac:dyDescent="0.25">
      <c r="A50" s="4"/>
      <c r="B50" s="4"/>
      <c r="C50" s="4"/>
      <c r="D50" s="4"/>
      <c r="E50" s="4"/>
      <c r="F50" s="5"/>
      <c r="G50" s="5"/>
      <c r="H50" s="4"/>
      <c r="I50" s="4"/>
    </row>
    <row r="51" spans="1:9" x14ac:dyDescent="0.25">
      <c r="A51" s="4"/>
      <c r="B51" s="4"/>
      <c r="C51" s="4"/>
      <c r="D51" s="4"/>
      <c r="E51" s="4"/>
      <c r="F51" s="5"/>
      <c r="G51" s="5"/>
      <c r="H51" s="4"/>
      <c r="I51" s="4"/>
    </row>
    <row r="52" spans="1:9" x14ac:dyDescent="0.25">
      <c r="A52" s="4"/>
      <c r="B52" s="4"/>
      <c r="C52" s="4"/>
      <c r="D52" s="4"/>
      <c r="E52" s="4"/>
      <c r="F52" s="5"/>
      <c r="G52" s="5"/>
      <c r="H52" s="4"/>
      <c r="I52" s="4"/>
    </row>
    <row r="53" spans="1:9" x14ac:dyDescent="0.25">
      <c r="A53" s="4"/>
      <c r="B53" s="4"/>
      <c r="C53" s="4"/>
      <c r="D53" s="4"/>
      <c r="E53" s="4"/>
      <c r="F53" s="5"/>
      <c r="G53" s="5"/>
      <c r="H53" s="4"/>
      <c r="I53" s="4"/>
    </row>
    <row r="54" spans="1:9" x14ac:dyDescent="0.25">
      <c r="A54" s="4"/>
      <c r="B54" s="4"/>
      <c r="C54" s="4"/>
      <c r="D54" s="4"/>
      <c r="E54" s="4"/>
      <c r="F54" s="5"/>
      <c r="G54" s="5"/>
      <c r="H54" s="4"/>
      <c r="I54" s="4"/>
    </row>
    <row r="55" spans="1:9" x14ac:dyDescent="0.25">
      <c r="A55" s="4"/>
      <c r="B55" s="4"/>
      <c r="C55" s="4"/>
      <c r="D55" s="4"/>
      <c r="E55" s="4"/>
      <c r="F55" s="5"/>
      <c r="G55" s="5"/>
      <c r="H55" s="4"/>
      <c r="I55" s="4"/>
    </row>
    <row r="56" spans="1:9" x14ac:dyDescent="0.25">
      <c r="A56" s="4"/>
      <c r="B56" s="4"/>
      <c r="C56" s="4"/>
      <c r="D56" s="4"/>
      <c r="E56" s="4"/>
      <c r="F56" s="5"/>
      <c r="G56" s="5"/>
      <c r="H56" s="4"/>
      <c r="I56" s="4"/>
    </row>
    <row r="57" spans="1:9" x14ac:dyDescent="0.25">
      <c r="A57" s="4"/>
      <c r="B57" s="4"/>
      <c r="C57" s="4"/>
      <c r="D57" s="4"/>
      <c r="E57" s="4"/>
      <c r="F57" s="5"/>
      <c r="G57" s="5"/>
      <c r="H57" s="4"/>
      <c r="I57" s="4"/>
    </row>
    <row r="58" spans="1:9" x14ac:dyDescent="0.25">
      <c r="A58" s="4"/>
      <c r="B58" s="4"/>
      <c r="C58" s="4"/>
      <c r="D58" s="4"/>
      <c r="E58" s="4"/>
      <c r="F58" s="5"/>
      <c r="G58" s="5"/>
      <c r="H58" s="4"/>
      <c r="I58" s="4"/>
    </row>
    <row r="59" spans="1:9" x14ac:dyDescent="0.25">
      <c r="A59" s="4"/>
      <c r="B59" s="4"/>
      <c r="C59" s="4"/>
      <c r="D59" s="4"/>
      <c r="E59" s="4"/>
      <c r="F59" s="5"/>
      <c r="G59" s="5"/>
      <c r="H59" s="4"/>
      <c r="I59" s="4"/>
    </row>
    <row r="60" spans="1:9" x14ac:dyDescent="0.25">
      <c r="A60" s="4"/>
      <c r="B60" s="4"/>
      <c r="C60" s="4"/>
      <c r="D60" s="4"/>
      <c r="E60" s="4"/>
      <c r="F60" s="5"/>
      <c r="G60" s="5"/>
      <c r="H60" s="4"/>
      <c r="I60" s="4"/>
    </row>
    <row r="61" spans="1:9" x14ac:dyDescent="0.25">
      <c r="A61" s="4"/>
      <c r="B61" s="4"/>
      <c r="C61" s="4"/>
      <c r="D61" s="4"/>
      <c r="E61" s="4"/>
      <c r="F61" s="5"/>
      <c r="G61" s="5"/>
      <c r="H61" s="4"/>
      <c r="I61" s="4"/>
    </row>
    <row r="62" spans="1:9" x14ac:dyDescent="0.25">
      <c r="A62" s="4"/>
      <c r="B62" s="4"/>
      <c r="C62" s="4"/>
      <c r="D62" s="4"/>
      <c r="E62" s="4"/>
      <c r="F62" s="5"/>
      <c r="G62" s="5"/>
      <c r="H62" s="4"/>
      <c r="I62" s="4"/>
    </row>
    <row r="63" spans="1:9" x14ac:dyDescent="0.25">
      <c r="A63" s="4"/>
      <c r="B63" s="4"/>
      <c r="C63" s="4"/>
      <c r="D63" s="4"/>
      <c r="E63" s="4"/>
      <c r="F63" s="5"/>
      <c r="G63" s="5"/>
      <c r="H63" s="4"/>
      <c r="I63" s="4"/>
    </row>
    <row r="64" spans="1:9" x14ac:dyDescent="0.25">
      <c r="A64" s="4"/>
      <c r="B64" s="4"/>
      <c r="C64" s="4"/>
      <c r="D64" s="4"/>
      <c r="E64" s="4"/>
      <c r="F64" s="5"/>
      <c r="G64" s="5"/>
      <c r="H64" s="4"/>
      <c r="I64" s="4"/>
    </row>
    <row r="65" spans="1:9" x14ac:dyDescent="0.25">
      <c r="A65" s="4"/>
      <c r="B65" s="4"/>
      <c r="C65" s="4"/>
      <c r="D65" s="4"/>
      <c r="E65" s="4"/>
      <c r="F65" s="5"/>
      <c r="G65" s="5"/>
      <c r="H65" s="4"/>
      <c r="I65" s="4"/>
    </row>
    <row r="66" spans="1:9" x14ac:dyDescent="0.25">
      <c r="A66" s="4"/>
      <c r="B66" s="4"/>
      <c r="C66" s="4"/>
      <c r="D66" s="4"/>
      <c r="E66" s="4"/>
      <c r="F66" s="5"/>
      <c r="G66" s="5"/>
      <c r="H66" s="4"/>
      <c r="I66" s="4"/>
    </row>
    <row r="67" spans="1:9" x14ac:dyDescent="0.25">
      <c r="A67" s="4"/>
      <c r="B67" s="4"/>
      <c r="C67" s="4"/>
      <c r="D67" s="4"/>
      <c r="E67" s="4"/>
      <c r="F67" s="5"/>
      <c r="G67" s="5"/>
      <c r="H67" s="4"/>
      <c r="I67" s="4"/>
    </row>
    <row r="68" spans="1:9" x14ac:dyDescent="0.25">
      <c r="A68" s="4"/>
      <c r="B68" s="4"/>
      <c r="C68" s="4"/>
      <c r="D68" s="4"/>
      <c r="E68" s="4"/>
      <c r="F68" s="5"/>
      <c r="G68" s="5"/>
      <c r="H68" s="4"/>
      <c r="I68" s="4"/>
    </row>
    <row r="69" spans="1:9" x14ac:dyDescent="0.25">
      <c r="A69" s="4"/>
      <c r="B69" s="4"/>
      <c r="C69" s="4"/>
      <c r="D69" s="4"/>
      <c r="E69" s="4"/>
      <c r="F69" s="5"/>
      <c r="G69" s="5"/>
      <c r="H69" s="4"/>
      <c r="I69" s="4"/>
    </row>
    <row r="70" spans="1:9" x14ac:dyDescent="0.25">
      <c r="A70" s="4"/>
      <c r="B70" s="4"/>
      <c r="C70" s="4"/>
      <c r="D70" s="4"/>
      <c r="E70" s="4"/>
      <c r="F70" s="5"/>
      <c r="G70" s="5"/>
      <c r="H70" s="4"/>
      <c r="I70" s="4"/>
    </row>
    <row r="71" spans="1:9" x14ac:dyDescent="0.25">
      <c r="A71" s="4"/>
      <c r="B71" s="4"/>
      <c r="C71" s="4"/>
      <c r="D71" s="4"/>
      <c r="E71" s="4"/>
      <c r="F71" s="5"/>
      <c r="G71" s="5"/>
      <c r="H71" s="4"/>
      <c r="I71" s="4"/>
    </row>
    <row r="72" spans="1:9" x14ac:dyDescent="0.25">
      <c r="A72" s="4"/>
      <c r="B72" s="4"/>
      <c r="C72" s="4"/>
      <c r="D72" s="4"/>
      <c r="E72" s="4"/>
      <c r="F72" s="5"/>
      <c r="G72" s="5"/>
      <c r="H72" s="4"/>
      <c r="I72" s="4"/>
    </row>
    <row r="73" spans="1:9" x14ac:dyDescent="0.25">
      <c r="A73" s="4"/>
      <c r="B73" s="4"/>
      <c r="C73" s="4"/>
      <c r="D73" s="4"/>
      <c r="E73" s="4"/>
      <c r="F73" s="5"/>
      <c r="G73" s="5"/>
      <c r="H73" s="4"/>
      <c r="I73" s="4"/>
    </row>
    <row r="74" spans="1:9" x14ac:dyDescent="0.25">
      <c r="A74" s="4"/>
      <c r="B74" s="4"/>
      <c r="C74" s="4"/>
      <c r="D74" s="4"/>
      <c r="E74" s="4"/>
      <c r="F74" s="5"/>
      <c r="G74" s="5"/>
      <c r="H74" s="4"/>
      <c r="I74" s="4"/>
    </row>
    <row r="75" spans="1:9" x14ac:dyDescent="0.25">
      <c r="A75" s="4"/>
      <c r="B75" s="4"/>
      <c r="C75" s="4"/>
      <c r="D75" s="4"/>
      <c r="E75" s="4"/>
      <c r="F75" s="5"/>
      <c r="G75" s="5"/>
      <c r="H75" s="4"/>
      <c r="I75" s="4"/>
    </row>
    <row r="76" spans="1:9" x14ac:dyDescent="0.25">
      <c r="A76" s="4"/>
      <c r="B76" s="4"/>
      <c r="C76" s="4"/>
      <c r="D76" s="4"/>
      <c r="E76" s="4"/>
      <c r="F76" s="5"/>
      <c r="G76" s="5"/>
      <c r="H76" s="4"/>
      <c r="I76" s="4"/>
    </row>
    <row r="77" spans="1:9" x14ac:dyDescent="0.25">
      <c r="A77" s="4"/>
      <c r="B77" s="4"/>
      <c r="C77" s="4"/>
      <c r="D77" s="4"/>
      <c r="E77" s="4"/>
      <c r="F77" s="5"/>
      <c r="G77" s="5"/>
      <c r="H77" s="4"/>
      <c r="I77" s="4"/>
    </row>
    <row r="78" spans="1:9" x14ac:dyDescent="0.25">
      <c r="A78" s="4"/>
      <c r="B78" s="4"/>
      <c r="C78" s="4"/>
      <c r="D78" s="4"/>
      <c r="E78" s="4"/>
      <c r="F78" s="5"/>
      <c r="G78" s="5"/>
      <c r="H78" s="4"/>
      <c r="I78" s="4"/>
    </row>
    <row r="79" spans="1:9" x14ac:dyDescent="0.25">
      <c r="A79" s="4"/>
      <c r="B79" s="4"/>
      <c r="C79" s="4"/>
      <c r="D79" s="4"/>
      <c r="E79" s="4"/>
      <c r="F79" s="5"/>
      <c r="G79" s="5"/>
      <c r="H79" s="4"/>
      <c r="I79" s="4"/>
    </row>
    <row r="80" spans="1:9" x14ac:dyDescent="0.25">
      <c r="A80" s="4"/>
      <c r="B80" s="4"/>
      <c r="C80" s="4"/>
      <c r="D80" s="4"/>
      <c r="E80" s="4"/>
      <c r="F80" s="5"/>
      <c r="G80" s="5"/>
      <c r="H80" s="4"/>
      <c r="I80" s="4"/>
    </row>
    <row r="81" spans="1:9" x14ac:dyDescent="0.25">
      <c r="A81" s="4"/>
      <c r="B81" s="4"/>
      <c r="C81" s="4"/>
      <c r="D81" s="4"/>
      <c r="E81" s="4"/>
      <c r="F81" s="5"/>
      <c r="G81" s="5"/>
      <c r="H81" s="4"/>
      <c r="I81" s="4"/>
    </row>
    <row r="82" spans="1:9" x14ac:dyDescent="0.25">
      <c r="A82" s="4"/>
      <c r="B82" s="4"/>
      <c r="C82" s="4"/>
      <c r="D82" s="4"/>
      <c r="E82" s="4"/>
      <c r="F82" s="5"/>
      <c r="G82" s="5"/>
      <c r="H82" s="4"/>
      <c r="I82" s="4"/>
    </row>
    <row r="83" spans="1:9" x14ac:dyDescent="0.25">
      <c r="A83" s="4"/>
      <c r="B83" s="4"/>
      <c r="C83" s="4"/>
      <c r="D83" s="4"/>
      <c r="E83" s="4"/>
      <c r="F83" s="5"/>
      <c r="G83" s="5"/>
      <c r="H83" s="4"/>
      <c r="I83" s="4"/>
    </row>
    <row r="84" spans="1:9" x14ac:dyDescent="0.25">
      <c r="A84" s="4"/>
      <c r="B84" s="4"/>
      <c r="C84" s="4"/>
      <c r="D84" s="4"/>
      <c r="E84" s="4"/>
      <c r="F84" s="5"/>
      <c r="G84" s="5"/>
      <c r="H84" s="4"/>
      <c r="I84" s="4"/>
    </row>
    <row r="85" spans="1:9" x14ac:dyDescent="0.25">
      <c r="A85" s="4"/>
      <c r="B85" s="4"/>
      <c r="C85" s="4"/>
      <c r="D85" s="4"/>
      <c r="E85" s="4"/>
      <c r="F85" s="5"/>
      <c r="G85" s="5"/>
      <c r="H85" s="4"/>
      <c r="I85" s="4"/>
    </row>
    <row r="86" spans="1:9" x14ac:dyDescent="0.25">
      <c r="A86" s="4"/>
      <c r="B86" s="4"/>
      <c r="C86" s="4"/>
      <c r="D86" s="4"/>
      <c r="E86" s="4"/>
      <c r="F86" s="5"/>
      <c r="G86" s="5"/>
      <c r="H86" s="4"/>
      <c r="I86" s="4"/>
    </row>
    <row r="87" spans="1:9" x14ac:dyDescent="0.25">
      <c r="A87" s="4"/>
      <c r="B87" s="4"/>
      <c r="C87" s="4"/>
      <c r="D87" s="4"/>
      <c r="E87" s="4"/>
      <c r="F87" s="5"/>
      <c r="G87" s="5"/>
      <c r="H87" s="4"/>
      <c r="I87" s="4"/>
    </row>
    <row r="88" spans="1:9" x14ac:dyDescent="0.25">
      <c r="A88" s="4"/>
      <c r="B88" s="4"/>
      <c r="C88" s="4"/>
      <c r="D88" s="4"/>
      <c r="E88" s="4"/>
      <c r="F88" s="5"/>
      <c r="G88" s="5"/>
      <c r="H88" s="4"/>
      <c r="I88" s="4"/>
    </row>
    <row r="89" spans="1:9" x14ac:dyDescent="0.25">
      <c r="A89" s="4"/>
      <c r="B89" s="4"/>
      <c r="C89" s="4"/>
      <c r="D89" s="4"/>
      <c r="E89" s="4"/>
      <c r="F89" s="5"/>
      <c r="G89" s="5"/>
      <c r="H89" s="4"/>
      <c r="I89" s="4"/>
    </row>
    <row r="90" spans="1:9" x14ac:dyDescent="0.25">
      <c r="A90" s="4"/>
      <c r="B90" s="4"/>
      <c r="C90" s="4"/>
      <c r="D90" s="4"/>
      <c r="E90" s="4"/>
      <c r="F90" s="5"/>
      <c r="G90" s="5"/>
      <c r="H90" s="4"/>
      <c r="I90" s="4"/>
    </row>
    <row r="91" spans="1:9" x14ac:dyDescent="0.25">
      <c r="A91" s="4"/>
      <c r="B91" s="4"/>
      <c r="C91" s="4"/>
      <c r="D91" s="4"/>
      <c r="E91" s="4"/>
      <c r="F91" s="5"/>
      <c r="G91" s="5"/>
      <c r="H91" s="4"/>
      <c r="I91" s="4"/>
    </row>
    <row r="92" spans="1:9" x14ac:dyDescent="0.25">
      <c r="A92" s="4"/>
      <c r="B92" s="4"/>
      <c r="C92" s="4"/>
      <c r="D92" s="4"/>
      <c r="E92" s="4"/>
      <c r="F92" s="5"/>
      <c r="G92" s="5"/>
      <c r="H92" s="4"/>
      <c r="I92" s="4"/>
    </row>
    <row r="93" spans="1:9" x14ac:dyDescent="0.25">
      <c r="A93" s="4"/>
      <c r="B93" s="4"/>
      <c r="C93" s="4"/>
      <c r="D93" s="4"/>
      <c r="E93" s="4"/>
      <c r="F93" s="5"/>
      <c r="G93" s="5"/>
      <c r="H93" s="4"/>
      <c r="I93" s="4"/>
    </row>
    <row r="94" spans="1:9" x14ac:dyDescent="0.25">
      <c r="A94" s="4"/>
      <c r="B94" s="4"/>
      <c r="C94" s="4"/>
      <c r="D94" s="4"/>
      <c r="E94" s="4"/>
      <c r="F94" s="5"/>
      <c r="G94" s="5"/>
      <c r="H94" s="4"/>
      <c r="I94" s="4"/>
    </row>
    <row r="95" spans="1:9" x14ac:dyDescent="0.25">
      <c r="A95" s="4"/>
      <c r="B95" s="4"/>
      <c r="C95" s="4"/>
      <c r="D95" s="4"/>
      <c r="E95" s="4"/>
      <c r="F95" s="5"/>
      <c r="G95" s="5"/>
      <c r="H95" s="4"/>
      <c r="I95" s="4"/>
    </row>
    <row r="96" spans="1:9" x14ac:dyDescent="0.25">
      <c r="A96" s="4"/>
      <c r="B96" s="4"/>
      <c r="C96" s="4"/>
      <c r="D96" s="4"/>
      <c r="E96" s="4"/>
      <c r="F96" s="5"/>
      <c r="G96" s="5"/>
      <c r="H96" s="4"/>
      <c r="I96" s="4"/>
    </row>
    <row r="97" spans="1:9" x14ac:dyDescent="0.25">
      <c r="A97" s="4"/>
      <c r="B97" s="4"/>
      <c r="C97" s="4"/>
      <c r="D97" s="4"/>
      <c r="E97" s="4"/>
      <c r="F97" s="5"/>
      <c r="G97" s="5"/>
      <c r="H97" s="4"/>
      <c r="I97" s="4"/>
    </row>
    <row r="98" spans="1:9" x14ac:dyDescent="0.25">
      <c r="A98" s="4"/>
      <c r="B98" s="4"/>
      <c r="C98" s="4"/>
      <c r="D98" s="4"/>
      <c r="E98" s="4"/>
      <c r="F98" s="5"/>
      <c r="G98" s="5"/>
      <c r="H98" s="4"/>
      <c r="I98" s="4"/>
    </row>
    <row r="99" spans="1:9" x14ac:dyDescent="0.25">
      <c r="A99" s="4"/>
      <c r="B99" s="4"/>
      <c r="C99" s="4"/>
      <c r="D99" s="4"/>
      <c r="E99" s="4"/>
      <c r="F99" s="5"/>
      <c r="G99" s="5"/>
      <c r="H99" s="4"/>
      <c r="I99" s="4"/>
    </row>
    <row r="100" spans="1:9" x14ac:dyDescent="0.25">
      <c r="A100" s="4"/>
      <c r="B100" s="4"/>
      <c r="C100" s="4"/>
      <c r="D100" s="4"/>
      <c r="E100" s="4"/>
      <c r="F100" s="5"/>
      <c r="G100" s="5"/>
      <c r="H100" s="4"/>
      <c r="I100" s="4"/>
    </row>
    <row r="101" spans="1:9" x14ac:dyDescent="0.25">
      <c r="A101" s="4"/>
      <c r="B101" s="4"/>
      <c r="C101" s="4"/>
      <c r="D101" s="4"/>
      <c r="E101" s="4"/>
      <c r="F101" s="5"/>
      <c r="G101" s="5"/>
      <c r="H101" s="4"/>
      <c r="I101" s="4"/>
    </row>
    <row r="102" spans="1:9" x14ac:dyDescent="0.25">
      <c r="A102" s="4"/>
      <c r="B102" s="4"/>
      <c r="C102" s="4"/>
      <c r="D102" s="4"/>
      <c r="E102" s="4"/>
      <c r="F102" s="5"/>
      <c r="G102" s="5"/>
      <c r="H102" s="4"/>
      <c r="I102" s="4"/>
    </row>
    <row r="103" spans="1:9" x14ac:dyDescent="0.25">
      <c r="A103" s="4"/>
      <c r="B103" s="4"/>
      <c r="C103" s="4"/>
      <c r="D103" s="4"/>
      <c r="E103" s="4"/>
      <c r="F103" s="5"/>
      <c r="G103" s="5"/>
      <c r="H103" s="4"/>
      <c r="I103" s="4"/>
    </row>
    <row r="104" spans="1:9" x14ac:dyDescent="0.25">
      <c r="A104" s="4"/>
      <c r="B104" s="4"/>
      <c r="C104" s="4"/>
      <c r="D104" s="4"/>
      <c r="E104" s="4"/>
      <c r="F104" s="5"/>
      <c r="G104" s="5"/>
      <c r="H104" s="4"/>
      <c r="I104" s="4"/>
    </row>
    <row r="105" spans="1:9" x14ac:dyDescent="0.25">
      <c r="A105" s="4"/>
      <c r="B105" s="4"/>
      <c r="C105" s="4"/>
      <c r="D105" s="4"/>
      <c r="E105" s="4"/>
      <c r="F105" s="5"/>
      <c r="G105" s="5"/>
      <c r="H105" s="4"/>
      <c r="I105" s="4"/>
    </row>
    <row r="106" spans="1:9" x14ac:dyDescent="0.25">
      <c r="A106" s="4"/>
      <c r="B106" s="4"/>
      <c r="C106" s="4"/>
      <c r="D106" s="4"/>
      <c r="E106" s="4"/>
      <c r="F106" s="5"/>
      <c r="G106" s="5"/>
      <c r="H106" s="4"/>
      <c r="I106" s="4"/>
    </row>
    <row r="107" spans="1:9" x14ac:dyDescent="0.25">
      <c r="A107" s="4"/>
      <c r="B107" s="4"/>
      <c r="C107" s="4"/>
      <c r="D107" s="4"/>
      <c r="E107" s="4"/>
      <c r="F107" s="5"/>
      <c r="G107" s="5"/>
      <c r="H107" s="4"/>
      <c r="I107" s="4"/>
    </row>
    <row r="108" spans="1:9" x14ac:dyDescent="0.25">
      <c r="A108" s="4"/>
      <c r="B108" s="4"/>
      <c r="C108" s="4"/>
      <c r="D108" s="4"/>
      <c r="E108" s="4"/>
      <c r="F108" s="5"/>
      <c r="G108" s="5"/>
      <c r="H108" s="4"/>
      <c r="I108" s="4"/>
    </row>
    <row r="109" spans="1:9" x14ac:dyDescent="0.25">
      <c r="A109" s="4"/>
      <c r="B109" s="4"/>
      <c r="C109" s="4"/>
      <c r="D109" s="4"/>
      <c r="E109" s="4"/>
      <c r="F109" s="5"/>
      <c r="G109" s="5"/>
      <c r="H109" s="4"/>
      <c r="I109" s="4"/>
    </row>
    <row r="110" spans="1:9" x14ac:dyDescent="0.25">
      <c r="A110" s="4"/>
      <c r="B110" s="4"/>
      <c r="C110" s="4"/>
      <c r="D110" s="4"/>
      <c r="E110" s="4"/>
      <c r="F110" s="5"/>
      <c r="G110" s="5"/>
      <c r="H110" s="4"/>
      <c r="I110" s="4"/>
    </row>
    <row r="111" spans="1:9" x14ac:dyDescent="0.25">
      <c r="A111" s="4"/>
      <c r="B111" s="4"/>
      <c r="C111" s="4"/>
      <c r="D111" s="4"/>
      <c r="E111" s="4"/>
      <c r="F111" s="5"/>
      <c r="G111" s="5"/>
      <c r="H111" s="4"/>
      <c r="I111" s="4"/>
    </row>
    <row r="112" spans="1:9" x14ac:dyDescent="0.25">
      <c r="A112" s="4"/>
      <c r="B112" s="4"/>
      <c r="C112" s="4"/>
      <c r="D112" s="4"/>
      <c r="E112" s="4"/>
      <c r="F112" s="5"/>
      <c r="G112" s="5"/>
      <c r="H112" s="4"/>
      <c r="I112" s="4"/>
    </row>
    <row r="113" spans="1:9" x14ac:dyDescent="0.25">
      <c r="A113" s="4"/>
      <c r="B113" s="4"/>
      <c r="C113" s="4"/>
      <c r="D113" s="4"/>
      <c r="E113" s="4"/>
      <c r="F113" s="5"/>
      <c r="G113" s="5"/>
      <c r="H113" s="4"/>
      <c r="I113" s="4"/>
    </row>
    <row r="114" spans="1:9" x14ac:dyDescent="0.25">
      <c r="A114" s="4"/>
      <c r="B114" s="4"/>
      <c r="C114" s="4"/>
      <c r="D114" s="4"/>
      <c r="E114" s="4"/>
      <c r="F114" s="5"/>
      <c r="G114" s="5"/>
      <c r="H114" s="4"/>
      <c r="I114" s="4"/>
    </row>
    <row r="115" spans="1:9" x14ac:dyDescent="0.25">
      <c r="A115" s="4"/>
      <c r="B115" s="4"/>
      <c r="C115" s="4"/>
      <c r="D115" s="4"/>
      <c r="E115" s="4"/>
      <c r="F115" s="5"/>
      <c r="G115" s="5"/>
      <c r="H115" s="4"/>
      <c r="I115" s="4"/>
    </row>
    <row r="116" spans="1:9" x14ac:dyDescent="0.25">
      <c r="A116" s="4"/>
      <c r="B116" s="4"/>
      <c r="C116" s="4"/>
      <c r="D116" s="4"/>
      <c r="E116" s="4"/>
      <c r="F116" s="5"/>
      <c r="G116" s="5"/>
      <c r="H116" s="4"/>
      <c r="I116" s="4"/>
    </row>
    <row r="117" spans="1:9" x14ac:dyDescent="0.25">
      <c r="A117" s="4"/>
      <c r="B117" s="4"/>
      <c r="C117" s="4"/>
      <c r="D117" s="4"/>
      <c r="E117" s="4"/>
      <c r="F117" s="5"/>
      <c r="G117" s="5"/>
      <c r="H117" s="4"/>
      <c r="I117" s="4"/>
    </row>
    <row r="118" spans="1:9" x14ac:dyDescent="0.25">
      <c r="A118" s="4"/>
      <c r="B118" s="4"/>
      <c r="C118" s="4"/>
      <c r="D118" s="4"/>
      <c r="E118" s="4"/>
      <c r="F118" s="5"/>
      <c r="G118" s="5"/>
      <c r="H118" s="4"/>
      <c r="I118" s="4"/>
    </row>
    <row r="119" spans="1:9" x14ac:dyDescent="0.25">
      <c r="A119" s="4"/>
      <c r="B119" s="4"/>
      <c r="C119" s="4"/>
      <c r="D119" s="4"/>
      <c r="E119" s="4"/>
      <c r="F119" s="5"/>
      <c r="G119" s="5"/>
      <c r="H119" s="4"/>
      <c r="I119" s="4"/>
    </row>
    <row r="120" spans="1:9" x14ac:dyDescent="0.25">
      <c r="A120" s="4"/>
      <c r="B120" s="4"/>
      <c r="C120" s="4"/>
      <c r="D120" s="4"/>
      <c r="E120" s="4"/>
      <c r="F120" s="5"/>
      <c r="G120" s="5"/>
      <c r="H120" s="4"/>
      <c r="I120" s="4"/>
    </row>
    <row r="121" spans="1:9" x14ac:dyDescent="0.25">
      <c r="A121" s="4"/>
      <c r="B121" s="4"/>
      <c r="C121" s="4"/>
      <c r="D121" s="4"/>
      <c r="E121" s="4"/>
      <c r="F121" s="5"/>
      <c r="G121" s="5"/>
      <c r="H121" s="4"/>
      <c r="I121" s="4"/>
    </row>
    <row r="122" spans="1:9" x14ac:dyDescent="0.25">
      <c r="A122" s="4"/>
      <c r="B122" s="4"/>
      <c r="C122" s="4"/>
      <c r="D122" s="4"/>
      <c r="E122" s="4"/>
      <c r="F122" s="5"/>
      <c r="G122" s="5"/>
      <c r="H122" s="4"/>
      <c r="I122" s="4"/>
    </row>
    <row r="123" spans="1:9" x14ac:dyDescent="0.25">
      <c r="A123" s="4"/>
      <c r="B123" s="4"/>
      <c r="C123" s="4"/>
      <c r="D123" s="4"/>
      <c r="E123" s="4"/>
      <c r="F123" s="5"/>
      <c r="G123" s="5"/>
      <c r="H123" s="4"/>
      <c r="I123" s="4"/>
    </row>
    <row r="124" spans="1:9" x14ac:dyDescent="0.25">
      <c r="A124" s="4"/>
      <c r="B124" s="4"/>
      <c r="C124" s="4"/>
      <c r="D124" s="4"/>
      <c r="E124" s="4"/>
      <c r="F124" s="5"/>
      <c r="G124" s="5"/>
      <c r="H124" s="4"/>
      <c r="I124" s="4"/>
    </row>
    <row r="125" spans="1:9" x14ac:dyDescent="0.25">
      <c r="A125" s="4"/>
      <c r="B125" s="4"/>
      <c r="C125" s="4"/>
      <c r="D125" s="4"/>
      <c r="E125" s="4"/>
      <c r="F125" s="5"/>
      <c r="G125" s="5"/>
      <c r="H125" s="4"/>
      <c r="I125" s="4"/>
    </row>
    <row r="126" spans="1:9" x14ac:dyDescent="0.25">
      <c r="A126" s="4"/>
      <c r="B126" s="4"/>
      <c r="C126" s="4"/>
      <c r="D126" s="4"/>
      <c r="E126" s="4"/>
      <c r="F126" s="5"/>
      <c r="G126" s="5"/>
      <c r="H126" s="4"/>
      <c r="I126" s="4"/>
    </row>
    <row r="127" spans="1:9" x14ac:dyDescent="0.25">
      <c r="A127" s="4"/>
      <c r="B127" s="4"/>
      <c r="C127" s="4"/>
      <c r="D127" s="4"/>
      <c r="E127" s="4"/>
      <c r="F127" s="5"/>
      <c r="G127" s="5"/>
      <c r="H127" s="4"/>
      <c r="I127" s="4"/>
    </row>
    <row r="128" spans="1:9" x14ac:dyDescent="0.25">
      <c r="A128" s="4"/>
      <c r="B128" s="4"/>
      <c r="C128" s="4"/>
      <c r="D128" s="4"/>
      <c r="E128" s="4"/>
      <c r="F128" s="5"/>
      <c r="G128" s="5"/>
      <c r="H128" s="4"/>
      <c r="I128" s="4"/>
    </row>
    <row r="129" spans="1:9" x14ac:dyDescent="0.25">
      <c r="A129" s="4"/>
      <c r="B129" s="4"/>
      <c r="C129" s="4"/>
      <c r="D129" s="4"/>
      <c r="E129" s="4"/>
      <c r="F129" s="5"/>
      <c r="G129" s="5"/>
      <c r="H129" s="4"/>
      <c r="I129" s="4"/>
    </row>
    <row r="130" spans="1:9" x14ac:dyDescent="0.25">
      <c r="A130" s="4"/>
      <c r="B130" s="4"/>
      <c r="C130" s="4"/>
      <c r="D130" s="4"/>
      <c r="E130" s="4"/>
      <c r="F130" s="5"/>
      <c r="G130" s="5"/>
      <c r="H130" s="4"/>
      <c r="I130" s="4"/>
    </row>
    <row r="131" spans="1:9" x14ac:dyDescent="0.25">
      <c r="A131" s="4"/>
      <c r="B131" s="4"/>
      <c r="C131" s="4"/>
      <c r="D131" s="4"/>
      <c r="E131" s="4"/>
      <c r="F131" s="5"/>
      <c r="G131" s="5"/>
      <c r="H131" s="4"/>
      <c r="I131" s="4"/>
    </row>
    <row r="132" spans="1:9" x14ac:dyDescent="0.25">
      <c r="A132" s="4"/>
      <c r="B132" s="4"/>
      <c r="C132" s="4"/>
      <c r="D132" s="4"/>
      <c r="E132" s="4"/>
      <c r="F132" s="5"/>
      <c r="G132" s="5"/>
      <c r="H132" s="4"/>
      <c r="I132" s="4"/>
    </row>
    <row r="133" spans="1:9" x14ac:dyDescent="0.25">
      <c r="A133" s="4"/>
      <c r="B133" s="4"/>
      <c r="C133" s="4"/>
      <c r="D133" s="4"/>
      <c r="E133" s="4"/>
      <c r="F133" s="5"/>
      <c r="G133" s="5"/>
      <c r="H133" s="4"/>
      <c r="I133" s="4"/>
    </row>
    <row r="134" spans="1:9" x14ac:dyDescent="0.25">
      <c r="A134" s="4"/>
      <c r="B134" s="4"/>
      <c r="C134" s="4"/>
      <c r="D134" s="4"/>
      <c r="E134" s="4"/>
      <c r="F134" s="5"/>
      <c r="G134" s="5"/>
      <c r="H134" s="4"/>
      <c r="I134" s="4"/>
    </row>
    <row r="135" spans="1:9" x14ac:dyDescent="0.25">
      <c r="A135" s="4"/>
      <c r="B135" s="4"/>
      <c r="C135" s="4"/>
      <c r="D135" s="4"/>
      <c r="E135" s="4"/>
      <c r="F135" s="5"/>
      <c r="G135" s="5"/>
      <c r="H135" s="4"/>
      <c r="I135" s="4"/>
    </row>
    <row r="136" spans="1:9" x14ac:dyDescent="0.25">
      <c r="A136" s="4"/>
      <c r="B136" s="4"/>
      <c r="C136" s="4"/>
      <c r="D136" s="4"/>
      <c r="E136" s="4"/>
      <c r="F136" s="5"/>
      <c r="G136" s="5"/>
      <c r="H136" s="4"/>
      <c r="I136" s="4"/>
    </row>
    <row r="137" spans="1:9" x14ac:dyDescent="0.25">
      <c r="A137" s="4"/>
      <c r="B137" s="4"/>
      <c r="C137" s="4"/>
      <c r="D137" s="4"/>
      <c r="E137" s="4"/>
      <c r="F137" s="5"/>
      <c r="G137" s="5"/>
      <c r="H137" s="4"/>
      <c r="I137" s="4"/>
    </row>
    <row r="138" spans="1:9" x14ac:dyDescent="0.25">
      <c r="A138" s="4"/>
      <c r="B138" s="4"/>
      <c r="C138" s="4"/>
      <c r="D138" s="4"/>
      <c r="E138" s="4"/>
      <c r="F138" s="5"/>
      <c r="G138" s="5"/>
      <c r="H138" s="4"/>
      <c r="I138" s="4"/>
    </row>
    <row r="139" spans="1:9" x14ac:dyDescent="0.25">
      <c r="A139" s="4"/>
      <c r="B139" s="4"/>
      <c r="C139" s="4"/>
      <c r="D139" s="4"/>
      <c r="E139" s="4"/>
      <c r="F139" s="5"/>
      <c r="G139" s="5"/>
      <c r="H139" s="4"/>
      <c r="I139" s="4"/>
    </row>
    <row r="140" spans="1:9" x14ac:dyDescent="0.25">
      <c r="A140" s="4"/>
      <c r="B140" s="4"/>
      <c r="C140" s="4"/>
      <c r="D140" s="4"/>
      <c r="E140" s="4"/>
      <c r="F140" s="5"/>
      <c r="G140" s="5"/>
      <c r="H140" s="4"/>
      <c r="I140" s="4"/>
    </row>
    <row r="141" spans="1:9" x14ac:dyDescent="0.25">
      <c r="A141" s="4"/>
      <c r="B141" s="4"/>
      <c r="C141" s="4"/>
      <c r="D141" s="4"/>
      <c r="E141" s="4"/>
      <c r="F141" s="5"/>
      <c r="G141" s="5"/>
      <c r="H141" s="4"/>
      <c r="I141" s="4"/>
    </row>
    <row r="142" spans="1:9" x14ac:dyDescent="0.25">
      <c r="A142" s="4"/>
      <c r="B142" s="4"/>
      <c r="C142" s="4"/>
      <c r="D142" s="4"/>
      <c r="E142" s="4"/>
      <c r="F142" s="5"/>
      <c r="G142" s="5"/>
      <c r="H142" s="4"/>
      <c r="I142" s="4"/>
    </row>
    <row r="143" spans="1:9" x14ac:dyDescent="0.25">
      <c r="A143" s="4"/>
      <c r="B143" s="4"/>
      <c r="C143" s="4"/>
      <c r="D143" s="4"/>
      <c r="E143" s="4"/>
      <c r="F143" s="5"/>
      <c r="G143" s="5"/>
      <c r="H143" s="4"/>
      <c r="I143" s="4"/>
    </row>
    <row r="144" spans="1:9" x14ac:dyDescent="0.25">
      <c r="A144" s="4"/>
      <c r="B144" s="4"/>
      <c r="C144" s="4"/>
      <c r="D144" s="4"/>
      <c r="E144" s="4"/>
      <c r="F144" s="5"/>
      <c r="G144" s="5"/>
      <c r="H144" s="4"/>
      <c r="I144" s="4"/>
    </row>
    <row r="145" spans="1:9" x14ac:dyDescent="0.25">
      <c r="A145" s="4"/>
      <c r="B145" s="4"/>
      <c r="C145" s="4"/>
      <c r="D145" s="4"/>
      <c r="E145" s="4"/>
      <c r="F145" s="5"/>
      <c r="G145" s="5"/>
      <c r="H145" s="4"/>
      <c r="I145" s="4"/>
    </row>
    <row r="146" spans="1:9" x14ac:dyDescent="0.25">
      <c r="A146" s="4"/>
      <c r="B146" s="4"/>
      <c r="C146" s="4"/>
      <c r="D146" s="4"/>
      <c r="E146" s="4"/>
      <c r="F146" s="5"/>
      <c r="G146" s="5"/>
      <c r="H146" s="4"/>
      <c r="I146" s="4"/>
    </row>
    <row r="147" spans="1:9" x14ac:dyDescent="0.25">
      <c r="A147" s="4"/>
      <c r="B147" s="4"/>
      <c r="C147" s="4"/>
      <c r="D147" s="4"/>
      <c r="E147" s="4"/>
      <c r="F147" s="5"/>
      <c r="G147" s="5"/>
      <c r="H147" s="4"/>
      <c r="I147" s="4"/>
    </row>
    <row r="148" spans="1:9" x14ac:dyDescent="0.25">
      <c r="A148" s="4"/>
      <c r="B148" s="4"/>
      <c r="C148" s="4"/>
      <c r="D148" s="4"/>
      <c r="E148" s="4"/>
      <c r="F148" s="5"/>
      <c r="G148" s="5"/>
      <c r="H148" s="4"/>
      <c r="I148" s="4"/>
    </row>
    <row r="149" spans="1:9" x14ac:dyDescent="0.25">
      <c r="A149" s="4"/>
      <c r="B149" s="4"/>
      <c r="C149" s="4"/>
      <c r="D149" s="4"/>
      <c r="E149" s="4"/>
      <c r="F149" s="5"/>
      <c r="G149" s="5"/>
      <c r="H149" s="4"/>
      <c r="I149" s="4"/>
    </row>
    <row r="150" spans="1:9" x14ac:dyDescent="0.25">
      <c r="A150" s="4"/>
      <c r="B150" s="4"/>
      <c r="C150" s="4"/>
      <c r="D150" s="4"/>
      <c r="E150" s="4"/>
      <c r="F150" s="5"/>
      <c r="G150" s="5"/>
      <c r="H150" s="4"/>
      <c r="I150" s="4"/>
    </row>
    <row r="151" spans="1:9" x14ac:dyDescent="0.25">
      <c r="A151" s="4"/>
      <c r="B151" s="4"/>
      <c r="C151" s="4"/>
      <c r="D151" s="4"/>
      <c r="E151" s="4"/>
      <c r="F151" s="5"/>
      <c r="G151" s="5"/>
      <c r="H151" s="4"/>
      <c r="I151" s="4"/>
    </row>
    <row r="152" spans="1:9" x14ac:dyDescent="0.25">
      <c r="A152" s="4"/>
      <c r="B152" s="4"/>
      <c r="C152" s="4"/>
      <c r="D152" s="4"/>
      <c r="E152" s="4"/>
      <c r="F152" s="5"/>
      <c r="G152" s="5"/>
      <c r="H152" s="4"/>
      <c r="I152" s="4"/>
    </row>
    <row r="153" spans="1:9" x14ac:dyDescent="0.25">
      <c r="A153" s="4"/>
      <c r="B153" s="4"/>
      <c r="C153" s="4"/>
      <c r="D153" s="4"/>
      <c r="E153" s="4"/>
      <c r="F153" s="5"/>
      <c r="G153" s="5"/>
      <c r="H153" s="4"/>
      <c r="I153" s="4"/>
    </row>
    <row r="154" spans="1:9" x14ac:dyDescent="0.25">
      <c r="A154" s="4"/>
      <c r="B154" s="4"/>
      <c r="C154" s="4"/>
      <c r="D154" s="4"/>
      <c r="E154" s="4"/>
      <c r="F154" s="5"/>
      <c r="G154" s="5"/>
      <c r="H154" s="4"/>
      <c r="I154" s="4"/>
    </row>
    <row r="155" spans="1:9" x14ac:dyDescent="0.25">
      <c r="A155" s="4"/>
      <c r="B155" s="4"/>
      <c r="C155" s="4"/>
      <c r="D155" s="4"/>
      <c r="E155" s="4"/>
      <c r="F155" s="5"/>
      <c r="G155" s="5"/>
      <c r="H155" s="4"/>
      <c r="I155" s="4"/>
    </row>
    <row r="156" spans="1:9" x14ac:dyDescent="0.25">
      <c r="A156" s="4"/>
      <c r="B156" s="4"/>
      <c r="C156" s="4"/>
      <c r="D156" s="4"/>
      <c r="E156" s="4"/>
      <c r="F156" s="5"/>
      <c r="G156" s="5"/>
      <c r="H156" s="4"/>
      <c r="I156" s="4"/>
    </row>
    <row r="157" spans="1:9" x14ac:dyDescent="0.25">
      <c r="A157" s="4"/>
      <c r="B157" s="4"/>
      <c r="C157" s="4"/>
      <c r="D157" s="4"/>
      <c r="E157" s="4"/>
      <c r="F157" s="5"/>
      <c r="G157" s="5"/>
      <c r="H157" s="4"/>
      <c r="I157" s="4"/>
    </row>
    <row r="158" spans="1:9" x14ac:dyDescent="0.25">
      <c r="A158" s="4"/>
      <c r="B158" s="4"/>
      <c r="C158" s="4"/>
      <c r="D158" s="4"/>
      <c r="E158" s="4"/>
      <c r="F158" s="5"/>
      <c r="G158" s="5"/>
      <c r="H158" s="4"/>
      <c r="I158" s="4"/>
    </row>
    <row r="159" spans="1:9" x14ac:dyDescent="0.25">
      <c r="A159" s="4"/>
      <c r="B159" s="4"/>
      <c r="C159" s="4"/>
      <c r="D159" s="4"/>
      <c r="E159" s="4"/>
      <c r="F159" s="5"/>
      <c r="G159" s="5"/>
      <c r="H159" s="4"/>
      <c r="I159" s="4"/>
    </row>
    <row r="160" spans="1:9" x14ac:dyDescent="0.25">
      <c r="A160" s="4"/>
      <c r="B160" s="4"/>
      <c r="C160" s="4"/>
      <c r="D160" s="4"/>
      <c r="E160" s="4"/>
      <c r="F160" s="5"/>
      <c r="G160" s="5"/>
      <c r="H160" s="4"/>
      <c r="I160" s="4"/>
    </row>
    <row r="161" spans="1:9" x14ac:dyDescent="0.25">
      <c r="A161" s="4"/>
      <c r="B161" s="4"/>
      <c r="C161" s="4"/>
      <c r="D161" s="4"/>
      <c r="E161" s="4"/>
      <c r="F161" s="5"/>
      <c r="G161" s="5"/>
      <c r="H161" s="4"/>
      <c r="I161" s="4"/>
    </row>
    <row r="162" spans="1:9" x14ac:dyDescent="0.25">
      <c r="A162" s="4"/>
      <c r="B162" s="4"/>
      <c r="C162" s="4"/>
      <c r="D162" s="4"/>
      <c r="E162" s="4"/>
      <c r="F162" s="5"/>
      <c r="G162" s="5"/>
      <c r="H162" s="4"/>
      <c r="I162" s="4"/>
    </row>
    <row r="163" spans="1:9" x14ac:dyDescent="0.25">
      <c r="A163" s="4"/>
      <c r="B163" s="4"/>
      <c r="C163" s="4"/>
      <c r="D163" s="4"/>
      <c r="E163" s="4"/>
      <c r="F163" s="5"/>
      <c r="G163" s="5"/>
      <c r="H163" s="4"/>
      <c r="I163" s="4"/>
    </row>
    <row r="164" spans="1:9" x14ac:dyDescent="0.25">
      <c r="A164" s="4"/>
      <c r="B164" s="4"/>
      <c r="C164" s="4"/>
      <c r="D164" s="4"/>
      <c r="E164" s="4"/>
      <c r="F164" s="5"/>
      <c r="G164" s="5"/>
      <c r="H164" s="4"/>
      <c r="I164" s="4"/>
    </row>
    <row r="165" spans="1:9" x14ac:dyDescent="0.25">
      <c r="A165" s="4"/>
      <c r="B165" s="4"/>
      <c r="C165" s="4"/>
      <c r="D165" s="4"/>
      <c r="E165" s="4"/>
      <c r="F165" s="5"/>
      <c r="G165" s="5"/>
      <c r="H165" s="4"/>
      <c r="I165" s="4"/>
    </row>
    <row r="166" spans="1:9" x14ac:dyDescent="0.25">
      <c r="A166" s="4"/>
      <c r="B166" s="4"/>
      <c r="C166" s="4"/>
      <c r="D166" s="4"/>
      <c r="E166" s="4"/>
      <c r="F166" s="5"/>
      <c r="G166" s="5"/>
      <c r="H166" s="4"/>
      <c r="I166" s="4"/>
    </row>
    <row r="167" spans="1:9" x14ac:dyDescent="0.25">
      <c r="A167" s="4"/>
      <c r="B167" s="4"/>
      <c r="C167" s="4"/>
      <c r="D167" s="4"/>
      <c r="E167" s="4"/>
      <c r="F167" s="5"/>
      <c r="G167" s="5"/>
      <c r="H167" s="4"/>
      <c r="I167" s="4"/>
    </row>
    <row r="168" spans="1:9" x14ac:dyDescent="0.25">
      <c r="A168" s="4"/>
      <c r="B168" s="4"/>
      <c r="C168" s="4"/>
      <c r="D168" s="4"/>
      <c r="E168" s="4"/>
      <c r="F168" s="5"/>
      <c r="G168" s="5"/>
      <c r="H168" s="4"/>
      <c r="I168" s="4"/>
    </row>
    <row r="169" spans="1:9" x14ac:dyDescent="0.25">
      <c r="A169" s="4"/>
      <c r="B169" s="4"/>
      <c r="C169" s="4"/>
      <c r="D169" s="4"/>
      <c r="E169" s="4"/>
      <c r="F169" s="5"/>
      <c r="G169" s="5"/>
      <c r="H169" s="4"/>
      <c r="I169" s="4"/>
    </row>
    <row r="170" spans="1:9" x14ac:dyDescent="0.25">
      <c r="A170" s="4"/>
      <c r="B170" s="4"/>
      <c r="C170" s="4"/>
      <c r="D170" s="4"/>
      <c r="E170" s="4"/>
      <c r="F170" s="5"/>
      <c r="G170" s="5"/>
      <c r="H170" s="4"/>
      <c r="I170" s="4"/>
    </row>
    <row r="171" spans="1:9" x14ac:dyDescent="0.25">
      <c r="A171" s="4"/>
      <c r="B171" s="4"/>
      <c r="C171" s="4"/>
      <c r="D171" s="4"/>
      <c r="E171" s="4"/>
      <c r="F171" s="5"/>
      <c r="G171" s="5"/>
      <c r="H171" s="4"/>
      <c r="I171" s="4"/>
    </row>
    <row r="172" spans="1:9" x14ac:dyDescent="0.25">
      <c r="A172" s="4"/>
      <c r="B172" s="4"/>
      <c r="C172" s="4"/>
      <c r="D172" s="4"/>
      <c r="E172" s="4"/>
      <c r="F172" s="5"/>
      <c r="G172" s="5"/>
      <c r="H172" s="4"/>
      <c r="I172" s="4"/>
    </row>
    <row r="173" spans="1:9" x14ac:dyDescent="0.25">
      <c r="A173" s="4"/>
      <c r="B173" s="4"/>
      <c r="C173" s="4"/>
      <c r="D173" s="4"/>
      <c r="E173" s="4"/>
      <c r="F173" s="5"/>
      <c r="G173" s="5"/>
      <c r="H173" s="4"/>
      <c r="I173" s="4"/>
    </row>
    <row r="174" spans="1:9" x14ac:dyDescent="0.25">
      <c r="A174" s="4"/>
      <c r="B174" s="4"/>
      <c r="C174" s="4"/>
      <c r="D174" s="4"/>
      <c r="E174" s="4"/>
      <c r="F174" s="5"/>
      <c r="G174" s="5"/>
      <c r="H174" s="4"/>
      <c r="I174" s="4"/>
    </row>
    <row r="175" spans="1:9" x14ac:dyDescent="0.25">
      <c r="A175" s="4"/>
      <c r="B175" s="4"/>
      <c r="C175" s="4"/>
      <c r="D175" s="4"/>
      <c r="E175" s="4"/>
      <c r="F175" s="5"/>
      <c r="G175" s="5"/>
      <c r="H175" s="4"/>
      <c r="I175" s="4"/>
    </row>
    <row r="176" spans="1:9" x14ac:dyDescent="0.25">
      <c r="A176" s="4"/>
      <c r="B176" s="4"/>
      <c r="C176" s="4"/>
      <c r="D176" s="4"/>
      <c r="E176" s="4"/>
      <c r="F176" s="5"/>
      <c r="G176" s="5"/>
      <c r="H176" s="4"/>
      <c r="I176" s="4"/>
    </row>
    <row r="177" spans="1:9" x14ac:dyDescent="0.25">
      <c r="A177" s="4"/>
      <c r="B177" s="4"/>
      <c r="C177" s="4"/>
      <c r="D177" s="4"/>
      <c r="E177" s="4"/>
      <c r="F177" s="5"/>
      <c r="G177" s="5"/>
      <c r="H177" s="4"/>
      <c r="I177" s="4"/>
    </row>
    <row r="178" spans="1:9" x14ac:dyDescent="0.25">
      <c r="A178" s="4"/>
      <c r="B178" s="4"/>
      <c r="C178" s="4"/>
      <c r="D178" s="4"/>
      <c r="E178" s="4"/>
      <c r="F178" s="5"/>
      <c r="G178" s="5"/>
      <c r="H178" s="4"/>
      <c r="I178" s="4"/>
    </row>
    <row r="179" spans="1:9" x14ac:dyDescent="0.25">
      <c r="A179" s="4"/>
      <c r="B179" s="4"/>
      <c r="C179" s="4"/>
      <c r="D179" s="4"/>
      <c r="E179" s="4"/>
      <c r="F179" s="5"/>
      <c r="G179" s="5"/>
      <c r="H179" s="4"/>
      <c r="I179" s="4"/>
    </row>
    <row r="180" spans="1:9" x14ac:dyDescent="0.25">
      <c r="A180" s="4"/>
      <c r="B180" s="4"/>
      <c r="C180" s="4"/>
      <c r="D180" s="4"/>
      <c r="E180" s="4"/>
      <c r="F180" s="5"/>
      <c r="G180" s="5"/>
      <c r="H180" s="4"/>
      <c r="I180" s="4"/>
    </row>
    <row r="181" spans="1:9" x14ac:dyDescent="0.25">
      <c r="A181" s="4"/>
      <c r="B181" s="4"/>
      <c r="C181" s="4"/>
      <c r="D181" s="4"/>
      <c r="E181" s="4"/>
      <c r="F181" s="5"/>
      <c r="G181" s="5"/>
      <c r="H181" s="4"/>
      <c r="I181" s="4"/>
    </row>
    <row r="182" spans="1:9" x14ac:dyDescent="0.25">
      <c r="A182" s="4"/>
      <c r="B182" s="4"/>
      <c r="C182" s="4"/>
      <c r="D182" s="4"/>
      <c r="E182" s="4"/>
      <c r="F182" s="5"/>
      <c r="G182" s="5"/>
      <c r="H182" s="4"/>
      <c r="I182" s="4"/>
    </row>
    <row r="183" spans="1:9" x14ac:dyDescent="0.25">
      <c r="A183" s="4"/>
      <c r="B183" s="4"/>
      <c r="C183" s="4"/>
      <c r="D183" s="4"/>
      <c r="E183" s="4"/>
      <c r="F183" s="5"/>
      <c r="G183" s="5"/>
      <c r="H183" s="4"/>
      <c r="I183" s="4"/>
    </row>
    <row r="184" spans="1:9" x14ac:dyDescent="0.25">
      <c r="A184" s="4"/>
      <c r="B184" s="4"/>
      <c r="C184" s="4"/>
      <c r="D184" s="4"/>
      <c r="E184" s="4"/>
      <c r="F184" s="5"/>
      <c r="G184" s="5"/>
      <c r="H184" s="4"/>
      <c r="I184" s="4"/>
    </row>
    <row r="185" spans="1:9" x14ac:dyDescent="0.25">
      <c r="A185" s="4"/>
      <c r="B185" s="4"/>
      <c r="C185" s="4"/>
      <c r="D185" s="4"/>
      <c r="E185" s="4"/>
      <c r="F185" s="5"/>
      <c r="G185" s="5"/>
      <c r="H185" s="4"/>
      <c r="I185" s="4"/>
    </row>
    <row r="186" spans="1:9" x14ac:dyDescent="0.25">
      <c r="A186" s="4"/>
      <c r="B186" s="4"/>
      <c r="C186" s="4"/>
      <c r="D186" s="4"/>
      <c r="E186" s="4"/>
      <c r="F186" s="5"/>
      <c r="G186" s="5"/>
      <c r="H186" s="4"/>
      <c r="I186" s="4"/>
    </row>
    <row r="187" spans="1:9" x14ac:dyDescent="0.25">
      <c r="A187" s="4"/>
      <c r="B187" s="4"/>
      <c r="C187" s="4"/>
      <c r="D187" s="4"/>
      <c r="E187" s="4"/>
      <c r="F187" s="5"/>
      <c r="G187" s="5"/>
      <c r="H187" s="4"/>
      <c r="I187" s="4"/>
    </row>
    <row r="188" spans="1:9" x14ac:dyDescent="0.25">
      <c r="A188" s="4"/>
      <c r="B188" s="4"/>
      <c r="C188" s="4"/>
      <c r="D188" s="4"/>
      <c r="E188" s="4"/>
      <c r="F188" s="5"/>
      <c r="G188" s="5"/>
      <c r="H188" s="4"/>
      <c r="I188" s="4"/>
    </row>
    <row r="189" spans="1:9" x14ac:dyDescent="0.25">
      <c r="A189" s="4"/>
      <c r="B189" s="4"/>
      <c r="C189" s="4"/>
      <c r="D189" s="4"/>
      <c r="E189" s="4"/>
      <c r="F189" s="5"/>
      <c r="G189" s="5"/>
      <c r="H189" s="4"/>
      <c r="I189" s="4"/>
    </row>
    <row r="190" spans="1:9" x14ac:dyDescent="0.25">
      <c r="A190" s="4"/>
      <c r="B190" s="4"/>
      <c r="C190" s="4"/>
      <c r="D190" s="4"/>
      <c r="E190" s="4"/>
      <c r="F190" s="5"/>
      <c r="G190" s="5"/>
      <c r="H190" s="4"/>
      <c r="I190" s="4"/>
    </row>
    <row r="191" spans="1:9" x14ac:dyDescent="0.25">
      <c r="A191" s="4"/>
      <c r="B191" s="4"/>
      <c r="C191" s="4"/>
      <c r="D191" s="4"/>
      <c r="E191" s="4"/>
      <c r="F191" s="5"/>
      <c r="G191" s="5"/>
      <c r="H191" s="4"/>
      <c r="I191" s="4"/>
    </row>
    <row r="192" spans="1:9" x14ac:dyDescent="0.25">
      <c r="A192" s="4"/>
      <c r="B192" s="4"/>
      <c r="C192" s="4"/>
      <c r="D192" s="4"/>
      <c r="E192" s="4"/>
      <c r="F192" s="5"/>
      <c r="G192" s="5"/>
      <c r="H192" s="4"/>
      <c r="I192" s="4"/>
    </row>
    <row r="193" spans="1:9" x14ac:dyDescent="0.25">
      <c r="A193" s="4"/>
      <c r="B193" s="4"/>
      <c r="C193" s="4"/>
      <c r="D193" s="4"/>
      <c r="E193" s="4"/>
      <c r="F193" s="5"/>
      <c r="G193" s="5"/>
      <c r="H193" s="4"/>
      <c r="I193" s="4"/>
    </row>
    <row r="194" spans="1:9" x14ac:dyDescent="0.25">
      <c r="A194" s="4"/>
      <c r="B194" s="4"/>
      <c r="C194" s="4"/>
      <c r="D194" s="4"/>
      <c r="E194" s="4"/>
      <c r="F194" s="5"/>
      <c r="G194" s="5"/>
      <c r="H194" s="4"/>
      <c r="I194" s="4"/>
    </row>
    <row r="195" spans="1:9" x14ac:dyDescent="0.25">
      <c r="A195" s="4"/>
      <c r="B195" s="4"/>
      <c r="C195" s="4"/>
      <c r="D195" s="4"/>
      <c r="E195" s="4"/>
      <c r="F195" s="5"/>
      <c r="G195" s="5"/>
      <c r="H195" s="4"/>
      <c r="I195" s="4"/>
    </row>
    <row r="196" spans="1:9" x14ac:dyDescent="0.25">
      <c r="A196" s="4"/>
      <c r="B196" s="4"/>
      <c r="C196" s="4"/>
      <c r="D196" s="4"/>
      <c r="E196" s="4"/>
      <c r="F196" s="5"/>
      <c r="G196" s="5"/>
      <c r="H196" s="4"/>
      <c r="I196" s="4"/>
    </row>
    <row r="197" spans="1:9" x14ac:dyDescent="0.25">
      <c r="A197" s="4"/>
      <c r="B197" s="4"/>
      <c r="C197" s="4"/>
      <c r="D197" s="4"/>
      <c r="E197" s="4"/>
      <c r="F197" s="5"/>
      <c r="G197" s="5"/>
      <c r="H197" s="4"/>
      <c r="I197" s="4"/>
    </row>
    <row r="198" spans="1:9" x14ac:dyDescent="0.25">
      <c r="A198" s="4"/>
      <c r="B198" s="4"/>
      <c r="C198" s="4"/>
      <c r="D198" s="4"/>
      <c r="E198" s="4"/>
      <c r="F198" s="5"/>
      <c r="G198" s="5"/>
      <c r="H198" s="4"/>
      <c r="I198" s="4"/>
    </row>
    <row r="199" spans="1:9" x14ac:dyDescent="0.25">
      <c r="A199" s="4"/>
      <c r="B199" s="4"/>
      <c r="C199" s="4"/>
      <c r="D199" s="4"/>
      <c r="E199" s="4"/>
      <c r="F199" s="5"/>
      <c r="G199" s="5"/>
      <c r="H199" s="4"/>
      <c r="I199" s="4"/>
    </row>
    <row r="200" spans="1:9" x14ac:dyDescent="0.25">
      <c r="A200" s="4"/>
      <c r="B200" s="4"/>
      <c r="C200" s="4"/>
      <c r="D200" s="4"/>
      <c r="E200" s="4"/>
      <c r="F200" s="5"/>
      <c r="G200" s="5"/>
      <c r="H200" s="4"/>
      <c r="I200" s="4"/>
    </row>
    <row r="201" spans="1:9" x14ac:dyDescent="0.25">
      <c r="A201" s="4"/>
      <c r="B201" s="4"/>
      <c r="C201" s="4"/>
      <c r="D201" s="4"/>
      <c r="E201" s="4"/>
      <c r="F201" s="5"/>
      <c r="G201" s="5"/>
      <c r="H201" s="4"/>
      <c r="I201" s="4"/>
    </row>
    <row r="202" spans="1:9" x14ac:dyDescent="0.25">
      <c r="A202" s="4"/>
      <c r="B202" s="4"/>
      <c r="C202" s="4"/>
      <c r="D202" s="4"/>
      <c r="E202" s="4"/>
      <c r="F202" s="5"/>
      <c r="G202" s="5"/>
      <c r="H202" s="4"/>
      <c r="I202" s="4"/>
    </row>
    <row r="203" spans="1:9" x14ac:dyDescent="0.25">
      <c r="A203" s="4"/>
      <c r="B203" s="4"/>
      <c r="C203" s="4"/>
      <c r="D203" s="4"/>
      <c r="E203" s="4"/>
      <c r="F203" s="5"/>
      <c r="G203" s="5"/>
      <c r="H203" s="4"/>
      <c r="I203" s="4"/>
    </row>
    <row r="204" spans="1:9" x14ac:dyDescent="0.25">
      <c r="A204" s="4"/>
      <c r="B204" s="4"/>
      <c r="C204" s="4"/>
      <c r="D204" s="4"/>
      <c r="E204" s="4"/>
      <c r="F204" s="5"/>
      <c r="G204" s="5"/>
      <c r="H204" s="4"/>
      <c r="I204" s="4"/>
    </row>
    <row r="205" spans="1:9" x14ac:dyDescent="0.25">
      <c r="A205" s="4"/>
      <c r="B205" s="4"/>
      <c r="C205" s="4"/>
      <c r="D205" s="4"/>
      <c r="E205" s="4"/>
      <c r="F205" s="5"/>
      <c r="G205" s="5"/>
      <c r="H205" s="4"/>
      <c r="I205" s="4"/>
    </row>
    <row r="206" spans="1:9" x14ac:dyDescent="0.25">
      <c r="A206" s="4"/>
      <c r="B206" s="4"/>
      <c r="C206" s="4"/>
      <c r="D206" s="4"/>
      <c r="E206" s="4"/>
      <c r="F206" s="5"/>
      <c r="G206" s="5"/>
      <c r="H206" s="4"/>
      <c r="I206" s="4"/>
    </row>
    <row r="207" spans="1:9" x14ac:dyDescent="0.25">
      <c r="A207" s="4"/>
      <c r="B207" s="4"/>
      <c r="C207" s="4"/>
      <c r="D207" s="4"/>
      <c r="E207" s="4"/>
      <c r="F207" s="5"/>
      <c r="G207" s="5"/>
      <c r="H207" s="4"/>
      <c r="I207" s="4"/>
    </row>
    <row r="208" spans="1:9" x14ac:dyDescent="0.25">
      <c r="A208" s="4"/>
      <c r="B208" s="4"/>
      <c r="C208" s="4"/>
      <c r="D208" s="4"/>
      <c r="E208" s="4"/>
      <c r="F208" s="5"/>
      <c r="G208" s="5"/>
      <c r="H208" s="4"/>
      <c r="I208" s="4"/>
    </row>
    <row r="209" spans="1:9" x14ac:dyDescent="0.25">
      <c r="A209" s="4"/>
      <c r="B209" s="4"/>
      <c r="C209" s="4"/>
      <c r="D209" s="4"/>
      <c r="E209" s="4"/>
      <c r="F209" s="5"/>
      <c r="G209" s="5"/>
      <c r="H209" s="4"/>
      <c r="I209" s="4"/>
    </row>
    <row r="210" spans="1:9" x14ac:dyDescent="0.25">
      <c r="A210" s="4"/>
      <c r="B210" s="4"/>
      <c r="C210" s="4"/>
      <c r="D210" s="4"/>
      <c r="E210" s="4"/>
      <c r="F210" s="5"/>
      <c r="G210" s="5"/>
      <c r="H210" s="4"/>
      <c r="I210" s="4"/>
    </row>
    <row r="211" spans="1:9" x14ac:dyDescent="0.25">
      <c r="A211" s="4"/>
      <c r="B211" s="4"/>
      <c r="C211" s="4"/>
      <c r="D211" s="4"/>
      <c r="E211" s="4"/>
      <c r="F211" s="5"/>
      <c r="G211" s="5"/>
      <c r="H211" s="4"/>
      <c r="I211" s="4"/>
    </row>
    <row r="212" spans="1:9" x14ac:dyDescent="0.25">
      <c r="A212" s="4"/>
      <c r="B212" s="4"/>
      <c r="C212" s="4"/>
      <c r="D212" s="4"/>
      <c r="E212" s="4"/>
      <c r="F212" s="5"/>
      <c r="G212" s="5"/>
      <c r="H212" s="4"/>
      <c r="I212" s="4"/>
    </row>
    <row r="213" spans="1:9" x14ac:dyDescent="0.25">
      <c r="A213" s="4"/>
      <c r="B213" s="4"/>
      <c r="C213" s="4"/>
      <c r="D213" s="4"/>
      <c r="E213" s="4"/>
      <c r="F213" s="5"/>
      <c r="G213" s="5"/>
      <c r="H213" s="4"/>
      <c r="I213" s="4"/>
    </row>
    <row r="214" spans="1:9" x14ac:dyDescent="0.25">
      <c r="A214" s="4"/>
      <c r="B214" s="4"/>
      <c r="C214" s="4"/>
      <c r="D214" s="4"/>
      <c r="E214" s="4"/>
      <c r="F214" s="5"/>
      <c r="G214" s="5"/>
      <c r="H214" s="4"/>
      <c r="I214" s="4"/>
    </row>
    <row r="215" spans="1:9" x14ac:dyDescent="0.25">
      <c r="A215" s="4"/>
      <c r="B215" s="4"/>
      <c r="C215" s="4"/>
      <c r="D215" s="4"/>
      <c r="E215" s="4"/>
      <c r="F215" s="5"/>
      <c r="G215" s="5"/>
      <c r="H215" s="4"/>
      <c r="I215" s="4"/>
    </row>
    <row r="216" spans="1:9" x14ac:dyDescent="0.25">
      <c r="A216" s="4"/>
      <c r="B216" s="4"/>
      <c r="C216" s="4"/>
      <c r="D216" s="4"/>
      <c r="E216" s="4"/>
      <c r="F216" s="5"/>
      <c r="G216" s="5"/>
      <c r="H216" s="4"/>
      <c r="I216" s="4"/>
    </row>
    <row r="217" spans="1:9" x14ac:dyDescent="0.25">
      <c r="A217" s="4"/>
      <c r="B217" s="4"/>
      <c r="C217" s="4"/>
      <c r="D217" s="4"/>
      <c r="E217" s="4"/>
      <c r="F217" s="5"/>
      <c r="G217" s="5"/>
      <c r="H217" s="4"/>
      <c r="I217" s="4"/>
    </row>
    <row r="218" spans="1:9" x14ac:dyDescent="0.25">
      <c r="A218" s="4"/>
      <c r="B218" s="4"/>
      <c r="C218" s="4"/>
      <c r="D218" s="4"/>
      <c r="E218" s="4"/>
      <c r="F218" s="5"/>
      <c r="G218" s="5"/>
      <c r="H218" s="4"/>
      <c r="I218" s="4"/>
    </row>
    <row r="219" spans="1:9" x14ac:dyDescent="0.25">
      <c r="A219" s="4"/>
      <c r="B219" s="4"/>
      <c r="C219" s="4"/>
      <c r="D219" s="4"/>
      <c r="E219" s="4"/>
      <c r="F219" s="5"/>
      <c r="G219" s="5"/>
      <c r="H219" s="4"/>
      <c r="I219" s="4"/>
    </row>
    <row r="220" spans="1:9" x14ac:dyDescent="0.25">
      <c r="A220" s="4"/>
      <c r="B220" s="4"/>
      <c r="C220" s="4"/>
      <c r="D220" s="4"/>
      <c r="E220" s="4"/>
      <c r="F220" s="5"/>
      <c r="G220" s="5"/>
      <c r="H220" s="4"/>
      <c r="I220" s="4"/>
    </row>
    <row r="221" spans="1:9" x14ac:dyDescent="0.25">
      <c r="A221" s="4"/>
      <c r="B221" s="4"/>
      <c r="C221" s="4"/>
      <c r="D221" s="4"/>
      <c r="E221" s="4"/>
      <c r="F221" s="5"/>
      <c r="G221" s="5"/>
      <c r="H221" s="4"/>
      <c r="I221" s="4"/>
    </row>
    <row r="222" spans="1:9" x14ac:dyDescent="0.25">
      <c r="A222" s="4"/>
      <c r="B222" s="4"/>
      <c r="C222" s="4"/>
      <c r="D222" s="4"/>
      <c r="E222" s="4"/>
      <c r="F222" s="5"/>
      <c r="G222" s="5"/>
      <c r="H222" s="4"/>
      <c r="I222" s="4"/>
    </row>
    <row r="223" spans="1:9" x14ac:dyDescent="0.25">
      <c r="A223" s="4"/>
      <c r="B223" s="4"/>
      <c r="C223" s="4"/>
      <c r="D223" s="4"/>
      <c r="E223" s="4"/>
      <c r="F223" s="5"/>
      <c r="G223" s="5"/>
      <c r="H223" s="4"/>
      <c r="I223" s="4"/>
    </row>
    <row r="224" spans="1:9" x14ac:dyDescent="0.25">
      <c r="A224" s="4"/>
      <c r="B224" s="4"/>
      <c r="C224" s="4"/>
      <c r="D224" s="4"/>
      <c r="E224" s="4"/>
      <c r="F224" s="5"/>
      <c r="G224" s="5"/>
      <c r="H224" s="4"/>
      <c r="I224" s="4"/>
    </row>
    <row r="225" spans="1:9" x14ac:dyDescent="0.25">
      <c r="A225" s="4"/>
      <c r="B225" s="4"/>
      <c r="C225" s="4"/>
      <c r="D225" s="4"/>
      <c r="E225" s="4"/>
      <c r="F225" s="5"/>
      <c r="G225" s="5"/>
      <c r="H225" s="4"/>
      <c r="I225" s="4"/>
    </row>
    <row r="226" spans="1:9" x14ac:dyDescent="0.25">
      <c r="A226" s="4"/>
      <c r="B226" s="4"/>
      <c r="C226" s="4"/>
      <c r="D226" s="4"/>
      <c r="E226" s="4"/>
      <c r="F226" s="5"/>
      <c r="G226" s="5"/>
      <c r="H226" s="4"/>
      <c r="I226" s="4"/>
    </row>
    <row r="227" spans="1:9" x14ac:dyDescent="0.25">
      <c r="A227" s="4"/>
      <c r="B227" s="4"/>
      <c r="C227" s="4"/>
      <c r="D227" s="4"/>
      <c r="E227" s="4"/>
      <c r="F227" s="5"/>
      <c r="G227" s="5"/>
      <c r="H227" s="4"/>
      <c r="I227" s="4"/>
    </row>
    <row r="228" spans="1:9" x14ac:dyDescent="0.25">
      <c r="A228" s="4"/>
      <c r="B228" s="4"/>
      <c r="C228" s="4"/>
      <c r="D228" s="4"/>
      <c r="E228" s="4"/>
      <c r="F228" s="5"/>
      <c r="G228" s="5"/>
      <c r="H228" s="4"/>
      <c r="I228" s="4"/>
    </row>
    <row r="229" spans="1:9" x14ac:dyDescent="0.25">
      <c r="A229" s="4"/>
      <c r="B229" s="4"/>
      <c r="C229" s="4"/>
      <c r="D229" s="4"/>
      <c r="E229" s="4"/>
      <c r="F229" s="5"/>
      <c r="G229" s="5"/>
      <c r="H229" s="4"/>
      <c r="I229" s="4"/>
    </row>
    <row r="230" spans="1:9" x14ac:dyDescent="0.25">
      <c r="A230" s="4"/>
      <c r="B230" s="4"/>
      <c r="C230" s="4"/>
      <c r="D230" s="4"/>
      <c r="E230" s="4"/>
      <c r="F230" s="5"/>
      <c r="G230" s="5"/>
      <c r="H230" s="4"/>
      <c r="I230" s="4"/>
    </row>
    <row r="231" spans="1:9" x14ac:dyDescent="0.25">
      <c r="A231" s="4"/>
      <c r="B231" s="4"/>
      <c r="C231" s="4"/>
      <c r="D231" s="4"/>
      <c r="E231" s="4"/>
      <c r="F231" s="5"/>
      <c r="G231" s="5"/>
      <c r="H231" s="4"/>
      <c r="I231" s="4"/>
    </row>
    <row r="232" spans="1:9" x14ac:dyDescent="0.25">
      <c r="A232" s="4"/>
      <c r="B232" s="4"/>
      <c r="C232" s="4"/>
      <c r="D232" s="4"/>
      <c r="E232" s="4"/>
      <c r="F232" s="5"/>
      <c r="G232" s="5"/>
      <c r="H232" s="4"/>
      <c r="I232" s="4"/>
    </row>
    <row r="233" spans="1:9" x14ac:dyDescent="0.25">
      <c r="A233" s="4"/>
      <c r="B233" s="4"/>
      <c r="C233" s="4"/>
      <c r="D233" s="4"/>
      <c r="E233" s="4"/>
      <c r="F233" s="5"/>
      <c r="G233" s="5"/>
      <c r="H233" s="4"/>
      <c r="I233" s="4"/>
    </row>
    <row r="234" spans="1:9" x14ac:dyDescent="0.25">
      <c r="A234" s="4"/>
      <c r="B234" s="4"/>
      <c r="C234" s="4"/>
      <c r="D234" s="4"/>
      <c r="E234" s="4"/>
      <c r="F234" s="5"/>
      <c r="G234" s="5"/>
      <c r="H234" s="4"/>
      <c r="I234" s="4"/>
    </row>
    <row r="235" spans="1:9" x14ac:dyDescent="0.25">
      <c r="A235" s="4"/>
      <c r="B235" s="4"/>
      <c r="C235" s="4"/>
      <c r="D235" s="4"/>
      <c r="E235" s="4"/>
      <c r="F235" s="5"/>
      <c r="G235" s="5"/>
      <c r="H235" s="4"/>
      <c r="I235" s="4"/>
    </row>
    <row r="236" spans="1:9" x14ac:dyDescent="0.25">
      <c r="A236" s="4"/>
      <c r="B236" s="4"/>
      <c r="C236" s="4"/>
      <c r="D236" s="4"/>
      <c r="E236" s="4"/>
      <c r="F236" s="5"/>
      <c r="G236" s="5"/>
      <c r="H236" s="4"/>
      <c r="I236" s="4"/>
    </row>
    <row r="237" spans="1:9" x14ac:dyDescent="0.25">
      <c r="A237" s="4"/>
      <c r="B237" s="4"/>
      <c r="C237" s="4"/>
      <c r="D237" s="4"/>
      <c r="E237" s="4"/>
      <c r="F237" s="5"/>
      <c r="G237" s="5"/>
      <c r="H237" s="4"/>
      <c r="I237" s="4"/>
    </row>
    <row r="238" spans="1:9" x14ac:dyDescent="0.25">
      <c r="A238" s="4"/>
      <c r="B238" s="4"/>
      <c r="C238" s="4"/>
      <c r="D238" s="4"/>
      <c r="E238" s="4"/>
      <c r="F238" s="5"/>
      <c r="G238" s="5"/>
      <c r="H238" s="4"/>
      <c r="I238" s="4"/>
    </row>
    <row r="239" spans="1:9" x14ac:dyDescent="0.25">
      <c r="A239" s="4"/>
      <c r="B239" s="4"/>
      <c r="C239" s="4"/>
      <c r="D239" s="4"/>
      <c r="E239" s="4"/>
      <c r="F239" s="5"/>
      <c r="G239" s="5"/>
      <c r="H239" s="4"/>
      <c r="I239" s="4"/>
    </row>
    <row r="240" spans="1:9" x14ac:dyDescent="0.25">
      <c r="A240" s="4"/>
      <c r="B240" s="4"/>
      <c r="C240" s="4"/>
      <c r="D240" s="4"/>
      <c r="E240" s="4"/>
      <c r="F240" s="5"/>
      <c r="G240" s="5"/>
      <c r="H240" s="4"/>
      <c r="I240" s="4"/>
    </row>
    <row r="241" spans="1:9" x14ac:dyDescent="0.25">
      <c r="A241" s="4"/>
      <c r="B241" s="4"/>
      <c r="C241" s="4"/>
      <c r="D241" s="4"/>
      <c r="E241" s="4"/>
      <c r="F241" s="5"/>
      <c r="G241" s="5"/>
      <c r="H241" s="4"/>
      <c r="I241" s="4"/>
    </row>
    <row r="242" spans="1:9" x14ac:dyDescent="0.25">
      <c r="A242" s="4"/>
      <c r="B242" s="4"/>
      <c r="C242" s="4"/>
      <c r="D242" s="4"/>
      <c r="E242" s="4"/>
      <c r="F242" s="5"/>
      <c r="G242" s="5"/>
      <c r="H242" s="4"/>
      <c r="I242" s="4"/>
    </row>
    <row r="243" spans="1:9" x14ac:dyDescent="0.25">
      <c r="A243" s="4"/>
      <c r="B243" s="4"/>
      <c r="C243" s="4"/>
      <c r="D243" s="4"/>
      <c r="E243" s="4"/>
      <c r="F243" s="5"/>
      <c r="G243" s="5"/>
      <c r="H243" s="4"/>
      <c r="I243" s="4"/>
    </row>
    <row r="244" spans="1:9" x14ac:dyDescent="0.25">
      <c r="A244" s="4"/>
      <c r="B244" s="4"/>
      <c r="C244" s="4"/>
      <c r="D244" s="4"/>
      <c r="E244" s="4"/>
      <c r="F244" s="5"/>
      <c r="G244" s="5"/>
      <c r="H244" s="4"/>
      <c r="I244" s="4"/>
    </row>
    <row r="245" spans="1:9" x14ac:dyDescent="0.25">
      <c r="A245" s="4"/>
      <c r="B245" s="4"/>
      <c r="C245" s="4"/>
      <c r="D245" s="4"/>
      <c r="E245" s="4"/>
      <c r="F245" s="5"/>
      <c r="G245" s="5"/>
      <c r="H245" s="4"/>
      <c r="I245" s="4"/>
    </row>
    <row r="246" spans="1:9" x14ac:dyDescent="0.25">
      <c r="A246" s="4"/>
      <c r="B246" s="4"/>
      <c r="C246" s="4"/>
      <c r="D246" s="4"/>
      <c r="E246" s="4"/>
      <c r="F246" s="5"/>
      <c r="G246" s="5"/>
      <c r="H246" s="4"/>
      <c r="I246" s="4"/>
    </row>
    <row r="247" spans="1:9" x14ac:dyDescent="0.25">
      <c r="A247" s="4"/>
      <c r="B247" s="4"/>
      <c r="C247" s="4"/>
      <c r="D247" s="4"/>
      <c r="E247" s="4"/>
      <c r="F247" s="5"/>
      <c r="G247" s="5"/>
      <c r="H247" s="4"/>
      <c r="I247" s="4"/>
    </row>
    <row r="248" spans="1:9" x14ac:dyDescent="0.25">
      <c r="A248" s="4"/>
      <c r="B248" s="4"/>
      <c r="C248" s="4"/>
      <c r="D248" s="4"/>
      <c r="E248" s="4"/>
      <c r="F248" s="5"/>
      <c r="G248" s="5"/>
      <c r="H248" s="4"/>
      <c r="I248" s="4"/>
    </row>
    <row r="249" spans="1:9" x14ac:dyDescent="0.25">
      <c r="A249" s="4"/>
      <c r="B249" s="4"/>
      <c r="C249" s="4"/>
      <c r="D249" s="4"/>
      <c r="E249" s="4"/>
      <c r="F249" s="5"/>
      <c r="G249" s="5"/>
      <c r="H249" s="4"/>
      <c r="I249" s="4"/>
    </row>
    <row r="250" spans="1:9" x14ac:dyDescent="0.25">
      <c r="A250" s="4"/>
      <c r="B250" s="4"/>
      <c r="C250" s="4"/>
      <c r="D250" s="4"/>
      <c r="E250" s="4"/>
      <c r="F250" s="5"/>
      <c r="G250" s="5"/>
      <c r="H250" s="4"/>
      <c r="I250" s="4"/>
    </row>
    <row r="251" spans="1:9" x14ac:dyDescent="0.25">
      <c r="A251" s="4"/>
      <c r="B251" s="4"/>
      <c r="C251" s="4"/>
      <c r="D251" s="4"/>
      <c r="E251" s="4"/>
      <c r="F251" s="5"/>
      <c r="G251" s="5"/>
      <c r="H251" s="4"/>
      <c r="I251" s="4"/>
    </row>
    <row r="252" spans="1:9" x14ac:dyDescent="0.25">
      <c r="A252" s="4"/>
      <c r="B252" s="4"/>
      <c r="C252" s="4"/>
      <c r="D252" s="4"/>
      <c r="E252" s="4"/>
      <c r="F252" s="5"/>
      <c r="G252" s="5"/>
      <c r="H252" s="4"/>
      <c r="I252" s="4"/>
    </row>
    <row r="253" spans="1:9" x14ac:dyDescent="0.25">
      <c r="A253" s="4"/>
      <c r="B253" s="4"/>
      <c r="C253" s="4"/>
      <c r="D253" s="4"/>
      <c r="E253" s="4"/>
      <c r="F253" s="5"/>
      <c r="G253" s="5"/>
      <c r="H253" s="4"/>
      <c r="I253" s="4"/>
    </row>
    <row r="254" spans="1:9" x14ac:dyDescent="0.25">
      <c r="A254" s="4"/>
      <c r="B254" s="4"/>
      <c r="C254" s="4"/>
      <c r="D254" s="4"/>
      <c r="E254" s="4"/>
      <c r="F254" s="5"/>
      <c r="G254" s="5"/>
      <c r="H254" s="4"/>
      <c r="I254" s="4"/>
    </row>
    <row r="255" spans="1:9" x14ac:dyDescent="0.25">
      <c r="A255" s="4"/>
      <c r="B255" s="4"/>
      <c r="C255" s="4"/>
      <c r="D255" s="4"/>
      <c r="E255" s="4"/>
      <c r="F255" s="5"/>
      <c r="G255" s="5"/>
      <c r="H255" s="4"/>
      <c r="I255" s="4"/>
    </row>
    <row r="256" spans="1:9" x14ac:dyDescent="0.25">
      <c r="A256" s="4"/>
      <c r="B256" s="4"/>
      <c r="C256" s="4"/>
      <c r="D256" s="4"/>
      <c r="E256" s="4"/>
      <c r="F256" s="5"/>
      <c r="G256" s="5"/>
      <c r="H256" s="4"/>
      <c r="I256" s="4"/>
    </row>
    <row r="257" spans="1:9" x14ac:dyDescent="0.25">
      <c r="A257" s="4"/>
      <c r="B257" s="4"/>
      <c r="C257" s="4"/>
      <c r="D257" s="4"/>
      <c r="E257" s="4"/>
      <c r="F257" s="5"/>
      <c r="G257" s="5"/>
      <c r="H257" s="4"/>
      <c r="I257" s="4"/>
    </row>
    <row r="258" spans="1:9" x14ac:dyDescent="0.25">
      <c r="A258" s="4"/>
      <c r="B258" s="4"/>
      <c r="C258" s="4"/>
      <c r="D258" s="4"/>
      <c r="E258" s="4"/>
      <c r="F258" s="5"/>
      <c r="G258" s="5"/>
      <c r="H258" s="4"/>
      <c r="I258" s="4"/>
    </row>
    <row r="259" spans="1:9" x14ac:dyDescent="0.25">
      <c r="A259" s="4"/>
      <c r="B259" s="4"/>
      <c r="C259" s="4"/>
      <c r="D259" s="4"/>
      <c r="E259" s="4"/>
      <c r="F259" s="5"/>
      <c r="G259" s="5"/>
      <c r="H259" s="4"/>
      <c r="I259" s="4"/>
    </row>
    <row r="260" spans="1:9" x14ac:dyDescent="0.25">
      <c r="A260" s="4"/>
      <c r="B260" s="4"/>
      <c r="C260" s="4"/>
      <c r="D260" s="4"/>
      <c r="E260" s="4"/>
      <c r="F260" s="5"/>
      <c r="G260" s="5"/>
      <c r="H260" s="4"/>
      <c r="I260" s="4"/>
    </row>
    <row r="261" spans="1:9" x14ac:dyDescent="0.25">
      <c r="A261" s="4"/>
      <c r="B261" s="4"/>
      <c r="C261" s="4"/>
      <c r="D261" s="4"/>
      <c r="E261" s="4"/>
      <c r="F261" s="5"/>
      <c r="G261" s="5"/>
      <c r="H261" s="4"/>
      <c r="I261" s="4"/>
    </row>
    <row r="262" spans="1:9" x14ac:dyDescent="0.25">
      <c r="A262" s="4"/>
      <c r="B262" s="4"/>
      <c r="C262" s="4"/>
      <c r="D262" s="4"/>
      <c r="E262" s="4"/>
      <c r="F262" s="5"/>
      <c r="G262" s="5"/>
      <c r="H262" s="4"/>
      <c r="I262" s="4"/>
    </row>
    <row r="263" spans="1:9" x14ac:dyDescent="0.25">
      <c r="A263" s="4"/>
      <c r="B263" s="4"/>
      <c r="C263" s="4"/>
      <c r="D263" s="4"/>
      <c r="E263" s="4"/>
      <c r="F263" s="5"/>
      <c r="G263" s="5"/>
      <c r="H263" s="4"/>
      <c r="I263" s="4"/>
    </row>
    <row r="264" spans="1:9" x14ac:dyDescent="0.25">
      <c r="A264" s="4"/>
      <c r="B264" s="4"/>
      <c r="C264" s="4"/>
      <c r="D264" s="4"/>
      <c r="E264" s="4"/>
      <c r="F264" s="5"/>
      <c r="G264" s="5"/>
      <c r="H264" s="4"/>
      <c r="I264" s="4"/>
    </row>
    <row r="265" spans="1:9" x14ac:dyDescent="0.25">
      <c r="A265" s="4"/>
      <c r="B265" s="4"/>
      <c r="C265" s="4"/>
      <c r="D265" s="4"/>
      <c r="E265" s="4"/>
      <c r="F265" s="5"/>
      <c r="G265" s="5"/>
      <c r="H265" s="4"/>
      <c r="I265" s="4"/>
    </row>
    <row r="266" spans="1:9" x14ac:dyDescent="0.25">
      <c r="A266" s="4"/>
      <c r="B266" s="4"/>
      <c r="C266" s="4"/>
      <c r="D266" s="4"/>
      <c r="E266" s="4"/>
      <c r="F266" s="5"/>
      <c r="G266" s="5"/>
      <c r="H266" s="4"/>
      <c r="I266" s="4"/>
    </row>
    <row r="267" spans="1:9" x14ac:dyDescent="0.25">
      <c r="A267" s="4"/>
      <c r="B267" s="4"/>
      <c r="C267" s="4"/>
      <c r="D267" s="4"/>
      <c r="E267" s="4"/>
      <c r="F267" s="5"/>
      <c r="G267" s="5"/>
      <c r="H267" s="4"/>
      <c r="I267" s="4"/>
    </row>
    <row r="268" spans="1:9" x14ac:dyDescent="0.25">
      <c r="A268" s="4"/>
      <c r="B268" s="4"/>
      <c r="C268" s="4"/>
      <c r="D268" s="4"/>
      <c r="E268" s="4"/>
      <c r="F268" s="5"/>
      <c r="G268" s="5"/>
      <c r="H268" s="4"/>
      <c r="I268" s="4"/>
    </row>
    <row r="269" spans="1:9" x14ac:dyDescent="0.25">
      <c r="A269" s="4"/>
      <c r="B269" s="4"/>
      <c r="C269" s="4"/>
      <c r="D269" s="4"/>
      <c r="E269" s="4"/>
      <c r="F269" s="5"/>
      <c r="G269" s="5"/>
      <c r="H269" s="4"/>
      <c r="I269" s="4"/>
    </row>
    <row r="270" spans="1:9" x14ac:dyDescent="0.25">
      <c r="A270" s="4"/>
      <c r="B270" s="4"/>
      <c r="C270" s="4"/>
      <c r="D270" s="4"/>
      <c r="E270" s="4"/>
      <c r="F270" s="5"/>
      <c r="G270" s="5"/>
      <c r="H270" s="4"/>
      <c r="I270" s="4"/>
    </row>
    <row r="271" spans="1:9" x14ac:dyDescent="0.25">
      <c r="A271" s="4"/>
      <c r="B271" s="4"/>
      <c r="C271" s="4"/>
      <c r="D271" s="4"/>
      <c r="E271" s="4"/>
      <c r="F271" s="5"/>
      <c r="G271" s="5"/>
      <c r="H271" s="4"/>
      <c r="I271" s="4"/>
    </row>
    <row r="272" spans="1:9" x14ac:dyDescent="0.25">
      <c r="A272" s="4"/>
      <c r="B272" s="4"/>
      <c r="C272" s="4"/>
      <c r="D272" s="4"/>
      <c r="E272" s="4"/>
      <c r="F272" s="5"/>
      <c r="G272" s="5"/>
      <c r="H272" s="4"/>
      <c r="I272" s="4"/>
    </row>
    <row r="273" spans="1:9" x14ac:dyDescent="0.25">
      <c r="A273" s="4"/>
      <c r="B273" s="4"/>
      <c r="C273" s="4"/>
      <c r="D273" s="4"/>
      <c r="E273" s="4"/>
      <c r="F273" s="5"/>
      <c r="G273" s="5"/>
      <c r="H273" s="4"/>
      <c r="I273" s="4"/>
    </row>
    <row r="274" spans="1:9" x14ac:dyDescent="0.25">
      <c r="A274" s="4"/>
      <c r="B274" s="4"/>
      <c r="C274" s="4"/>
      <c r="D274" s="4"/>
      <c r="E274" s="4"/>
      <c r="F274" s="5"/>
      <c r="G274" s="5"/>
      <c r="H274" s="4"/>
      <c r="I274" s="4"/>
    </row>
    <row r="275" spans="1:9" x14ac:dyDescent="0.25">
      <c r="A275" s="4"/>
      <c r="B275" s="4"/>
      <c r="C275" s="4"/>
      <c r="D275" s="4"/>
      <c r="E275" s="4"/>
      <c r="F275" s="5"/>
      <c r="G275" s="5"/>
      <c r="H275" s="4"/>
      <c r="I275" s="4"/>
    </row>
    <row r="276" spans="1:9" x14ac:dyDescent="0.25">
      <c r="A276" s="4"/>
      <c r="B276" s="4"/>
      <c r="C276" s="4"/>
      <c r="D276" s="4"/>
      <c r="E276" s="4"/>
      <c r="F276" s="5"/>
      <c r="G276" s="5"/>
      <c r="H276" s="4"/>
      <c r="I276" s="4"/>
    </row>
    <row r="277" spans="1:9" x14ac:dyDescent="0.25">
      <c r="A277" s="4"/>
      <c r="B277" s="4"/>
      <c r="C277" s="4"/>
      <c r="D277" s="4"/>
      <c r="E277" s="4"/>
      <c r="F277" s="5"/>
      <c r="G277" s="5"/>
      <c r="H277" s="4"/>
      <c r="I277" s="4"/>
    </row>
    <row r="278" spans="1:9" x14ac:dyDescent="0.25">
      <c r="A278" s="4"/>
      <c r="B278" s="4"/>
      <c r="C278" s="4"/>
      <c r="D278" s="4"/>
      <c r="E278" s="4"/>
      <c r="F278" s="5"/>
      <c r="G278" s="5"/>
      <c r="H278" s="4"/>
      <c r="I278" s="4"/>
    </row>
    <row r="279" spans="1:9" x14ac:dyDescent="0.25">
      <c r="A279" s="4"/>
      <c r="B279" s="4"/>
      <c r="C279" s="4"/>
      <c r="D279" s="4"/>
      <c r="E279" s="4"/>
      <c r="F279" s="5"/>
      <c r="G279" s="5"/>
      <c r="H279" s="4"/>
      <c r="I279" s="4"/>
    </row>
    <row r="280" spans="1:9" x14ac:dyDescent="0.25">
      <c r="A280" s="4"/>
      <c r="B280" s="4"/>
      <c r="C280" s="4"/>
      <c r="D280" s="4"/>
      <c r="E280" s="4"/>
      <c r="F280" s="5"/>
      <c r="G280" s="5"/>
      <c r="H280" s="4"/>
      <c r="I280" s="4"/>
    </row>
    <row r="281" spans="1:9" x14ac:dyDescent="0.25">
      <c r="A281" s="4"/>
      <c r="B281" s="4"/>
      <c r="C281" s="4"/>
      <c r="D281" s="4"/>
      <c r="E281" s="4"/>
      <c r="F281" s="5"/>
      <c r="G281" s="5"/>
      <c r="H281" s="4"/>
      <c r="I281" s="4"/>
    </row>
    <row r="282" spans="1:9" x14ac:dyDescent="0.25">
      <c r="A282" s="4"/>
      <c r="B282" s="4"/>
      <c r="C282" s="4"/>
      <c r="D282" s="4"/>
      <c r="E282" s="4"/>
      <c r="F282" s="5"/>
      <c r="G282" s="5"/>
      <c r="H282" s="4"/>
      <c r="I282" s="4"/>
    </row>
    <row r="283" spans="1:9" x14ac:dyDescent="0.25">
      <c r="A283" s="4"/>
      <c r="B283" s="4"/>
      <c r="C283" s="4"/>
      <c r="D283" s="4"/>
      <c r="E283" s="4"/>
      <c r="F283" s="5"/>
      <c r="G283" s="5"/>
      <c r="H283" s="4"/>
      <c r="I283" s="4"/>
    </row>
    <row r="284" spans="1:9" x14ac:dyDescent="0.25">
      <c r="A284" s="4"/>
      <c r="B284" s="4"/>
      <c r="C284" s="4"/>
      <c r="D284" s="4"/>
      <c r="E284" s="4"/>
      <c r="F284" s="5"/>
      <c r="G284" s="5"/>
      <c r="H284" s="4"/>
      <c r="I284" s="4"/>
    </row>
    <row r="285" spans="1:9" x14ac:dyDescent="0.25">
      <c r="A285" s="4"/>
      <c r="B285" s="4"/>
      <c r="C285" s="4"/>
      <c r="D285" s="4"/>
      <c r="E285" s="4"/>
      <c r="F285" s="5"/>
      <c r="G285" s="5"/>
      <c r="H285" s="4"/>
      <c r="I285" s="4"/>
    </row>
    <row r="286" spans="1:9" x14ac:dyDescent="0.25">
      <c r="A286" s="4"/>
      <c r="B286" s="4"/>
      <c r="C286" s="4"/>
      <c r="D286" s="4"/>
      <c r="E286" s="4"/>
      <c r="F286" s="5"/>
      <c r="G286" s="5"/>
      <c r="H286" s="4"/>
      <c r="I286" s="4"/>
    </row>
    <row r="287" spans="1:9" x14ac:dyDescent="0.25">
      <c r="A287" s="4"/>
      <c r="B287" s="4"/>
      <c r="C287" s="4"/>
      <c r="D287" s="4"/>
      <c r="E287" s="4"/>
      <c r="F287" s="5"/>
      <c r="G287" s="5"/>
      <c r="H287" s="4"/>
      <c r="I287" s="4"/>
    </row>
    <row r="288" spans="1:9" x14ac:dyDescent="0.25">
      <c r="A288" s="4"/>
      <c r="B288" s="4"/>
      <c r="C288" s="4"/>
      <c r="D288" s="4"/>
      <c r="E288" s="4"/>
      <c r="F288" s="5"/>
      <c r="G288" s="5"/>
      <c r="H288" s="4"/>
      <c r="I288" s="4"/>
    </row>
    <row r="289" spans="1:9" x14ac:dyDescent="0.25">
      <c r="A289" s="4"/>
      <c r="B289" s="4"/>
      <c r="C289" s="4"/>
      <c r="D289" s="4"/>
      <c r="E289" s="4"/>
      <c r="F289" s="5"/>
      <c r="G289" s="5"/>
      <c r="H289" s="4"/>
      <c r="I289" s="4"/>
    </row>
    <row r="290" spans="1:9" x14ac:dyDescent="0.25">
      <c r="A290" s="4"/>
      <c r="B290" s="4"/>
      <c r="C290" s="4"/>
      <c r="D290" s="4"/>
      <c r="E290" s="4"/>
      <c r="F290" s="5"/>
      <c r="G290" s="5"/>
      <c r="H290" s="4"/>
      <c r="I290" s="4"/>
    </row>
    <row r="291" spans="1:9" x14ac:dyDescent="0.25">
      <c r="A291" s="4"/>
      <c r="B291" s="4"/>
      <c r="C291" s="4"/>
      <c r="D291" s="4"/>
      <c r="E291" s="4"/>
      <c r="F291" s="5"/>
      <c r="G291" s="5"/>
      <c r="H291" s="4"/>
      <c r="I291" s="4"/>
    </row>
    <row r="292" spans="1:9" x14ac:dyDescent="0.25">
      <c r="A292" s="4"/>
      <c r="B292" s="4"/>
      <c r="C292" s="4"/>
      <c r="D292" s="4"/>
      <c r="E292" s="4"/>
      <c r="F292" s="5"/>
      <c r="G292" s="5"/>
      <c r="H292" s="4"/>
      <c r="I292" s="4"/>
    </row>
    <row r="293" spans="1:9" x14ac:dyDescent="0.25">
      <c r="A293" s="4"/>
      <c r="B293" s="4"/>
      <c r="C293" s="4"/>
      <c r="D293" s="4"/>
      <c r="E293" s="4"/>
      <c r="F293" s="5"/>
      <c r="G293" s="5"/>
      <c r="H293" s="4"/>
      <c r="I293" s="4"/>
    </row>
    <row r="294" spans="1:9" x14ac:dyDescent="0.25">
      <c r="A294" s="4"/>
      <c r="B294" s="4"/>
      <c r="C294" s="4"/>
      <c r="D294" s="4"/>
      <c r="E294" s="4"/>
      <c r="F294" s="5"/>
      <c r="G294" s="5"/>
      <c r="H294" s="4"/>
      <c r="I294" s="4"/>
    </row>
    <row r="295" spans="1:9" x14ac:dyDescent="0.25">
      <c r="A295" s="4"/>
      <c r="B295" s="4"/>
      <c r="C295" s="4"/>
      <c r="D295" s="4"/>
      <c r="E295" s="4"/>
      <c r="F295" s="5"/>
      <c r="G295" s="5"/>
      <c r="H295" s="4"/>
      <c r="I295" s="4"/>
    </row>
    <row r="296" spans="1:9" x14ac:dyDescent="0.25">
      <c r="A296" s="4"/>
      <c r="B296" s="4"/>
      <c r="C296" s="4"/>
      <c r="D296" s="4"/>
      <c r="E296" s="4"/>
      <c r="F296" s="5"/>
      <c r="G296" s="5"/>
      <c r="H296" s="4"/>
      <c r="I296" s="4"/>
    </row>
    <row r="297" spans="1:9" x14ac:dyDescent="0.25">
      <c r="A297" s="4"/>
      <c r="B297" s="4"/>
      <c r="C297" s="4"/>
      <c r="D297" s="4"/>
      <c r="E297" s="4"/>
      <c r="F297" s="5"/>
      <c r="G297" s="5"/>
      <c r="H297" s="4"/>
      <c r="I297" s="4"/>
    </row>
    <row r="298" spans="1:9" x14ac:dyDescent="0.25">
      <c r="A298" s="4"/>
      <c r="B298" s="4"/>
      <c r="C298" s="4"/>
      <c r="D298" s="4"/>
      <c r="E298" s="4"/>
      <c r="F298" s="5"/>
      <c r="G298" s="5"/>
      <c r="H298" s="4"/>
      <c r="I298" s="4"/>
    </row>
    <row r="299" spans="1:9" x14ac:dyDescent="0.25">
      <c r="A299" s="4"/>
      <c r="B299" s="4"/>
      <c r="C299" s="4"/>
      <c r="D299" s="4"/>
      <c r="E299" s="4"/>
      <c r="F299" s="5"/>
      <c r="G299" s="5"/>
      <c r="H299" s="4"/>
      <c r="I299" s="4"/>
    </row>
    <row r="300" spans="1:9" x14ac:dyDescent="0.25">
      <c r="A300" s="4"/>
      <c r="B300" s="4"/>
      <c r="C300" s="4"/>
      <c r="D300" s="4"/>
      <c r="E300" s="4"/>
      <c r="F300" s="5"/>
      <c r="G300" s="5"/>
      <c r="H300" s="4"/>
      <c r="I300" s="4"/>
    </row>
  </sheetData>
  <conditionalFormatting sqref="A2:I300">
    <cfRule type="expression" dxfId="0" priority="10">
      <formula>MOD(ROW(),2)=0</formula>
    </cfRule>
  </conditionalFormatting>
  <conditionalFormatting sqref="A2:I300">
    <cfRule type="expression" dxfId="1" priority="1">
      <formula>$E2="Ativo"</formula>
    </cfRule>
    <cfRule type="expression" dxfId="2" priority="2">
      <formula>$E2="Alta"</formula>
    </cfRule>
  </conditionalFormatting>
  <dataValidations count="6">
    <dataValidation type="list" allowBlank="1" sqref="C10:C300">
      <formula1>Listas!$A$2:$A$4</formula1>
    </dataValidation>
    <dataValidation type="list" allowBlank="1" sqref="C2:C300">
      <formula1>Listas!$A$2:$A$4</formula1>
    </dataValidation>
    <dataValidation type="list" allowBlank="1" sqref="E10:E300">
      <formula1>Listas!$B$2:$B$3</formula1>
    </dataValidation>
    <dataValidation type="list" allowBlank="1" sqref="E2:E300">
      <formula1>Listas!$B$2:$B$3</formula1>
    </dataValidation>
    <dataValidation type="list" allowBlank="1" sqref="I10:I300">
      <formula1>Listas!$F$2:$F$3</formula1>
    </dataValidation>
    <dataValidation type="list" allowBlank="1" sqref="I2:I300">
      <formula1>Listas!$F$2:$F$3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410C"/>
  </sheetPr>
  <dimension ref="A1:K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20" customWidth="1"/>
    <col min="4" max="4" width="14" customWidth="1"/>
    <col min="5" max="5" width="34" customWidth="1"/>
    <col min="6" max="7" width="32" customWidth="1"/>
    <col min="8" max="8" width="30" customWidth="1"/>
    <col min="9" max="9" width="26" customWidth="1"/>
    <col min="10" max="10" width="18" customWidth="1"/>
    <col min="11" max="11" width="50" hidden="1" customWidth="1"/>
  </cols>
  <sheetData>
    <row r="1" ht="40" customHeight="1" spans="1:11" x14ac:dyDescent="0.25">
      <c r="A1" s="2" t="s">
        <v>205</v>
      </c>
      <c r="B1" s="3" t="s">
        <v>181</v>
      </c>
      <c r="C1" s="2" t="s">
        <v>206</v>
      </c>
      <c r="D1" s="2" t="s">
        <v>207</v>
      </c>
      <c r="E1" s="3" t="s">
        <v>106</v>
      </c>
      <c r="F1" s="3" t="s">
        <v>208</v>
      </c>
      <c r="G1" s="3" t="s">
        <v>209</v>
      </c>
      <c r="H1" s="2" t="s">
        <v>210</v>
      </c>
      <c r="I1" s="3" t="s">
        <v>211</v>
      </c>
      <c r="J1" s="3" t="s">
        <v>212</v>
      </c>
      <c r="K1" s="2" t="s">
        <v>213</v>
      </c>
    </row>
    <row r="2" spans="1:11" x14ac:dyDescent="0.25">
      <c r="A2" s="5" t="s">
        <v>214</v>
      </c>
      <c r="B2" s="4" t="s">
        <v>189</v>
      </c>
      <c r="C2" s="6">
        <f>IFERROR(INDEX(Pacientes!$A:$A,MATCH($B2,Pacientes!$B:$B,0)),"")</f>
      </c>
      <c r="D2" s="6">
        <f>IFERROR(INDEX(Pacientes!$C:$C,MATCH($B2,Pacientes!$B:$B,0)),"")</f>
      </c>
      <c r="E2" s="4" t="s">
        <v>176</v>
      </c>
      <c r="F2" s="4" t="s">
        <v>64</v>
      </c>
      <c r="G2" s="4" t="s">
        <v>45</v>
      </c>
      <c r="H2" s="4" t="s">
        <v>215</v>
      </c>
      <c r="I2" s="4" t="s">
        <v>121</v>
      </c>
      <c r="J2" s="4" t="s">
        <v>122</v>
      </c>
      <c r="K2" s="4">
        <f>IF(E2="","",IF(H2&lt;&gt;"",H2,"["&amp;E2&amp;"] "&amp;F2&amp;" → "&amp;G2)&amp;IF(I2&lt;&gt;""," ("&amp;I2&amp;")",""))</f>
      </c>
    </row>
    <row r="3" spans="1:11" x14ac:dyDescent="0.25">
      <c r="A3" s="5" t="s">
        <v>216</v>
      </c>
      <c r="B3" s="4" t="s">
        <v>195</v>
      </c>
      <c r="C3" s="6">
        <f>IFERROR(INDEX(Pacientes!$A:$A,MATCH($B3,Pacientes!$B:$B,0)),"")</f>
      </c>
      <c r="D3" s="6">
        <f>IFERROR(INDEX(Pacientes!$C:$C,MATCH($B3,Pacientes!$B:$B,0)),"")</f>
      </c>
      <c r="E3" s="4" t="s">
        <v>120</v>
      </c>
      <c r="F3" s="4" t="s">
        <v>48</v>
      </c>
      <c r="G3" s="4" t="s">
        <v>25</v>
      </c>
      <c r="H3" s="4" t="s">
        <v>192</v>
      </c>
      <c r="I3" s="4" t="s">
        <v>121</v>
      </c>
      <c r="J3" s="4" t="s">
        <v>135</v>
      </c>
      <c r="K3" s="4">
        <f>IF(E3="","",IF(H3&lt;&gt;"",H3,"["&amp;E3&amp;"] "&amp;F3&amp;" → "&amp;G3)&amp;IF(I3&lt;&gt;""," ("&amp;I3&amp;")",""))</f>
      </c>
    </row>
    <row r="4" spans="1:11" x14ac:dyDescent="0.25">
      <c r="A4" s="5"/>
      <c r="B4" s="4"/>
      <c r="C4" s="6">
        <f>IFERROR(INDEX(Pacientes!$A:$A,MATCH($B4,Pacientes!$B:$B,0)),"")</f>
      </c>
      <c r="D4" s="6">
        <f>IFERROR(INDEX(Pacientes!$C:$C,MATCH($B4,Pacientes!$B:$B,0)),"")</f>
      </c>
      <c r="E4" s="4"/>
      <c r="F4" s="4"/>
      <c r="G4" s="4"/>
      <c r="H4" s="4"/>
      <c r="I4" s="4"/>
      <c r="J4" s="4"/>
      <c r="K4" s="4">
        <f>IF(E4="","",IF(H4&lt;&gt;"",H4,"["&amp;E4&amp;"] "&amp;F4&amp;" → "&amp;G4)&amp;IF(I4&lt;&gt;""," ("&amp;I4&amp;")",""))</f>
      </c>
    </row>
    <row r="5" spans="1:11" x14ac:dyDescent="0.25">
      <c r="A5" s="5"/>
      <c r="B5" s="4"/>
      <c r="C5" s="6">
        <f>IFERROR(INDEX(Pacientes!$A:$A,MATCH($B5,Pacientes!$B:$B,0)),"")</f>
      </c>
      <c r="D5" s="6">
        <f>IFERROR(INDEX(Pacientes!$C:$C,MATCH($B5,Pacientes!$B:$B,0)),"")</f>
      </c>
      <c r="E5" s="4"/>
      <c r="F5" s="4"/>
      <c r="G5" s="4"/>
      <c r="H5" s="4"/>
      <c r="I5" s="4"/>
      <c r="J5" s="4"/>
      <c r="K5" s="4">
        <f>IF(E5="","",IF(H5&lt;&gt;"",H5,"["&amp;E5&amp;"] "&amp;F5&amp;" → "&amp;G5)&amp;IF(I5&lt;&gt;""," ("&amp;I5&amp;")",""))</f>
      </c>
    </row>
    <row r="6" spans="1:11" x14ac:dyDescent="0.25">
      <c r="A6" s="5"/>
      <c r="B6" s="4"/>
      <c r="C6" s="6">
        <f>IFERROR(INDEX(Pacientes!$A:$A,MATCH($B6,Pacientes!$B:$B,0)),"")</f>
      </c>
      <c r="D6" s="6">
        <f>IFERROR(INDEX(Pacientes!$C:$C,MATCH($B6,Pacientes!$B:$B,0)),"")</f>
      </c>
      <c r="E6" s="4"/>
      <c r="F6" s="4"/>
      <c r="G6" s="4"/>
      <c r="H6" s="4"/>
      <c r="I6" s="4"/>
      <c r="J6" s="4"/>
      <c r="K6" s="4">
        <f>IF(E6="","",IF(H6&lt;&gt;"",H6,"["&amp;E6&amp;"] "&amp;F6&amp;" → "&amp;G6)&amp;IF(I6&lt;&gt;""," ("&amp;I6&amp;")",""))</f>
      </c>
    </row>
    <row r="7" spans="1:11" x14ac:dyDescent="0.25">
      <c r="A7" s="5"/>
      <c r="B7" s="4"/>
      <c r="C7" s="6">
        <f>IFERROR(INDEX(Pacientes!$A:$A,MATCH($B7,Pacientes!$B:$B,0)),"")</f>
      </c>
      <c r="D7" s="6">
        <f>IFERROR(INDEX(Pacientes!$C:$C,MATCH($B7,Pacientes!$B:$B,0)),"")</f>
      </c>
      <c r="E7" s="4"/>
      <c r="F7" s="4"/>
      <c r="G7" s="4"/>
      <c r="H7" s="4"/>
      <c r="I7" s="4"/>
      <c r="J7" s="4"/>
      <c r="K7" s="4">
        <f>IF(E7="","",IF(H7&lt;&gt;"",H7,"["&amp;E7&amp;"] "&amp;F7&amp;" → "&amp;G7)&amp;IF(I7&lt;&gt;""," ("&amp;I7&amp;")",""))</f>
      </c>
    </row>
    <row r="8" spans="1:11" x14ac:dyDescent="0.25">
      <c r="A8" s="5"/>
      <c r="B8" s="4"/>
      <c r="C8" s="6">
        <f>IFERROR(INDEX(Pacientes!$A:$A,MATCH($B8,Pacientes!$B:$B,0)),"")</f>
      </c>
      <c r="D8" s="6">
        <f>IFERROR(INDEX(Pacientes!$C:$C,MATCH($B8,Pacientes!$B:$B,0)),"")</f>
      </c>
      <c r="E8" s="4"/>
      <c r="F8" s="4"/>
      <c r="G8" s="4"/>
      <c r="H8" s="4"/>
      <c r="I8" s="4"/>
      <c r="J8" s="4"/>
      <c r="K8" s="4">
        <f>IF(E8="","",IF(H8&lt;&gt;"",H8,"["&amp;E8&amp;"] "&amp;F8&amp;" → "&amp;G8)&amp;IF(I8&lt;&gt;""," ("&amp;I8&amp;")",""))</f>
      </c>
    </row>
    <row r="9" spans="1:11" x14ac:dyDescent="0.25">
      <c r="A9" s="5"/>
      <c r="B9" s="4"/>
      <c r="C9" s="6">
        <f>IFERROR(INDEX(Pacientes!$A:$A,MATCH($B9,Pacientes!$B:$B,0)),"")</f>
      </c>
      <c r="D9" s="6">
        <f>IFERROR(INDEX(Pacientes!$C:$C,MATCH($B9,Pacientes!$B:$B,0)),"")</f>
      </c>
      <c r="E9" s="4"/>
      <c r="F9" s="4"/>
      <c r="G9" s="4"/>
      <c r="H9" s="4"/>
      <c r="I9" s="4"/>
      <c r="J9" s="4"/>
      <c r="K9" s="4">
        <f>IF(E9="","",IF(H9&lt;&gt;"",H9,"["&amp;E9&amp;"] "&amp;F9&amp;" → "&amp;G9)&amp;IF(I9&lt;&gt;""," ("&amp;I9&amp;")",""))</f>
      </c>
    </row>
    <row r="10" spans="1:11" x14ac:dyDescent="0.25">
      <c r="A10" s="5"/>
      <c r="B10" s="4"/>
      <c r="C10" s="6">
        <f>IFERROR(INDEX(Pacientes!$A:$A,MATCH($B10,Pacientes!$B:$B,0)),"")</f>
      </c>
      <c r="D10" s="6">
        <f>IFERROR(INDEX(Pacientes!$C:$C,MATCH($B10,Pacientes!$B:$B,0)),"")</f>
      </c>
      <c r="E10" s="4"/>
      <c r="F10" s="4"/>
      <c r="G10" s="4"/>
      <c r="H10" s="4"/>
      <c r="I10" s="4"/>
      <c r="J10" s="4"/>
      <c r="K10" s="4">
        <f>IF(E10="","",IF(H10&lt;&gt;"",H10,"["&amp;E10&amp;"] "&amp;F10&amp;" → "&amp;G10)&amp;IF(I10&lt;&gt;""," ("&amp;I10&amp;")",""))</f>
      </c>
    </row>
    <row r="11" spans="1:11" x14ac:dyDescent="0.25">
      <c r="A11" s="5"/>
      <c r="B11" s="4"/>
      <c r="C11" s="6">
        <f>IFERROR(INDEX(Pacientes!$A:$A,MATCH($B11,Pacientes!$B:$B,0)),"")</f>
      </c>
      <c r="D11" s="6">
        <f>IFERROR(INDEX(Pacientes!$C:$C,MATCH($B11,Pacientes!$B:$B,0)),"")</f>
      </c>
      <c r="E11" s="4"/>
      <c r="F11" s="4"/>
      <c r="G11" s="4"/>
      <c r="H11" s="4"/>
      <c r="I11" s="4"/>
      <c r="J11" s="4"/>
      <c r="K11" s="4">
        <f>IF(E11="","",IF(H11&lt;&gt;"",H11,"["&amp;E11&amp;"] "&amp;F11&amp;" → "&amp;G11)&amp;IF(I11&lt;&gt;""," ("&amp;I11&amp;")",""))</f>
      </c>
    </row>
    <row r="12" spans="1:11" x14ac:dyDescent="0.25">
      <c r="A12" s="5"/>
      <c r="B12" s="4"/>
      <c r="C12" s="6">
        <f>IFERROR(INDEX(Pacientes!$A:$A,MATCH($B12,Pacientes!$B:$B,0)),"")</f>
      </c>
      <c r="D12" s="6">
        <f>IFERROR(INDEX(Pacientes!$C:$C,MATCH($B12,Pacientes!$B:$B,0)),"")</f>
      </c>
      <c r="E12" s="4"/>
      <c r="F12" s="4"/>
      <c r="G12" s="4"/>
      <c r="H12" s="4"/>
      <c r="I12" s="4"/>
      <c r="J12" s="4"/>
      <c r="K12" s="4">
        <f>IF(E12="","",IF(H12&lt;&gt;"",H12,"["&amp;E12&amp;"] "&amp;F12&amp;" → "&amp;G12)&amp;IF(I12&lt;&gt;""," ("&amp;I12&amp;")",""))</f>
      </c>
    </row>
    <row r="13" spans="1:11" x14ac:dyDescent="0.25">
      <c r="A13" s="5"/>
      <c r="B13" s="4"/>
      <c r="C13" s="6">
        <f>IFERROR(INDEX(Pacientes!$A:$A,MATCH($B13,Pacientes!$B:$B,0)),"")</f>
      </c>
      <c r="D13" s="6">
        <f>IFERROR(INDEX(Pacientes!$C:$C,MATCH($B13,Pacientes!$B:$B,0)),"")</f>
      </c>
      <c r="E13" s="4"/>
      <c r="F13" s="4"/>
      <c r="G13" s="4"/>
      <c r="H13" s="4"/>
      <c r="I13" s="4"/>
      <c r="J13" s="4"/>
      <c r="K13" s="4">
        <f>IF(E13="","",IF(H13&lt;&gt;"",H13,"["&amp;E13&amp;"] "&amp;F13&amp;" → "&amp;G13)&amp;IF(I13&lt;&gt;""," ("&amp;I13&amp;")",""))</f>
      </c>
    </row>
    <row r="14" spans="1:11" x14ac:dyDescent="0.25">
      <c r="A14" s="5"/>
      <c r="B14" s="4"/>
      <c r="C14" s="6">
        <f>IFERROR(INDEX(Pacientes!$A:$A,MATCH($B14,Pacientes!$B:$B,0)),"")</f>
      </c>
      <c r="D14" s="6">
        <f>IFERROR(INDEX(Pacientes!$C:$C,MATCH($B14,Pacientes!$B:$B,0)),"")</f>
      </c>
      <c r="E14" s="4"/>
      <c r="F14" s="4"/>
      <c r="G14" s="4"/>
      <c r="H14" s="4"/>
      <c r="I14" s="4"/>
      <c r="J14" s="4"/>
      <c r="K14" s="4">
        <f>IF(E14="","",IF(H14&lt;&gt;"",H14,"["&amp;E14&amp;"] "&amp;F14&amp;" → "&amp;G14)&amp;IF(I14&lt;&gt;""," ("&amp;I14&amp;")",""))</f>
      </c>
    </row>
    <row r="15" spans="1:11" x14ac:dyDescent="0.25">
      <c r="A15" s="5"/>
      <c r="B15" s="4"/>
      <c r="C15" s="6">
        <f>IFERROR(INDEX(Pacientes!$A:$A,MATCH($B15,Pacientes!$B:$B,0)),"")</f>
      </c>
      <c r="D15" s="6">
        <f>IFERROR(INDEX(Pacientes!$C:$C,MATCH($B15,Pacientes!$B:$B,0)),"")</f>
      </c>
      <c r="E15" s="4"/>
      <c r="F15" s="4"/>
      <c r="G15" s="4"/>
      <c r="H15" s="4"/>
      <c r="I15" s="4"/>
      <c r="J15" s="4"/>
      <c r="K15" s="4">
        <f>IF(E15="","",IF(H15&lt;&gt;"",H15,"["&amp;E15&amp;"] "&amp;F15&amp;" → "&amp;G15)&amp;IF(I15&lt;&gt;""," ("&amp;I15&amp;")",""))</f>
      </c>
    </row>
    <row r="16" spans="1:11" x14ac:dyDescent="0.25">
      <c r="A16" s="5"/>
      <c r="B16" s="4"/>
      <c r="C16" s="6">
        <f>IFERROR(INDEX(Pacientes!$A:$A,MATCH($B16,Pacientes!$B:$B,0)),"")</f>
      </c>
      <c r="D16" s="6">
        <f>IFERROR(INDEX(Pacientes!$C:$C,MATCH($B16,Pacientes!$B:$B,0)),"")</f>
      </c>
      <c r="E16" s="4"/>
      <c r="F16" s="4"/>
      <c r="G16" s="4"/>
      <c r="H16" s="4"/>
      <c r="I16" s="4"/>
      <c r="J16" s="4"/>
      <c r="K16" s="4">
        <f>IF(E16="","",IF(H16&lt;&gt;"",H16,"["&amp;E16&amp;"] "&amp;F16&amp;" → "&amp;G16)&amp;IF(I16&lt;&gt;""," ("&amp;I16&amp;")",""))</f>
      </c>
    </row>
    <row r="17" spans="1:11" x14ac:dyDescent="0.25">
      <c r="A17" s="5"/>
      <c r="B17" s="4"/>
      <c r="C17" s="6">
        <f>IFERROR(INDEX(Pacientes!$A:$A,MATCH($B17,Pacientes!$B:$B,0)),"")</f>
      </c>
      <c r="D17" s="6">
        <f>IFERROR(INDEX(Pacientes!$C:$C,MATCH($B17,Pacientes!$B:$B,0)),"")</f>
      </c>
      <c r="E17" s="4"/>
      <c r="F17" s="4"/>
      <c r="G17" s="4"/>
      <c r="H17" s="4"/>
      <c r="I17" s="4"/>
      <c r="J17" s="4"/>
      <c r="K17" s="4">
        <f>IF(E17="","",IF(H17&lt;&gt;"",H17,"["&amp;E17&amp;"] "&amp;F17&amp;" → "&amp;G17)&amp;IF(I17&lt;&gt;""," ("&amp;I17&amp;")",""))</f>
      </c>
    </row>
    <row r="18" spans="1:11" x14ac:dyDescent="0.25">
      <c r="A18" s="5"/>
      <c r="B18" s="4"/>
      <c r="C18" s="6">
        <f>IFERROR(INDEX(Pacientes!$A:$A,MATCH($B18,Pacientes!$B:$B,0)),"")</f>
      </c>
      <c r="D18" s="6">
        <f>IFERROR(INDEX(Pacientes!$C:$C,MATCH($B18,Pacientes!$B:$B,0)),"")</f>
      </c>
      <c r="E18" s="4"/>
      <c r="F18" s="4"/>
      <c r="G18" s="4"/>
      <c r="H18" s="4"/>
      <c r="I18" s="4"/>
      <c r="J18" s="4"/>
      <c r="K18" s="4">
        <f>IF(E18="","",IF(H18&lt;&gt;"",H18,"["&amp;E18&amp;"] "&amp;F18&amp;" → "&amp;G18)&amp;IF(I18&lt;&gt;""," ("&amp;I18&amp;")",""))</f>
      </c>
    </row>
    <row r="19" spans="1:11" x14ac:dyDescent="0.25">
      <c r="A19" s="5"/>
      <c r="B19" s="4"/>
      <c r="C19" s="6">
        <f>IFERROR(INDEX(Pacientes!$A:$A,MATCH($B19,Pacientes!$B:$B,0)),"")</f>
      </c>
      <c r="D19" s="6">
        <f>IFERROR(INDEX(Pacientes!$C:$C,MATCH($B19,Pacientes!$B:$B,0)),"")</f>
      </c>
      <c r="E19" s="4"/>
      <c r="F19" s="4"/>
      <c r="G19" s="4"/>
      <c r="H19" s="4"/>
      <c r="I19" s="4"/>
      <c r="J19" s="4"/>
      <c r="K19" s="4">
        <f>IF(E19="","",IF(H19&lt;&gt;"",H19,"["&amp;E19&amp;"] "&amp;F19&amp;" → "&amp;G19)&amp;IF(I19&lt;&gt;""," ("&amp;I19&amp;")",""))</f>
      </c>
    </row>
    <row r="20" spans="1:11" x14ac:dyDescent="0.25">
      <c r="A20" s="5"/>
      <c r="B20" s="4"/>
      <c r="C20" s="6">
        <f>IFERROR(INDEX(Pacientes!$A:$A,MATCH($B20,Pacientes!$B:$B,0)),"")</f>
      </c>
      <c r="D20" s="6">
        <f>IFERROR(INDEX(Pacientes!$C:$C,MATCH($B20,Pacientes!$B:$B,0)),"")</f>
      </c>
      <c r="E20" s="4"/>
      <c r="F20" s="4"/>
      <c r="G20" s="4"/>
      <c r="H20" s="4"/>
      <c r="I20" s="4"/>
      <c r="J20" s="4"/>
      <c r="K20" s="4">
        <f>IF(E20="","",IF(H20&lt;&gt;"",H20,"["&amp;E20&amp;"] "&amp;F20&amp;" → "&amp;G20)&amp;IF(I20&lt;&gt;""," ("&amp;I20&amp;")",""))</f>
      </c>
    </row>
    <row r="21" spans="1:11" x14ac:dyDescent="0.25">
      <c r="A21" s="5"/>
      <c r="B21" s="4"/>
      <c r="C21" s="6">
        <f>IFERROR(INDEX(Pacientes!$A:$A,MATCH($B21,Pacientes!$B:$B,0)),"")</f>
      </c>
      <c r="D21" s="6">
        <f>IFERROR(INDEX(Pacientes!$C:$C,MATCH($B21,Pacientes!$B:$B,0)),"")</f>
      </c>
      <c r="E21" s="4"/>
      <c r="F21" s="4"/>
      <c r="G21" s="4"/>
      <c r="H21" s="4"/>
      <c r="I21" s="4"/>
      <c r="J21" s="4"/>
      <c r="K21" s="4">
        <f>IF(E21="","",IF(H21&lt;&gt;"",H21,"["&amp;E21&amp;"] "&amp;F21&amp;" → "&amp;G21)&amp;IF(I21&lt;&gt;""," ("&amp;I21&amp;")",""))</f>
      </c>
    </row>
    <row r="22" spans="1:11" x14ac:dyDescent="0.25">
      <c r="A22" s="5"/>
      <c r="B22" s="4"/>
      <c r="C22" s="6">
        <f>IFERROR(INDEX(Pacientes!$A:$A,MATCH($B22,Pacientes!$B:$B,0)),"")</f>
      </c>
      <c r="D22" s="6">
        <f>IFERROR(INDEX(Pacientes!$C:$C,MATCH($B22,Pacientes!$B:$B,0)),"")</f>
      </c>
      <c r="E22" s="4"/>
      <c r="F22" s="4"/>
      <c r="G22" s="4"/>
      <c r="H22" s="4"/>
      <c r="I22" s="4"/>
      <c r="J22" s="4"/>
      <c r="K22" s="4">
        <f>IF(E22="","",IF(H22&lt;&gt;"",H22,"["&amp;E22&amp;"] "&amp;F22&amp;" → "&amp;G22)&amp;IF(I22&lt;&gt;""," ("&amp;I22&amp;")",""))</f>
      </c>
    </row>
    <row r="23" spans="1:11" x14ac:dyDescent="0.25">
      <c r="A23" s="5"/>
      <c r="B23" s="4"/>
      <c r="C23" s="6">
        <f>IFERROR(INDEX(Pacientes!$A:$A,MATCH($B23,Pacientes!$B:$B,0)),"")</f>
      </c>
      <c r="D23" s="6">
        <f>IFERROR(INDEX(Pacientes!$C:$C,MATCH($B23,Pacientes!$B:$B,0)),"")</f>
      </c>
      <c r="E23" s="4"/>
      <c r="F23" s="4"/>
      <c r="G23" s="4"/>
      <c r="H23" s="4"/>
      <c r="I23" s="4"/>
      <c r="J23" s="4"/>
      <c r="K23" s="4">
        <f>IF(E23="","",IF(H23&lt;&gt;"",H23,"["&amp;E23&amp;"] "&amp;F23&amp;" → "&amp;G23)&amp;IF(I23&lt;&gt;""," ("&amp;I23&amp;")",""))</f>
      </c>
    </row>
    <row r="24" spans="1:11" x14ac:dyDescent="0.25">
      <c r="A24" s="5"/>
      <c r="B24" s="4"/>
      <c r="C24" s="6">
        <f>IFERROR(INDEX(Pacientes!$A:$A,MATCH($B24,Pacientes!$B:$B,0)),"")</f>
      </c>
      <c r="D24" s="6">
        <f>IFERROR(INDEX(Pacientes!$C:$C,MATCH($B24,Pacientes!$B:$B,0)),"")</f>
      </c>
      <c r="E24" s="4"/>
      <c r="F24" s="4"/>
      <c r="G24" s="4"/>
      <c r="H24" s="4"/>
      <c r="I24" s="4"/>
      <c r="J24" s="4"/>
      <c r="K24" s="4">
        <f>IF(E24="","",IF(H24&lt;&gt;"",H24,"["&amp;E24&amp;"] "&amp;F24&amp;" → "&amp;G24)&amp;IF(I24&lt;&gt;""," ("&amp;I24&amp;")",""))</f>
      </c>
    </row>
    <row r="25" spans="1:11" x14ac:dyDescent="0.25">
      <c r="A25" s="5"/>
      <c r="B25" s="4"/>
      <c r="C25" s="6">
        <f>IFERROR(INDEX(Pacientes!$A:$A,MATCH($B25,Pacientes!$B:$B,0)),"")</f>
      </c>
      <c r="D25" s="6">
        <f>IFERROR(INDEX(Pacientes!$C:$C,MATCH($B25,Pacientes!$B:$B,0)),"")</f>
      </c>
      <c r="E25" s="4"/>
      <c r="F25" s="4"/>
      <c r="G25" s="4"/>
      <c r="H25" s="4"/>
      <c r="I25" s="4"/>
      <c r="J25" s="4"/>
      <c r="K25" s="4">
        <f>IF(E25="","",IF(H25&lt;&gt;"",H25,"["&amp;E25&amp;"] "&amp;F25&amp;" → "&amp;G25)&amp;IF(I25&lt;&gt;""," ("&amp;I25&amp;")",""))</f>
      </c>
    </row>
    <row r="26" spans="1:11" x14ac:dyDescent="0.25">
      <c r="A26" s="5"/>
      <c r="B26" s="4"/>
      <c r="C26" s="6">
        <f>IFERROR(INDEX(Pacientes!$A:$A,MATCH($B26,Pacientes!$B:$B,0)),"")</f>
      </c>
      <c r="D26" s="6">
        <f>IFERROR(INDEX(Pacientes!$C:$C,MATCH($B26,Pacientes!$B:$B,0)),"")</f>
      </c>
      <c r="E26" s="4"/>
      <c r="F26" s="4"/>
      <c r="G26" s="4"/>
      <c r="H26" s="4"/>
      <c r="I26" s="4"/>
      <c r="J26" s="4"/>
      <c r="K26" s="4">
        <f>IF(E26="","",IF(H26&lt;&gt;"",H26,"["&amp;E26&amp;"] "&amp;F26&amp;" → "&amp;G26)&amp;IF(I26&lt;&gt;""," ("&amp;I26&amp;")",""))</f>
      </c>
    </row>
    <row r="27" spans="1:11" x14ac:dyDescent="0.25">
      <c r="A27" s="5"/>
      <c r="B27" s="4"/>
      <c r="C27" s="6">
        <f>IFERROR(INDEX(Pacientes!$A:$A,MATCH($B27,Pacientes!$B:$B,0)),"")</f>
      </c>
      <c r="D27" s="6">
        <f>IFERROR(INDEX(Pacientes!$C:$C,MATCH($B27,Pacientes!$B:$B,0)),"")</f>
      </c>
      <c r="E27" s="4"/>
      <c r="F27" s="4"/>
      <c r="G27" s="4"/>
      <c r="H27" s="4"/>
      <c r="I27" s="4"/>
      <c r="J27" s="4"/>
      <c r="K27" s="4">
        <f>IF(E27="","",IF(H27&lt;&gt;"",H27,"["&amp;E27&amp;"] "&amp;F27&amp;" → "&amp;G27)&amp;IF(I27&lt;&gt;""," ("&amp;I27&amp;")",""))</f>
      </c>
    </row>
    <row r="28" spans="1:11" x14ac:dyDescent="0.25">
      <c r="A28" s="5"/>
      <c r="B28" s="4"/>
      <c r="C28" s="6">
        <f>IFERROR(INDEX(Pacientes!$A:$A,MATCH($B28,Pacientes!$B:$B,0)),"")</f>
      </c>
      <c r="D28" s="6">
        <f>IFERROR(INDEX(Pacientes!$C:$C,MATCH($B28,Pacientes!$B:$B,0)),"")</f>
      </c>
      <c r="E28" s="4"/>
      <c r="F28" s="4"/>
      <c r="G28" s="4"/>
      <c r="H28" s="4"/>
      <c r="I28" s="4"/>
      <c r="J28" s="4"/>
      <c r="K28" s="4">
        <f>IF(E28="","",IF(H28&lt;&gt;"",H28,"["&amp;E28&amp;"] "&amp;F28&amp;" → "&amp;G28)&amp;IF(I28&lt;&gt;""," ("&amp;I28&amp;")",""))</f>
      </c>
    </row>
    <row r="29" spans="1:11" x14ac:dyDescent="0.25">
      <c r="A29" s="5"/>
      <c r="B29" s="4"/>
      <c r="C29" s="6">
        <f>IFERROR(INDEX(Pacientes!$A:$A,MATCH($B29,Pacientes!$B:$B,0)),"")</f>
      </c>
      <c r="D29" s="6">
        <f>IFERROR(INDEX(Pacientes!$C:$C,MATCH($B29,Pacientes!$B:$B,0)),"")</f>
      </c>
      <c r="E29" s="4"/>
      <c r="F29" s="4"/>
      <c r="G29" s="4"/>
      <c r="H29" s="4"/>
      <c r="I29" s="4"/>
      <c r="J29" s="4"/>
      <c r="K29" s="4">
        <f>IF(E29="","",IF(H29&lt;&gt;"",H29,"["&amp;E29&amp;"] "&amp;F29&amp;" → "&amp;G29)&amp;IF(I29&lt;&gt;""," ("&amp;I29&amp;")",""))</f>
      </c>
    </row>
    <row r="30" spans="1:11" x14ac:dyDescent="0.25">
      <c r="A30" s="5"/>
      <c r="B30" s="4"/>
      <c r="C30" s="6">
        <f>IFERROR(INDEX(Pacientes!$A:$A,MATCH($B30,Pacientes!$B:$B,0)),"")</f>
      </c>
      <c r="D30" s="6">
        <f>IFERROR(INDEX(Pacientes!$C:$C,MATCH($B30,Pacientes!$B:$B,0)),"")</f>
      </c>
      <c r="E30" s="4"/>
      <c r="F30" s="4"/>
      <c r="G30" s="4"/>
      <c r="H30" s="4"/>
      <c r="I30" s="4"/>
      <c r="J30" s="4"/>
      <c r="K30" s="4">
        <f>IF(E30="","",IF(H30&lt;&gt;"",H30,"["&amp;E30&amp;"] "&amp;F30&amp;" → "&amp;G30)&amp;IF(I30&lt;&gt;""," ("&amp;I30&amp;")",""))</f>
      </c>
    </row>
    <row r="31" spans="1:11" x14ac:dyDescent="0.25">
      <c r="A31" s="5"/>
      <c r="B31" s="4"/>
      <c r="C31" s="6">
        <f>IFERROR(INDEX(Pacientes!$A:$A,MATCH($B31,Pacientes!$B:$B,0)),"")</f>
      </c>
      <c r="D31" s="6">
        <f>IFERROR(INDEX(Pacientes!$C:$C,MATCH($B31,Pacientes!$B:$B,0)),"")</f>
      </c>
      <c r="E31" s="4"/>
      <c r="F31" s="4"/>
      <c r="G31" s="4"/>
      <c r="H31" s="4"/>
      <c r="I31" s="4"/>
      <c r="J31" s="4"/>
      <c r="K31" s="4">
        <f>IF(E31="","",IF(H31&lt;&gt;"",H31,"["&amp;E31&amp;"] "&amp;F31&amp;" → "&amp;G31)&amp;IF(I31&lt;&gt;""," ("&amp;I31&amp;")",""))</f>
      </c>
    </row>
    <row r="32" spans="1:11" x14ac:dyDescent="0.25">
      <c r="A32" s="5"/>
      <c r="B32" s="4"/>
      <c r="C32" s="6">
        <f>IFERROR(INDEX(Pacientes!$A:$A,MATCH($B32,Pacientes!$B:$B,0)),"")</f>
      </c>
      <c r="D32" s="6">
        <f>IFERROR(INDEX(Pacientes!$C:$C,MATCH($B32,Pacientes!$B:$B,0)),"")</f>
      </c>
      <c r="E32" s="4"/>
      <c r="F32" s="4"/>
      <c r="G32" s="4"/>
      <c r="H32" s="4"/>
      <c r="I32" s="4"/>
      <c r="J32" s="4"/>
      <c r="K32" s="4">
        <f>IF(E32="","",IF(H32&lt;&gt;"",H32,"["&amp;E32&amp;"] "&amp;F32&amp;" → "&amp;G32)&amp;IF(I32&lt;&gt;""," ("&amp;I32&amp;")",""))</f>
      </c>
    </row>
    <row r="33" spans="1:11" x14ac:dyDescent="0.25">
      <c r="A33" s="5"/>
      <c r="B33" s="4"/>
      <c r="C33" s="6">
        <f>IFERROR(INDEX(Pacientes!$A:$A,MATCH($B33,Pacientes!$B:$B,0)),"")</f>
      </c>
      <c r="D33" s="6">
        <f>IFERROR(INDEX(Pacientes!$C:$C,MATCH($B33,Pacientes!$B:$B,0)),"")</f>
      </c>
      <c r="E33" s="4"/>
      <c r="F33" s="4"/>
      <c r="G33" s="4"/>
      <c r="H33" s="4"/>
      <c r="I33" s="4"/>
      <c r="J33" s="4"/>
      <c r="K33" s="4">
        <f>IF(E33="","",IF(H33&lt;&gt;"",H33,"["&amp;E33&amp;"] "&amp;F33&amp;" → "&amp;G33)&amp;IF(I33&lt;&gt;""," ("&amp;I33&amp;")",""))</f>
      </c>
    </row>
    <row r="34" spans="1:11" x14ac:dyDescent="0.25">
      <c r="A34" s="5"/>
      <c r="B34" s="4"/>
      <c r="C34" s="6">
        <f>IFERROR(INDEX(Pacientes!$A:$A,MATCH($B34,Pacientes!$B:$B,0)),"")</f>
      </c>
      <c r="D34" s="6">
        <f>IFERROR(INDEX(Pacientes!$C:$C,MATCH($B34,Pacientes!$B:$B,0)),"")</f>
      </c>
      <c r="E34" s="4"/>
      <c r="F34" s="4"/>
      <c r="G34" s="4"/>
      <c r="H34" s="4"/>
      <c r="I34" s="4"/>
      <c r="J34" s="4"/>
      <c r="K34" s="4">
        <f>IF(E34="","",IF(H34&lt;&gt;"",H34,"["&amp;E34&amp;"] "&amp;F34&amp;" → "&amp;G34)&amp;IF(I34&lt;&gt;""," ("&amp;I34&amp;")",""))</f>
      </c>
    </row>
    <row r="35" spans="1:11" x14ac:dyDescent="0.25">
      <c r="A35" s="5"/>
      <c r="B35" s="4"/>
      <c r="C35" s="6">
        <f>IFERROR(INDEX(Pacientes!$A:$A,MATCH($B35,Pacientes!$B:$B,0)),"")</f>
      </c>
      <c r="D35" s="6">
        <f>IFERROR(INDEX(Pacientes!$C:$C,MATCH($B35,Pacientes!$B:$B,0)),"")</f>
      </c>
      <c r="E35" s="4"/>
      <c r="F35" s="4"/>
      <c r="G35" s="4"/>
      <c r="H35" s="4"/>
      <c r="I35" s="4"/>
      <c r="J35" s="4"/>
      <c r="K35" s="4">
        <f>IF(E35="","",IF(H35&lt;&gt;"",H35,"["&amp;E35&amp;"] "&amp;F35&amp;" → "&amp;G35)&amp;IF(I35&lt;&gt;""," ("&amp;I35&amp;")",""))</f>
      </c>
    </row>
    <row r="36" spans="1:11" x14ac:dyDescent="0.25">
      <c r="A36" s="5"/>
      <c r="B36" s="4"/>
      <c r="C36" s="6">
        <f>IFERROR(INDEX(Pacientes!$A:$A,MATCH($B36,Pacientes!$B:$B,0)),"")</f>
      </c>
      <c r="D36" s="6">
        <f>IFERROR(INDEX(Pacientes!$C:$C,MATCH($B36,Pacientes!$B:$B,0)),"")</f>
      </c>
      <c r="E36" s="4"/>
      <c r="F36" s="4"/>
      <c r="G36" s="4"/>
      <c r="H36" s="4"/>
      <c r="I36" s="4"/>
      <c r="J36" s="4"/>
      <c r="K36" s="4">
        <f>IF(E36="","",IF(H36&lt;&gt;"",H36,"["&amp;E36&amp;"] "&amp;F36&amp;" → "&amp;G36)&amp;IF(I36&lt;&gt;""," ("&amp;I36&amp;")",""))</f>
      </c>
    </row>
    <row r="37" spans="1:11" x14ac:dyDescent="0.25">
      <c r="A37" s="5"/>
      <c r="B37" s="4"/>
      <c r="C37" s="6">
        <f>IFERROR(INDEX(Pacientes!$A:$A,MATCH($B37,Pacientes!$B:$B,0)),"")</f>
      </c>
      <c r="D37" s="6">
        <f>IFERROR(INDEX(Pacientes!$C:$C,MATCH($B37,Pacientes!$B:$B,0)),"")</f>
      </c>
      <c r="E37" s="4"/>
      <c r="F37" s="4"/>
      <c r="G37" s="4"/>
      <c r="H37" s="4"/>
      <c r="I37" s="4"/>
      <c r="J37" s="4"/>
      <c r="K37" s="4">
        <f>IF(E37="","",IF(H37&lt;&gt;"",H37,"["&amp;E37&amp;"] "&amp;F37&amp;" → "&amp;G37)&amp;IF(I37&lt;&gt;""," ("&amp;I37&amp;")",""))</f>
      </c>
    </row>
    <row r="38" spans="1:11" x14ac:dyDescent="0.25">
      <c r="A38" s="5"/>
      <c r="B38" s="4"/>
      <c r="C38" s="6">
        <f>IFERROR(INDEX(Pacientes!$A:$A,MATCH($B38,Pacientes!$B:$B,0)),"")</f>
      </c>
      <c r="D38" s="6">
        <f>IFERROR(INDEX(Pacientes!$C:$C,MATCH($B38,Pacientes!$B:$B,0)),"")</f>
      </c>
      <c r="E38" s="4"/>
      <c r="F38" s="4"/>
      <c r="G38" s="4"/>
      <c r="H38" s="4"/>
      <c r="I38" s="4"/>
      <c r="J38" s="4"/>
      <c r="K38" s="4">
        <f>IF(E38="","",IF(H38&lt;&gt;"",H38,"["&amp;E38&amp;"] "&amp;F38&amp;" → "&amp;G38)&amp;IF(I38&lt;&gt;""," ("&amp;I38&amp;")",""))</f>
      </c>
    </row>
    <row r="39" spans="1:11" x14ac:dyDescent="0.25">
      <c r="A39" s="5"/>
      <c r="B39" s="4"/>
      <c r="C39" s="6">
        <f>IFERROR(INDEX(Pacientes!$A:$A,MATCH($B39,Pacientes!$B:$B,0)),"")</f>
      </c>
      <c r="D39" s="6">
        <f>IFERROR(INDEX(Pacientes!$C:$C,MATCH($B39,Pacientes!$B:$B,0)),"")</f>
      </c>
      <c r="E39" s="4"/>
      <c r="F39" s="4"/>
      <c r="G39" s="4"/>
      <c r="H39" s="4"/>
      <c r="I39" s="4"/>
      <c r="J39" s="4"/>
      <c r="K39" s="4">
        <f>IF(E39="","",IF(H39&lt;&gt;"",H39,"["&amp;E39&amp;"] "&amp;F39&amp;" → "&amp;G39)&amp;IF(I39&lt;&gt;""," ("&amp;I39&amp;")",""))</f>
      </c>
    </row>
    <row r="40" spans="1:11" x14ac:dyDescent="0.25">
      <c r="A40" s="5"/>
      <c r="B40" s="4"/>
      <c r="C40" s="6">
        <f>IFERROR(INDEX(Pacientes!$A:$A,MATCH($B40,Pacientes!$B:$B,0)),"")</f>
      </c>
      <c r="D40" s="6">
        <f>IFERROR(INDEX(Pacientes!$C:$C,MATCH($B40,Pacientes!$B:$B,0)),"")</f>
      </c>
      <c r="E40" s="4"/>
      <c r="F40" s="4"/>
      <c r="G40" s="4"/>
      <c r="H40" s="4"/>
      <c r="I40" s="4"/>
      <c r="J40" s="4"/>
      <c r="K40" s="4">
        <f>IF(E40="","",IF(H40&lt;&gt;"",H40,"["&amp;E40&amp;"] "&amp;F40&amp;" → "&amp;G40)&amp;IF(I40&lt;&gt;""," ("&amp;I40&amp;")",""))</f>
      </c>
    </row>
    <row r="41" spans="1:11" x14ac:dyDescent="0.25">
      <c r="A41" s="5"/>
      <c r="B41" s="4"/>
      <c r="C41" s="6">
        <f>IFERROR(INDEX(Pacientes!$A:$A,MATCH($B41,Pacientes!$B:$B,0)),"")</f>
      </c>
      <c r="D41" s="6">
        <f>IFERROR(INDEX(Pacientes!$C:$C,MATCH($B41,Pacientes!$B:$B,0)),"")</f>
      </c>
      <c r="E41" s="4"/>
      <c r="F41" s="4"/>
      <c r="G41" s="4"/>
      <c r="H41" s="4"/>
      <c r="I41" s="4"/>
      <c r="J41" s="4"/>
      <c r="K41" s="4">
        <f>IF(E41="","",IF(H41&lt;&gt;"",H41,"["&amp;E41&amp;"] "&amp;F41&amp;" → "&amp;G41)&amp;IF(I41&lt;&gt;""," ("&amp;I41&amp;")",""))</f>
      </c>
    </row>
    <row r="42" spans="1:11" x14ac:dyDescent="0.25">
      <c r="A42" s="5"/>
      <c r="B42" s="4"/>
      <c r="C42" s="6">
        <f>IFERROR(INDEX(Pacientes!$A:$A,MATCH($B42,Pacientes!$B:$B,0)),"")</f>
      </c>
      <c r="D42" s="6">
        <f>IFERROR(INDEX(Pacientes!$C:$C,MATCH($B42,Pacientes!$B:$B,0)),"")</f>
      </c>
      <c r="E42" s="4"/>
      <c r="F42" s="4"/>
      <c r="G42" s="4"/>
      <c r="H42" s="4"/>
      <c r="I42" s="4"/>
      <c r="J42" s="4"/>
      <c r="K42" s="4">
        <f>IF(E42="","",IF(H42&lt;&gt;"",H42,"["&amp;E42&amp;"] "&amp;F42&amp;" → "&amp;G42)&amp;IF(I42&lt;&gt;""," ("&amp;I42&amp;")",""))</f>
      </c>
    </row>
    <row r="43" spans="1:11" x14ac:dyDescent="0.25">
      <c r="A43" s="5"/>
      <c r="B43" s="4"/>
      <c r="C43" s="6">
        <f>IFERROR(INDEX(Pacientes!$A:$A,MATCH($B43,Pacientes!$B:$B,0)),"")</f>
      </c>
      <c r="D43" s="6">
        <f>IFERROR(INDEX(Pacientes!$C:$C,MATCH($B43,Pacientes!$B:$B,0)),"")</f>
      </c>
      <c r="E43" s="4"/>
      <c r="F43" s="4"/>
      <c r="G43" s="4"/>
      <c r="H43" s="4"/>
      <c r="I43" s="4"/>
      <c r="J43" s="4"/>
      <c r="K43" s="4">
        <f>IF(E43="","",IF(H43&lt;&gt;"",H43,"["&amp;E43&amp;"] "&amp;F43&amp;" → "&amp;G43)&amp;IF(I43&lt;&gt;""," ("&amp;I43&amp;")",""))</f>
      </c>
    </row>
    <row r="44" spans="1:11" x14ac:dyDescent="0.25">
      <c r="A44" s="5"/>
      <c r="B44" s="4"/>
      <c r="C44" s="6">
        <f>IFERROR(INDEX(Pacientes!$A:$A,MATCH($B44,Pacientes!$B:$B,0)),"")</f>
      </c>
      <c r="D44" s="6">
        <f>IFERROR(INDEX(Pacientes!$C:$C,MATCH($B44,Pacientes!$B:$B,0)),"")</f>
      </c>
      <c r="E44" s="4"/>
      <c r="F44" s="4"/>
      <c r="G44" s="4"/>
      <c r="H44" s="4"/>
      <c r="I44" s="4"/>
      <c r="J44" s="4"/>
      <c r="K44" s="4">
        <f>IF(E44="","",IF(H44&lt;&gt;"",H44,"["&amp;E44&amp;"] "&amp;F44&amp;" → "&amp;G44)&amp;IF(I44&lt;&gt;""," ("&amp;I44&amp;")",""))</f>
      </c>
    </row>
    <row r="45" spans="1:11" x14ac:dyDescent="0.25">
      <c r="A45" s="5"/>
      <c r="B45" s="4"/>
      <c r="C45" s="6">
        <f>IFERROR(INDEX(Pacientes!$A:$A,MATCH($B45,Pacientes!$B:$B,0)),"")</f>
      </c>
      <c r="D45" s="6">
        <f>IFERROR(INDEX(Pacientes!$C:$C,MATCH($B45,Pacientes!$B:$B,0)),"")</f>
      </c>
      <c r="E45" s="4"/>
      <c r="F45" s="4"/>
      <c r="G45" s="4"/>
      <c r="H45" s="4"/>
      <c r="I45" s="4"/>
      <c r="J45" s="4"/>
      <c r="K45" s="4">
        <f>IF(E45="","",IF(H45&lt;&gt;"",H45,"["&amp;E45&amp;"] "&amp;F45&amp;" → "&amp;G45)&amp;IF(I45&lt;&gt;""," ("&amp;I45&amp;")",""))</f>
      </c>
    </row>
    <row r="46" spans="1:11" x14ac:dyDescent="0.25">
      <c r="A46" s="5"/>
      <c r="B46" s="4"/>
      <c r="C46" s="6">
        <f>IFERROR(INDEX(Pacientes!$A:$A,MATCH($B46,Pacientes!$B:$B,0)),"")</f>
      </c>
      <c r="D46" s="6">
        <f>IFERROR(INDEX(Pacientes!$C:$C,MATCH($B46,Pacientes!$B:$B,0)),"")</f>
      </c>
      <c r="E46" s="4"/>
      <c r="F46" s="4"/>
      <c r="G46" s="4"/>
      <c r="H46" s="4"/>
      <c r="I46" s="4"/>
      <c r="J46" s="4"/>
      <c r="K46" s="4">
        <f>IF(E46="","",IF(H46&lt;&gt;"",H46,"["&amp;E46&amp;"] "&amp;F46&amp;" → "&amp;G46)&amp;IF(I46&lt;&gt;""," ("&amp;I46&amp;")",""))</f>
      </c>
    </row>
    <row r="47" spans="1:11" x14ac:dyDescent="0.25">
      <c r="A47" s="5"/>
      <c r="B47" s="4"/>
      <c r="C47" s="6">
        <f>IFERROR(INDEX(Pacientes!$A:$A,MATCH($B47,Pacientes!$B:$B,0)),"")</f>
      </c>
      <c r="D47" s="6">
        <f>IFERROR(INDEX(Pacientes!$C:$C,MATCH($B47,Pacientes!$B:$B,0)),"")</f>
      </c>
      <c r="E47" s="4"/>
      <c r="F47" s="4"/>
      <c r="G47" s="4"/>
      <c r="H47" s="4"/>
      <c r="I47" s="4"/>
      <c r="J47" s="4"/>
      <c r="K47" s="4">
        <f>IF(E47="","",IF(H47&lt;&gt;"",H47,"["&amp;E47&amp;"] "&amp;F47&amp;" → "&amp;G47)&amp;IF(I47&lt;&gt;""," ("&amp;I47&amp;")",""))</f>
      </c>
    </row>
    <row r="48" spans="1:11" x14ac:dyDescent="0.25">
      <c r="A48" s="5"/>
      <c r="B48" s="4"/>
      <c r="C48" s="6">
        <f>IFERROR(INDEX(Pacientes!$A:$A,MATCH($B48,Pacientes!$B:$B,0)),"")</f>
      </c>
      <c r="D48" s="6">
        <f>IFERROR(INDEX(Pacientes!$C:$C,MATCH($B48,Pacientes!$B:$B,0)),"")</f>
      </c>
      <c r="E48" s="4"/>
      <c r="F48" s="4"/>
      <c r="G48" s="4"/>
      <c r="H48" s="4"/>
      <c r="I48" s="4"/>
      <c r="J48" s="4"/>
      <c r="K48" s="4">
        <f>IF(E48="","",IF(H48&lt;&gt;"",H48,"["&amp;E48&amp;"] "&amp;F48&amp;" → "&amp;G48)&amp;IF(I48&lt;&gt;""," ("&amp;I48&amp;")",""))</f>
      </c>
    </row>
    <row r="49" spans="1:11" x14ac:dyDescent="0.25">
      <c r="A49" s="5"/>
      <c r="B49" s="4"/>
      <c r="C49" s="6">
        <f>IFERROR(INDEX(Pacientes!$A:$A,MATCH($B49,Pacientes!$B:$B,0)),"")</f>
      </c>
      <c r="D49" s="6">
        <f>IFERROR(INDEX(Pacientes!$C:$C,MATCH($B49,Pacientes!$B:$B,0)),"")</f>
      </c>
      <c r="E49" s="4"/>
      <c r="F49" s="4"/>
      <c r="G49" s="4"/>
      <c r="H49" s="4"/>
      <c r="I49" s="4"/>
      <c r="J49" s="4"/>
      <c r="K49" s="4">
        <f>IF(E49="","",IF(H49&lt;&gt;"",H49,"["&amp;E49&amp;"] "&amp;F49&amp;" → "&amp;G49)&amp;IF(I49&lt;&gt;""," ("&amp;I49&amp;")",""))</f>
      </c>
    </row>
    <row r="50" spans="1:11" x14ac:dyDescent="0.25">
      <c r="A50" s="5"/>
      <c r="B50" s="4"/>
      <c r="C50" s="6">
        <f>IFERROR(INDEX(Pacientes!$A:$A,MATCH($B50,Pacientes!$B:$B,0)),"")</f>
      </c>
      <c r="D50" s="6">
        <f>IFERROR(INDEX(Pacientes!$C:$C,MATCH($B50,Pacientes!$B:$B,0)),"")</f>
      </c>
      <c r="E50" s="4"/>
      <c r="F50" s="4"/>
      <c r="G50" s="4"/>
      <c r="H50" s="4"/>
      <c r="I50" s="4"/>
      <c r="J50" s="4"/>
      <c r="K50" s="4">
        <f>IF(E50="","",IF(H50&lt;&gt;"",H50,"["&amp;E50&amp;"] "&amp;F50&amp;" → "&amp;G50)&amp;IF(I50&lt;&gt;""," ("&amp;I50&amp;")",""))</f>
      </c>
    </row>
    <row r="51" spans="1:11" x14ac:dyDescent="0.25">
      <c r="A51" s="5"/>
      <c r="B51" s="4"/>
      <c r="C51" s="6">
        <f>IFERROR(INDEX(Pacientes!$A:$A,MATCH($B51,Pacientes!$B:$B,0)),"")</f>
      </c>
      <c r="D51" s="6">
        <f>IFERROR(INDEX(Pacientes!$C:$C,MATCH($B51,Pacientes!$B:$B,0)),"")</f>
      </c>
      <c r="E51" s="4"/>
      <c r="F51" s="4"/>
      <c r="G51" s="4"/>
      <c r="H51" s="4"/>
      <c r="I51" s="4"/>
      <c r="J51" s="4"/>
      <c r="K51" s="4">
        <f>IF(E51="","",IF(H51&lt;&gt;"",H51,"["&amp;E51&amp;"] "&amp;F51&amp;" → "&amp;G51)&amp;IF(I51&lt;&gt;""," ("&amp;I51&amp;")",""))</f>
      </c>
    </row>
    <row r="52" spans="1:11" x14ac:dyDescent="0.25">
      <c r="A52" s="5"/>
      <c r="B52" s="4"/>
      <c r="C52" s="6">
        <f>IFERROR(INDEX(Pacientes!$A:$A,MATCH($B52,Pacientes!$B:$B,0)),"")</f>
      </c>
      <c r="D52" s="6">
        <f>IFERROR(INDEX(Pacientes!$C:$C,MATCH($B52,Pacientes!$B:$B,0)),"")</f>
      </c>
      <c r="E52" s="4"/>
      <c r="F52" s="4"/>
      <c r="G52" s="4"/>
      <c r="H52" s="4"/>
      <c r="I52" s="4"/>
      <c r="J52" s="4"/>
      <c r="K52" s="4">
        <f>IF(E52="","",IF(H52&lt;&gt;"",H52,"["&amp;E52&amp;"] "&amp;F52&amp;" → "&amp;G52)&amp;IF(I52&lt;&gt;""," ("&amp;I52&amp;")",""))</f>
      </c>
    </row>
    <row r="53" spans="1:11" x14ac:dyDescent="0.25">
      <c r="A53" s="5"/>
      <c r="B53" s="4"/>
      <c r="C53" s="6">
        <f>IFERROR(INDEX(Pacientes!$A:$A,MATCH($B53,Pacientes!$B:$B,0)),"")</f>
      </c>
      <c r="D53" s="6">
        <f>IFERROR(INDEX(Pacientes!$C:$C,MATCH($B53,Pacientes!$B:$B,0)),"")</f>
      </c>
      <c r="E53" s="4"/>
      <c r="F53" s="4"/>
      <c r="G53" s="4"/>
      <c r="H53" s="4"/>
      <c r="I53" s="4"/>
      <c r="J53" s="4"/>
      <c r="K53" s="4">
        <f>IF(E53="","",IF(H53&lt;&gt;"",H53,"["&amp;E53&amp;"] "&amp;F53&amp;" → "&amp;G53)&amp;IF(I53&lt;&gt;""," ("&amp;I53&amp;")",""))</f>
      </c>
    </row>
    <row r="54" spans="1:11" x14ac:dyDescent="0.25">
      <c r="A54" s="5"/>
      <c r="B54" s="4"/>
      <c r="C54" s="6">
        <f>IFERROR(INDEX(Pacientes!$A:$A,MATCH($B54,Pacientes!$B:$B,0)),"")</f>
      </c>
      <c r="D54" s="6">
        <f>IFERROR(INDEX(Pacientes!$C:$C,MATCH($B54,Pacientes!$B:$B,0)),"")</f>
      </c>
      <c r="E54" s="4"/>
      <c r="F54" s="4"/>
      <c r="G54" s="4"/>
      <c r="H54" s="4"/>
      <c r="I54" s="4"/>
      <c r="J54" s="4"/>
      <c r="K54" s="4">
        <f>IF(E54="","",IF(H54&lt;&gt;"",H54,"["&amp;E54&amp;"] "&amp;F54&amp;" → "&amp;G54)&amp;IF(I54&lt;&gt;""," ("&amp;I54&amp;")",""))</f>
      </c>
    </row>
    <row r="55" spans="1:11" x14ac:dyDescent="0.25">
      <c r="A55" s="5"/>
      <c r="B55" s="4"/>
      <c r="C55" s="6">
        <f>IFERROR(INDEX(Pacientes!$A:$A,MATCH($B55,Pacientes!$B:$B,0)),"")</f>
      </c>
      <c r="D55" s="6">
        <f>IFERROR(INDEX(Pacientes!$C:$C,MATCH($B55,Pacientes!$B:$B,0)),"")</f>
      </c>
      <c r="E55" s="4"/>
      <c r="F55" s="4"/>
      <c r="G55" s="4"/>
      <c r="H55" s="4"/>
      <c r="I55" s="4"/>
      <c r="J55" s="4"/>
      <c r="K55" s="4">
        <f>IF(E55="","",IF(H55&lt;&gt;"",H55,"["&amp;E55&amp;"] "&amp;F55&amp;" → "&amp;G55)&amp;IF(I55&lt;&gt;""," ("&amp;I55&amp;")",""))</f>
      </c>
    </row>
    <row r="56" spans="1:11" x14ac:dyDescent="0.25">
      <c r="A56" s="5"/>
      <c r="B56" s="4"/>
      <c r="C56" s="6">
        <f>IFERROR(INDEX(Pacientes!$A:$A,MATCH($B56,Pacientes!$B:$B,0)),"")</f>
      </c>
      <c r="D56" s="6">
        <f>IFERROR(INDEX(Pacientes!$C:$C,MATCH($B56,Pacientes!$B:$B,0)),"")</f>
      </c>
      <c r="E56" s="4"/>
      <c r="F56" s="4"/>
      <c r="G56" s="4"/>
      <c r="H56" s="4"/>
      <c r="I56" s="4"/>
      <c r="J56" s="4"/>
      <c r="K56" s="4">
        <f>IF(E56="","",IF(H56&lt;&gt;"",H56,"["&amp;E56&amp;"] "&amp;F56&amp;" → "&amp;G56)&amp;IF(I56&lt;&gt;""," ("&amp;I56&amp;")",""))</f>
      </c>
    </row>
    <row r="57" spans="1:11" x14ac:dyDescent="0.25">
      <c r="A57" s="5"/>
      <c r="B57" s="4"/>
      <c r="C57" s="6">
        <f>IFERROR(INDEX(Pacientes!$A:$A,MATCH($B57,Pacientes!$B:$B,0)),"")</f>
      </c>
      <c r="D57" s="6">
        <f>IFERROR(INDEX(Pacientes!$C:$C,MATCH($B57,Pacientes!$B:$B,0)),"")</f>
      </c>
      <c r="E57" s="4"/>
      <c r="F57" s="4"/>
      <c r="G57" s="4"/>
      <c r="H57" s="4"/>
      <c r="I57" s="4"/>
      <c r="J57" s="4"/>
      <c r="K57" s="4">
        <f>IF(E57="","",IF(H57&lt;&gt;"",H57,"["&amp;E57&amp;"] "&amp;F57&amp;" → "&amp;G57)&amp;IF(I57&lt;&gt;""," ("&amp;I57&amp;")",""))</f>
      </c>
    </row>
    <row r="58" spans="1:11" x14ac:dyDescent="0.25">
      <c r="A58" s="5"/>
      <c r="B58" s="4"/>
      <c r="C58" s="6">
        <f>IFERROR(INDEX(Pacientes!$A:$A,MATCH($B58,Pacientes!$B:$B,0)),"")</f>
      </c>
      <c r="D58" s="6">
        <f>IFERROR(INDEX(Pacientes!$C:$C,MATCH($B58,Pacientes!$B:$B,0)),"")</f>
      </c>
      <c r="E58" s="4"/>
      <c r="F58" s="4"/>
      <c r="G58" s="4"/>
      <c r="H58" s="4"/>
      <c r="I58" s="4"/>
      <c r="J58" s="4"/>
      <c r="K58" s="4">
        <f>IF(E58="","",IF(H58&lt;&gt;"",H58,"["&amp;E58&amp;"] "&amp;F58&amp;" → "&amp;G58)&amp;IF(I58&lt;&gt;""," ("&amp;I58&amp;")",""))</f>
      </c>
    </row>
    <row r="59" spans="1:11" x14ac:dyDescent="0.25">
      <c r="A59" s="5"/>
      <c r="B59" s="4"/>
      <c r="C59" s="6">
        <f>IFERROR(INDEX(Pacientes!$A:$A,MATCH($B59,Pacientes!$B:$B,0)),"")</f>
      </c>
      <c r="D59" s="6">
        <f>IFERROR(INDEX(Pacientes!$C:$C,MATCH($B59,Pacientes!$B:$B,0)),"")</f>
      </c>
      <c r="E59" s="4"/>
      <c r="F59" s="4"/>
      <c r="G59" s="4"/>
      <c r="H59" s="4"/>
      <c r="I59" s="4"/>
      <c r="J59" s="4"/>
      <c r="K59" s="4">
        <f>IF(E59="","",IF(H59&lt;&gt;"",H59,"["&amp;E59&amp;"] "&amp;F59&amp;" → "&amp;G59)&amp;IF(I59&lt;&gt;""," ("&amp;I59&amp;")",""))</f>
      </c>
    </row>
    <row r="60" spans="1:11" x14ac:dyDescent="0.25">
      <c r="A60" s="5"/>
      <c r="B60" s="4"/>
      <c r="C60" s="6">
        <f>IFERROR(INDEX(Pacientes!$A:$A,MATCH($B60,Pacientes!$B:$B,0)),"")</f>
      </c>
      <c r="D60" s="6">
        <f>IFERROR(INDEX(Pacientes!$C:$C,MATCH($B60,Pacientes!$B:$B,0)),"")</f>
      </c>
      <c r="E60" s="4"/>
      <c r="F60" s="4"/>
      <c r="G60" s="4"/>
      <c r="H60" s="4"/>
      <c r="I60" s="4"/>
      <c r="J60" s="4"/>
      <c r="K60" s="4">
        <f>IF(E60="","",IF(H60&lt;&gt;"",H60,"["&amp;E60&amp;"] "&amp;F60&amp;" → "&amp;G60)&amp;IF(I60&lt;&gt;""," ("&amp;I60&amp;")",""))</f>
      </c>
    </row>
    <row r="61" spans="1:11" x14ac:dyDescent="0.25">
      <c r="A61" s="5"/>
      <c r="B61" s="4"/>
      <c r="C61" s="6">
        <f>IFERROR(INDEX(Pacientes!$A:$A,MATCH($B61,Pacientes!$B:$B,0)),"")</f>
      </c>
      <c r="D61" s="6">
        <f>IFERROR(INDEX(Pacientes!$C:$C,MATCH($B61,Pacientes!$B:$B,0)),"")</f>
      </c>
      <c r="E61" s="4"/>
      <c r="F61" s="4"/>
      <c r="G61" s="4"/>
      <c r="H61" s="4"/>
      <c r="I61" s="4"/>
      <c r="J61" s="4"/>
      <c r="K61" s="4">
        <f>IF(E61="","",IF(H61&lt;&gt;"",H61,"["&amp;E61&amp;"] "&amp;F61&amp;" → "&amp;G61)&amp;IF(I61&lt;&gt;""," ("&amp;I61&amp;")",""))</f>
      </c>
    </row>
    <row r="62" spans="1:11" x14ac:dyDescent="0.25">
      <c r="A62" s="5"/>
      <c r="B62" s="4"/>
      <c r="C62" s="6">
        <f>IFERROR(INDEX(Pacientes!$A:$A,MATCH($B62,Pacientes!$B:$B,0)),"")</f>
      </c>
      <c r="D62" s="6">
        <f>IFERROR(INDEX(Pacientes!$C:$C,MATCH($B62,Pacientes!$B:$B,0)),"")</f>
      </c>
      <c r="E62" s="4"/>
      <c r="F62" s="4"/>
      <c r="G62" s="4"/>
      <c r="H62" s="4"/>
      <c r="I62" s="4"/>
      <c r="J62" s="4"/>
      <c r="K62" s="4">
        <f>IF(E62="","",IF(H62&lt;&gt;"",H62,"["&amp;E62&amp;"] "&amp;F62&amp;" → "&amp;G62)&amp;IF(I62&lt;&gt;""," ("&amp;I62&amp;")",""))</f>
      </c>
    </row>
    <row r="63" spans="1:11" x14ac:dyDescent="0.25">
      <c r="A63" s="5"/>
      <c r="B63" s="4"/>
      <c r="C63" s="6">
        <f>IFERROR(INDEX(Pacientes!$A:$A,MATCH($B63,Pacientes!$B:$B,0)),"")</f>
      </c>
      <c r="D63" s="6">
        <f>IFERROR(INDEX(Pacientes!$C:$C,MATCH($B63,Pacientes!$B:$B,0)),"")</f>
      </c>
      <c r="E63" s="4"/>
      <c r="F63" s="4"/>
      <c r="G63" s="4"/>
      <c r="H63" s="4"/>
      <c r="I63" s="4"/>
      <c r="J63" s="4"/>
      <c r="K63" s="4">
        <f>IF(E63="","",IF(H63&lt;&gt;"",H63,"["&amp;E63&amp;"] "&amp;F63&amp;" → "&amp;G63)&amp;IF(I63&lt;&gt;""," ("&amp;I63&amp;")",""))</f>
      </c>
    </row>
    <row r="64" spans="1:11" x14ac:dyDescent="0.25">
      <c r="A64" s="5"/>
      <c r="B64" s="4"/>
      <c r="C64" s="6">
        <f>IFERROR(INDEX(Pacientes!$A:$A,MATCH($B64,Pacientes!$B:$B,0)),"")</f>
      </c>
      <c r="D64" s="6">
        <f>IFERROR(INDEX(Pacientes!$C:$C,MATCH($B64,Pacientes!$B:$B,0)),"")</f>
      </c>
      <c r="E64" s="4"/>
      <c r="F64" s="4"/>
      <c r="G64" s="4"/>
      <c r="H64" s="4"/>
      <c r="I64" s="4"/>
      <c r="J64" s="4"/>
      <c r="K64" s="4">
        <f>IF(E64="","",IF(H64&lt;&gt;"",H64,"["&amp;E64&amp;"] "&amp;F64&amp;" → "&amp;G64)&amp;IF(I64&lt;&gt;""," ("&amp;I64&amp;")",""))</f>
      </c>
    </row>
    <row r="65" spans="1:11" x14ac:dyDescent="0.25">
      <c r="A65" s="5"/>
      <c r="B65" s="4"/>
      <c r="C65" s="6">
        <f>IFERROR(INDEX(Pacientes!$A:$A,MATCH($B65,Pacientes!$B:$B,0)),"")</f>
      </c>
      <c r="D65" s="6">
        <f>IFERROR(INDEX(Pacientes!$C:$C,MATCH($B65,Pacientes!$B:$B,0)),"")</f>
      </c>
      <c r="E65" s="4"/>
      <c r="F65" s="4"/>
      <c r="G65" s="4"/>
      <c r="H65" s="4"/>
      <c r="I65" s="4"/>
      <c r="J65" s="4"/>
      <c r="K65" s="4">
        <f>IF(E65="","",IF(H65&lt;&gt;"",H65,"["&amp;E65&amp;"] "&amp;F65&amp;" → "&amp;G65)&amp;IF(I65&lt;&gt;""," ("&amp;I65&amp;")",""))</f>
      </c>
    </row>
    <row r="66" spans="1:11" x14ac:dyDescent="0.25">
      <c r="A66" s="5"/>
      <c r="B66" s="4"/>
      <c r="C66" s="6">
        <f>IFERROR(INDEX(Pacientes!$A:$A,MATCH($B66,Pacientes!$B:$B,0)),"")</f>
      </c>
      <c r="D66" s="6">
        <f>IFERROR(INDEX(Pacientes!$C:$C,MATCH($B66,Pacientes!$B:$B,0)),"")</f>
      </c>
      <c r="E66" s="4"/>
      <c r="F66" s="4"/>
      <c r="G66" s="4"/>
      <c r="H66" s="4"/>
      <c r="I66" s="4"/>
      <c r="J66" s="4"/>
      <c r="K66" s="4">
        <f>IF(E66="","",IF(H66&lt;&gt;"",H66,"["&amp;E66&amp;"] "&amp;F66&amp;" → "&amp;G66)&amp;IF(I66&lt;&gt;""," ("&amp;I66&amp;")",""))</f>
      </c>
    </row>
    <row r="67" spans="1:11" x14ac:dyDescent="0.25">
      <c r="A67" s="5"/>
      <c r="B67" s="4"/>
      <c r="C67" s="6">
        <f>IFERROR(INDEX(Pacientes!$A:$A,MATCH($B67,Pacientes!$B:$B,0)),"")</f>
      </c>
      <c r="D67" s="6">
        <f>IFERROR(INDEX(Pacientes!$C:$C,MATCH($B67,Pacientes!$B:$B,0)),"")</f>
      </c>
      <c r="E67" s="4"/>
      <c r="F67" s="4"/>
      <c r="G67" s="4"/>
      <c r="H67" s="4"/>
      <c r="I67" s="4"/>
      <c r="J67" s="4"/>
      <c r="K67" s="4">
        <f>IF(E67="","",IF(H67&lt;&gt;"",H67,"["&amp;E67&amp;"] "&amp;F67&amp;" → "&amp;G67)&amp;IF(I67&lt;&gt;""," ("&amp;I67&amp;")",""))</f>
      </c>
    </row>
    <row r="68" spans="1:11" x14ac:dyDescent="0.25">
      <c r="A68" s="5"/>
      <c r="B68" s="4"/>
      <c r="C68" s="6">
        <f>IFERROR(INDEX(Pacientes!$A:$A,MATCH($B68,Pacientes!$B:$B,0)),"")</f>
      </c>
      <c r="D68" s="6">
        <f>IFERROR(INDEX(Pacientes!$C:$C,MATCH($B68,Pacientes!$B:$B,0)),"")</f>
      </c>
      <c r="E68" s="4"/>
      <c r="F68" s="4"/>
      <c r="G68" s="4"/>
      <c r="H68" s="4"/>
      <c r="I68" s="4"/>
      <c r="J68" s="4"/>
      <c r="K68" s="4">
        <f>IF(E68="","",IF(H68&lt;&gt;"",H68,"["&amp;E68&amp;"] "&amp;F68&amp;" → "&amp;G68)&amp;IF(I68&lt;&gt;""," ("&amp;I68&amp;")",""))</f>
      </c>
    </row>
    <row r="69" spans="1:11" x14ac:dyDescent="0.25">
      <c r="A69" s="5"/>
      <c r="B69" s="4"/>
      <c r="C69" s="6">
        <f>IFERROR(INDEX(Pacientes!$A:$A,MATCH($B69,Pacientes!$B:$B,0)),"")</f>
      </c>
      <c r="D69" s="6">
        <f>IFERROR(INDEX(Pacientes!$C:$C,MATCH($B69,Pacientes!$B:$B,0)),"")</f>
      </c>
      <c r="E69" s="4"/>
      <c r="F69" s="4"/>
      <c r="G69" s="4"/>
      <c r="H69" s="4"/>
      <c r="I69" s="4"/>
      <c r="J69" s="4"/>
      <c r="K69" s="4">
        <f>IF(E69="","",IF(H69&lt;&gt;"",H69,"["&amp;E69&amp;"] "&amp;F69&amp;" → "&amp;G69)&amp;IF(I69&lt;&gt;""," ("&amp;I69&amp;")",""))</f>
      </c>
    </row>
    <row r="70" spans="1:11" x14ac:dyDescent="0.25">
      <c r="A70" s="5"/>
      <c r="B70" s="4"/>
      <c r="C70" s="6">
        <f>IFERROR(INDEX(Pacientes!$A:$A,MATCH($B70,Pacientes!$B:$B,0)),"")</f>
      </c>
      <c r="D70" s="6">
        <f>IFERROR(INDEX(Pacientes!$C:$C,MATCH($B70,Pacientes!$B:$B,0)),"")</f>
      </c>
      <c r="E70" s="4"/>
      <c r="F70" s="4"/>
      <c r="G70" s="4"/>
      <c r="H70" s="4"/>
      <c r="I70" s="4"/>
      <c r="J70" s="4"/>
      <c r="K70" s="4">
        <f>IF(E70="","",IF(H70&lt;&gt;"",H70,"["&amp;E70&amp;"] "&amp;F70&amp;" → "&amp;G70)&amp;IF(I70&lt;&gt;""," ("&amp;I70&amp;")",""))</f>
      </c>
    </row>
    <row r="71" spans="1:11" x14ac:dyDescent="0.25">
      <c r="A71" s="5"/>
      <c r="B71" s="4"/>
      <c r="C71" s="6">
        <f>IFERROR(INDEX(Pacientes!$A:$A,MATCH($B71,Pacientes!$B:$B,0)),"")</f>
      </c>
      <c r="D71" s="6">
        <f>IFERROR(INDEX(Pacientes!$C:$C,MATCH($B71,Pacientes!$B:$B,0)),"")</f>
      </c>
      <c r="E71" s="4"/>
      <c r="F71" s="4"/>
      <c r="G71" s="4"/>
      <c r="H71" s="4"/>
      <c r="I71" s="4"/>
      <c r="J71" s="4"/>
      <c r="K71" s="4">
        <f>IF(E71="","",IF(H71&lt;&gt;"",H71,"["&amp;E71&amp;"] "&amp;F71&amp;" → "&amp;G71)&amp;IF(I71&lt;&gt;""," ("&amp;I71&amp;")",""))</f>
      </c>
    </row>
    <row r="72" spans="1:11" x14ac:dyDescent="0.25">
      <c r="A72" s="5"/>
      <c r="B72" s="4"/>
      <c r="C72" s="6">
        <f>IFERROR(INDEX(Pacientes!$A:$A,MATCH($B72,Pacientes!$B:$B,0)),"")</f>
      </c>
      <c r="D72" s="6">
        <f>IFERROR(INDEX(Pacientes!$C:$C,MATCH($B72,Pacientes!$B:$B,0)),"")</f>
      </c>
      <c r="E72" s="4"/>
      <c r="F72" s="4"/>
      <c r="G72" s="4"/>
      <c r="H72" s="4"/>
      <c r="I72" s="4"/>
      <c r="J72" s="4"/>
      <c r="K72" s="4">
        <f>IF(E72="","",IF(H72&lt;&gt;"",H72,"["&amp;E72&amp;"] "&amp;F72&amp;" → "&amp;G72)&amp;IF(I72&lt;&gt;""," ("&amp;I72&amp;")",""))</f>
      </c>
    </row>
    <row r="73" spans="1:11" x14ac:dyDescent="0.25">
      <c r="A73" s="5"/>
      <c r="B73" s="4"/>
      <c r="C73" s="6">
        <f>IFERROR(INDEX(Pacientes!$A:$A,MATCH($B73,Pacientes!$B:$B,0)),"")</f>
      </c>
      <c r="D73" s="6">
        <f>IFERROR(INDEX(Pacientes!$C:$C,MATCH($B73,Pacientes!$B:$B,0)),"")</f>
      </c>
      <c r="E73" s="4"/>
      <c r="F73" s="4"/>
      <c r="G73" s="4"/>
      <c r="H73" s="4"/>
      <c r="I73" s="4"/>
      <c r="J73" s="4"/>
      <c r="K73" s="4">
        <f>IF(E73="","",IF(H73&lt;&gt;"",H73,"["&amp;E73&amp;"] "&amp;F73&amp;" → "&amp;G73)&amp;IF(I73&lt;&gt;""," ("&amp;I73&amp;")",""))</f>
      </c>
    </row>
    <row r="74" spans="1:11" x14ac:dyDescent="0.25">
      <c r="A74" s="5"/>
      <c r="B74" s="4"/>
      <c r="C74" s="6">
        <f>IFERROR(INDEX(Pacientes!$A:$A,MATCH($B74,Pacientes!$B:$B,0)),"")</f>
      </c>
      <c r="D74" s="6">
        <f>IFERROR(INDEX(Pacientes!$C:$C,MATCH($B74,Pacientes!$B:$B,0)),"")</f>
      </c>
      <c r="E74" s="4"/>
      <c r="F74" s="4"/>
      <c r="G74" s="4"/>
      <c r="H74" s="4"/>
      <c r="I74" s="4"/>
      <c r="J74" s="4"/>
      <c r="K74" s="4">
        <f>IF(E74="","",IF(H74&lt;&gt;"",H74,"["&amp;E74&amp;"] "&amp;F74&amp;" → "&amp;G74)&amp;IF(I74&lt;&gt;""," ("&amp;I74&amp;")",""))</f>
      </c>
    </row>
    <row r="75" spans="1:11" x14ac:dyDescent="0.25">
      <c r="A75" s="5"/>
      <c r="B75" s="4"/>
      <c r="C75" s="6">
        <f>IFERROR(INDEX(Pacientes!$A:$A,MATCH($B75,Pacientes!$B:$B,0)),"")</f>
      </c>
      <c r="D75" s="6">
        <f>IFERROR(INDEX(Pacientes!$C:$C,MATCH($B75,Pacientes!$B:$B,0)),"")</f>
      </c>
      <c r="E75" s="4"/>
      <c r="F75" s="4"/>
      <c r="G75" s="4"/>
      <c r="H75" s="4"/>
      <c r="I75" s="4"/>
      <c r="J75" s="4"/>
      <c r="K75" s="4">
        <f>IF(E75="","",IF(H75&lt;&gt;"",H75,"["&amp;E75&amp;"] "&amp;F75&amp;" → "&amp;G75)&amp;IF(I75&lt;&gt;""," ("&amp;I75&amp;")",""))</f>
      </c>
    </row>
    <row r="76" spans="1:11" x14ac:dyDescent="0.25">
      <c r="A76" s="5"/>
      <c r="B76" s="4"/>
      <c r="C76" s="6">
        <f>IFERROR(INDEX(Pacientes!$A:$A,MATCH($B76,Pacientes!$B:$B,0)),"")</f>
      </c>
      <c r="D76" s="6">
        <f>IFERROR(INDEX(Pacientes!$C:$C,MATCH($B76,Pacientes!$B:$B,0)),"")</f>
      </c>
      <c r="E76" s="4"/>
      <c r="F76" s="4"/>
      <c r="G76" s="4"/>
      <c r="H76" s="4"/>
      <c r="I76" s="4"/>
      <c r="J76" s="4"/>
      <c r="K76" s="4">
        <f>IF(E76="","",IF(H76&lt;&gt;"",H76,"["&amp;E76&amp;"] "&amp;F76&amp;" → "&amp;G76)&amp;IF(I76&lt;&gt;""," ("&amp;I76&amp;")",""))</f>
      </c>
    </row>
    <row r="77" spans="1:11" x14ac:dyDescent="0.25">
      <c r="A77" s="5"/>
      <c r="B77" s="4"/>
      <c r="C77" s="6">
        <f>IFERROR(INDEX(Pacientes!$A:$A,MATCH($B77,Pacientes!$B:$B,0)),"")</f>
      </c>
      <c r="D77" s="6">
        <f>IFERROR(INDEX(Pacientes!$C:$C,MATCH($B77,Pacientes!$B:$B,0)),"")</f>
      </c>
      <c r="E77" s="4"/>
      <c r="F77" s="4"/>
      <c r="G77" s="4"/>
      <c r="H77" s="4"/>
      <c r="I77" s="4"/>
      <c r="J77" s="4"/>
      <c r="K77" s="4">
        <f>IF(E77="","",IF(H77&lt;&gt;"",H77,"["&amp;E77&amp;"] "&amp;F77&amp;" → "&amp;G77)&amp;IF(I77&lt;&gt;""," ("&amp;I77&amp;")",""))</f>
      </c>
    </row>
    <row r="78" spans="1:11" x14ac:dyDescent="0.25">
      <c r="A78" s="5"/>
      <c r="B78" s="4"/>
      <c r="C78" s="6">
        <f>IFERROR(INDEX(Pacientes!$A:$A,MATCH($B78,Pacientes!$B:$B,0)),"")</f>
      </c>
      <c r="D78" s="6">
        <f>IFERROR(INDEX(Pacientes!$C:$C,MATCH($B78,Pacientes!$B:$B,0)),"")</f>
      </c>
      <c r="E78" s="4"/>
      <c r="F78" s="4"/>
      <c r="G78" s="4"/>
      <c r="H78" s="4"/>
      <c r="I78" s="4"/>
      <c r="J78" s="4"/>
      <c r="K78" s="4">
        <f>IF(E78="","",IF(H78&lt;&gt;"",H78,"["&amp;E78&amp;"] "&amp;F78&amp;" → "&amp;G78)&amp;IF(I78&lt;&gt;""," ("&amp;I78&amp;")",""))</f>
      </c>
    </row>
    <row r="79" spans="1:11" x14ac:dyDescent="0.25">
      <c r="A79" s="5"/>
      <c r="B79" s="4"/>
      <c r="C79" s="6">
        <f>IFERROR(INDEX(Pacientes!$A:$A,MATCH($B79,Pacientes!$B:$B,0)),"")</f>
      </c>
      <c r="D79" s="6">
        <f>IFERROR(INDEX(Pacientes!$C:$C,MATCH($B79,Pacientes!$B:$B,0)),"")</f>
      </c>
      <c r="E79" s="4"/>
      <c r="F79" s="4"/>
      <c r="G79" s="4"/>
      <c r="H79" s="4"/>
      <c r="I79" s="4"/>
      <c r="J79" s="4"/>
      <c r="K79" s="4">
        <f>IF(E79="","",IF(H79&lt;&gt;"",H79,"["&amp;E79&amp;"] "&amp;F79&amp;" → "&amp;G79)&amp;IF(I79&lt;&gt;""," ("&amp;I79&amp;")",""))</f>
      </c>
    </row>
    <row r="80" spans="1:11" x14ac:dyDescent="0.25">
      <c r="A80" s="5"/>
      <c r="B80" s="4"/>
      <c r="C80" s="6">
        <f>IFERROR(INDEX(Pacientes!$A:$A,MATCH($B80,Pacientes!$B:$B,0)),"")</f>
      </c>
      <c r="D80" s="6">
        <f>IFERROR(INDEX(Pacientes!$C:$C,MATCH($B80,Pacientes!$B:$B,0)),"")</f>
      </c>
      <c r="E80" s="4"/>
      <c r="F80" s="4"/>
      <c r="G80" s="4"/>
      <c r="H80" s="4"/>
      <c r="I80" s="4"/>
      <c r="J80" s="4"/>
      <c r="K80" s="4">
        <f>IF(E80="","",IF(H80&lt;&gt;"",H80,"["&amp;E80&amp;"] "&amp;F80&amp;" → "&amp;G80)&amp;IF(I80&lt;&gt;""," ("&amp;I80&amp;")",""))</f>
      </c>
    </row>
    <row r="81" spans="1:11" x14ac:dyDescent="0.25">
      <c r="A81" s="5"/>
      <c r="B81" s="4"/>
      <c r="C81" s="6">
        <f>IFERROR(INDEX(Pacientes!$A:$A,MATCH($B81,Pacientes!$B:$B,0)),"")</f>
      </c>
      <c r="D81" s="6">
        <f>IFERROR(INDEX(Pacientes!$C:$C,MATCH($B81,Pacientes!$B:$B,0)),"")</f>
      </c>
      <c r="E81" s="4"/>
      <c r="F81" s="4"/>
      <c r="G81" s="4"/>
      <c r="H81" s="4"/>
      <c r="I81" s="4"/>
      <c r="J81" s="4"/>
      <c r="K81" s="4">
        <f>IF(E81="","",IF(H81&lt;&gt;"",H81,"["&amp;E81&amp;"] "&amp;F81&amp;" → "&amp;G81)&amp;IF(I81&lt;&gt;""," ("&amp;I81&amp;")",""))</f>
      </c>
    </row>
    <row r="82" spans="1:11" x14ac:dyDescent="0.25">
      <c r="A82" s="5"/>
      <c r="B82" s="4"/>
      <c r="C82" s="6">
        <f>IFERROR(INDEX(Pacientes!$A:$A,MATCH($B82,Pacientes!$B:$B,0)),"")</f>
      </c>
      <c r="D82" s="6">
        <f>IFERROR(INDEX(Pacientes!$C:$C,MATCH($B82,Pacientes!$B:$B,0)),"")</f>
      </c>
      <c r="E82" s="4"/>
      <c r="F82" s="4"/>
      <c r="G82" s="4"/>
      <c r="H82" s="4"/>
      <c r="I82" s="4"/>
      <c r="J82" s="4"/>
      <c r="K82" s="4">
        <f>IF(E82="","",IF(H82&lt;&gt;"",H82,"["&amp;E82&amp;"] "&amp;F82&amp;" → "&amp;G82)&amp;IF(I82&lt;&gt;""," ("&amp;I82&amp;")",""))</f>
      </c>
    </row>
    <row r="83" spans="1:11" x14ac:dyDescent="0.25">
      <c r="A83" s="5"/>
      <c r="B83" s="4"/>
      <c r="C83" s="6">
        <f>IFERROR(INDEX(Pacientes!$A:$A,MATCH($B83,Pacientes!$B:$B,0)),"")</f>
      </c>
      <c r="D83" s="6">
        <f>IFERROR(INDEX(Pacientes!$C:$C,MATCH($B83,Pacientes!$B:$B,0)),"")</f>
      </c>
      <c r="E83" s="4"/>
      <c r="F83" s="4"/>
      <c r="G83" s="4"/>
      <c r="H83" s="4"/>
      <c r="I83" s="4"/>
      <c r="J83" s="4"/>
      <c r="K83" s="4">
        <f>IF(E83="","",IF(H83&lt;&gt;"",H83,"["&amp;E83&amp;"] "&amp;F83&amp;" → "&amp;G83)&amp;IF(I83&lt;&gt;""," ("&amp;I83&amp;")",""))</f>
      </c>
    </row>
    <row r="84" spans="1:11" x14ac:dyDescent="0.25">
      <c r="A84" s="5"/>
      <c r="B84" s="4"/>
      <c r="C84" s="6">
        <f>IFERROR(INDEX(Pacientes!$A:$A,MATCH($B84,Pacientes!$B:$B,0)),"")</f>
      </c>
      <c r="D84" s="6">
        <f>IFERROR(INDEX(Pacientes!$C:$C,MATCH($B84,Pacientes!$B:$B,0)),"")</f>
      </c>
      <c r="E84" s="4"/>
      <c r="F84" s="4"/>
      <c r="G84" s="4"/>
      <c r="H84" s="4"/>
      <c r="I84" s="4"/>
      <c r="J84" s="4"/>
      <c r="K84" s="4">
        <f>IF(E84="","",IF(H84&lt;&gt;"",H84,"["&amp;E84&amp;"] "&amp;F84&amp;" → "&amp;G84)&amp;IF(I84&lt;&gt;""," ("&amp;I84&amp;")",""))</f>
      </c>
    </row>
    <row r="85" spans="1:11" x14ac:dyDescent="0.25">
      <c r="A85" s="5"/>
      <c r="B85" s="4"/>
      <c r="C85" s="6">
        <f>IFERROR(INDEX(Pacientes!$A:$A,MATCH($B85,Pacientes!$B:$B,0)),"")</f>
      </c>
      <c r="D85" s="6">
        <f>IFERROR(INDEX(Pacientes!$C:$C,MATCH($B85,Pacientes!$B:$B,0)),"")</f>
      </c>
      <c r="E85" s="4"/>
      <c r="F85" s="4"/>
      <c r="G85" s="4"/>
      <c r="H85" s="4"/>
      <c r="I85" s="4"/>
      <c r="J85" s="4"/>
      <c r="K85" s="4">
        <f>IF(E85="","",IF(H85&lt;&gt;"",H85,"["&amp;E85&amp;"] "&amp;F85&amp;" → "&amp;G85)&amp;IF(I85&lt;&gt;""," ("&amp;I85&amp;")",""))</f>
      </c>
    </row>
    <row r="86" spans="1:11" x14ac:dyDescent="0.25">
      <c r="A86" s="5"/>
      <c r="B86" s="4"/>
      <c r="C86" s="6">
        <f>IFERROR(INDEX(Pacientes!$A:$A,MATCH($B86,Pacientes!$B:$B,0)),"")</f>
      </c>
      <c r="D86" s="6">
        <f>IFERROR(INDEX(Pacientes!$C:$C,MATCH($B86,Pacientes!$B:$B,0)),"")</f>
      </c>
      <c r="E86" s="4"/>
      <c r="F86" s="4"/>
      <c r="G86" s="4"/>
      <c r="H86" s="4"/>
      <c r="I86" s="4"/>
      <c r="J86" s="4"/>
      <c r="K86" s="4">
        <f>IF(E86="","",IF(H86&lt;&gt;"",H86,"["&amp;E86&amp;"] "&amp;F86&amp;" → "&amp;G86)&amp;IF(I86&lt;&gt;""," ("&amp;I86&amp;")",""))</f>
      </c>
    </row>
    <row r="87" spans="1:11" x14ac:dyDescent="0.25">
      <c r="A87" s="5"/>
      <c r="B87" s="4"/>
      <c r="C87" s="6">
        <f>IFERROR(INDEX(Pacientes!$A:$A,MATCH($B87,Pacientes!$B:$B,0)),"")</f>
      </c>
      <c r="D87" s="6">
        <f>IFERROR(INDEX(Pacientes!$C:$C,MATCH($B87,Pacientes!$B:$B,0)),"")</f>
      </c>
      <c r="E87" s="4"/>
      <c r="F87" s="4"/>
      <c r="G87" s="4"/>
      <c r="H87" s="4"/>
      <c r="I87" s="4"/>
      <c r="J87" s="4"/>
      <c r="K87" s="4">
        <f>IF(E87="","",IF(H87&lt;&gt;"",H87,"["&amp;E87&amp;"] "&amp;F87&amp;" → "&amp;G87)&amp;IF(I87&lt;&gt;""," ("&amp;I87&amp;")",""))</f>
      </c>
    </row>
    <row r="88" spans="1:11" x14ac:dyDescent="0.25">
      <c r="A88" s="5"/>
      <c r="B88" s="4"/>
      <c r="C88" s="6">
        <f>IFERROR(INDEX(Pacientes!$A:$A,MATCH($B88,Pacientes!$B:$B,0)),"")</f>
      </c>
      <c r="D88" s="6">
        <f>IFERROR(INDEX(Pacientes!$C:$C,MATCH($B88,Pacientes!$B:$B,0)),"")</f>
      </c>
      <c r="E88" s="4"/>
      <c r="F88" s="4"/>
      <c r="G88" s="4"/>
      <c r="H88" s="4"/>
      <c r="I88" s="4"/>
      <c r="J88" s="4"/>
      <c r="K88" s="4">
        <f>IF(E88="","",IF(H88&lt;&gt;"",H88,"["&amp;E88&amp;"] "&amp;F88&amp;" → "&amp;G88)&amp;IF(I88&lt;&gt;""," ("&amp;I88&amp;")",""))</f>
      </c>
    </row>
    <row r="89" spans="1:11" x14ac:dyDescent="0.25">
      <c r="A89" s="5"/>
      <c r="B89" s="4"/>
      <c r="C89" s="6">
        <f>IFERROR(INDEX(Pacientes!$A:$A,MATCH($B89,Pacientes!$B:$B,0)),"")</f>
      </c>
      <c r="D89" s="6">
        <f>IFERROR(INDEX(Pacientes!$C:$C,MATCH($B89,Pacientes!$B:$B,0)),"")</f>
      </c>
      <c r="E89" s="4"/>
      <c r="F89" s="4"/>
      <c r="G89" s="4"/>
      <c r="H89" s="4"/>
      <c r="I89" s="4"/>
      <c r="J89" s="4"/>
      <c r="K89" s="4">
        <f>IF(E89="","",IF(H89&lt;&gt;"",H89,"["&amp;E89&amp;"] "&amp;F89&amp;" → "&amp;G89)&amp;IF(I89&lt;&gt;""," ("&amp;I89&amp;")",""))</f>
      </c>
    </row>
    <row r="90" spans="1:11" x14ac:dyDescent="0.25">
      <c r="A90" s="5"/>
      <c r="B90" s="4"/>
      <c r="C90" s="6">
        <f>IFERROR(INDEX(Pacientes!$A:$A,MATCH($B90,Pacientes!$B:$B,0)),"")</f>
      </c>
      <c r="D90" s="6">
        <f>IFERROR(INDEX(Pacientes!$C:$C,MATCH($B90,Pacientes!$B:$B,0)),"")</f>
      </c>
      <c r="E90" s="4"/>
      <c r="F90" s="4"/>
      <c r="G90" s="4"/>
      <c r="H90" s="4"/>
      <c r="I90" s="4"/>
      <c r="J90" s="4"/>
      <c r="K90" s="4">
        <f>IF(E90="","",IF(H90&lt;&gt;"",H90,"["&amp;E90&amp;"] "&amp;F90&amp;" → "&amp;G90)&amp;IF(I90&lt;&gt;""," ("&amp;I90&amp;")",""))</f>
      </c>
    </row>
    <row r="91" spans="1:11" x14ac:dyDescent="0.25">
      <c r="A91" s="5"/>
      <c r="B91" s="4"/>
      <c r="C91" s="6">
        <f>IFERROR(INDEX(Pacientes!$A:$A,MATCH($B91,Pacientes!$B:$B,0)),"")</f>
      </c>
      <c r="D91" s="6">
        <f>IFERROR(INDEX(Pacientes!$C:$C,MATCH($B91,Pacientes!$B:$B,0)),"")</f>
      </c>
      <c r="E91" s="4"/>
      <c r="F91" s="4"/>
      <c r="G91" s="4"/>
      <c r="H91" s="4"/>
      <c r="I91" s="4"/>
      <c r="J91" s="4"/>
      <c r="K91" s="4">
        <f>IF(E91="","",IF(H91&lt;&gt;"",H91,"["&amp;E91&amp;"] "&amp;F91&amp;" → "&amp;G91)&amp;IF(I91&lt;&gt;""," ("&amp;I91&amp;")",""))</f>
      </c>
    </row>
    <row r="92" spans="1:11" x14ac:dyDescent="0.25">
      <c r="A92" s="5"/>
      <c r="B92" s="4"/>
      <c r="C92" s="6">
        <f>IFERROR(INDEX(Pacientes!$A:$A,MATCH($B92,Pacientes!$B:$B,0)),"")</f>
      </c>
      <c r="D92" s="6">
        <f>IFERROR(INDEX(Pacientes!$C:$C,MATCH($B92,Pacientes!$B:$B,0)),"")</f>
      </c>
      <c r="E92" s="4"/>
      <c r="F92" s="4"/>
      <c r="G92" s="4"/>
      <c r="H92" s="4"/>
      <c r="I92" s="4"/>
      <c r="J92" s="4"/>
      <c r="K92" s="4">
        <f>IF(E92="","",IF(H92&lt;&gt;"",H92,"["&amp;E92&amp;"] "&amp;F92&amp;" → "&amp;G92)&amp;IF(I92&lt;&gt;""," ("&amp;I92&amp;")",""))</f>
      </c>
    </row>
    <row r="93" spans="1:11" x14ac:dyDescent="0.25">
      <c r="A93" s="5"/>
      <c r="B93" s="4"/>
      <c r="C93" s="6">
        <f>IFERROR(INDEX(Pacientes!$A:$A,MATCH($B93,Pacientes!$B:$B,0)),"")</f>
      </c>
      <c r="D93" s="6">
        <f>IFERROR(INDEX(Pacientes!$C:$C,MATCH($B93,Pacientes!$B:$B,0)),"")</f>
      </c>
      <c r="E93" s="4"/>
      <c r="F93" s="4"/>
      <c r="G93" s="4"/>
      <c r="H93" s="4"/>
      <c r="I93" s="4"/>
      <c r="J93" s="4"/>
      <c r="K93" s="4">
        <f>IF(E93="","",IF(H93&lt;&gt;"",H93,"["&amp;E93&amp;"] "&amp;F93&amp;" → "&amp;G93)&amp;IF(I93&lt;&gt;""," ("&amp;I93&amp;")",""))</f>
      </c>
    </row>
    <row r="94" spans="1:11" x14ac:dyDescent="0.25">
      <c r="A94" s="5"/>
      <c r="B94" s="4"/>
      <c r="C94" s="6">
        <f>IFERROR(INDEX(Pacientes!$A:$A,MATCH($B94,Pacientes!$B:$B,0)),"")</f>
      </c>
      <c r="D94" s="6">
        <f>IFERROR(INDEX(Pacientes!$C:$C,MATCH($B94,Pacientes!$B:$B,0)),"")</f>
      </c>
      <c r="E94" s="4"/>
      <c r="F94" s="4"/>
      <c r="G94" s="4"/>
      <c r="H94" s="4"/>
      <c r="I94" s="4"/>
      <c r="J94" s="4"/>
      <c r="K94" s="4">
        <f>IF(E94="","",IF(H94&lt;&gt;"",H94,"["&amp;E94&amp;"] "&amp;F94&amp;" → "&amp;G94)&amp;IF(I94&lt;&gt;""," ("&amp;I94&amp;")",""))</f>
      </c>
    </row>
    <row r="95" spans="1:11" x14ac:dyDescent="0.25">
      <c r="A95" s="5"/>
      <c r="B95" s="4"/>
      <c r="C95" s="6">
        <f>IFERROR(INDEX(Pacientes!$A:$A,MATCH($B95,Pacientes!$B:$B,0)),"")</f>
      </c>
      <c r="D95" s="6">
        <f>IFERROR(INDEX(Pacientes!$C:$C,MATCH($B95,Pacientes!$B:$B,0)),"")</f>
      </c>
      <c r="E95" s="4"/>
      <c r="F95" s="4"/>
      <c r="G95" s="4"/>
      <c r="H95" s="4"/>
      <c r="I95" s="4"/>
      <c r="J95" s="4"/>
      <c r="K95" s="4">
        <f>IF(E95="","",IF(H95&lt;&gt;"",H95,"["&amp;E95&amp;"] "&amp;F95&amp;" → "&amp;G95)&amp;IF(I95&lt;&gt;""," ("&amp;I95&amp;")",""))</f>
      </c>
    </row>
    <row r="96" spans="1:11" x14ac:dyDescent="0.25">
      <c r="A96" s="5"/>
      <c r="B96" s="4"/>
      <c r="C96" s="6">
        <f>IFERROR(INDEX(Pacientes!$A:$A,MATCH($B96,Pacientes!$B:$B,0)),"")</f>
      </c>
      <c r="D96" s="6">
        <f>IFERROR(INDEX(Pacientes!$C:$C,MATCH($B96,Pacientes!$B:$B,0)),"")</f>
      </c>
      <c r="E96" s="4"/>
      <c r="F96" s="4"/>
      <c r="G96" s="4"/>
      <c r="H96" s="4"/>
      <c r="I96" s="4"/>
      <c r="J96" s="4"/>
      <c r="K96" s="4">
        <f>IF(E96="","",IF(H96&lt;&gt;"",H96,"["&amp;E96&amp;"] "&amp;F96&amp;" → "&amp;G96)&amp;IF(I96&lt;&gt;""," ("&amp;I96&amp;")",""))</f>
      </c>
    </row>
    <row r="97" spans="1:11" x14ac:dyDescent="0.25">
      <c r="A97" s="5"/>
      <c r="B97" s="4"/>
      <c r="C97" s="6">
        <f>IFERROR(INDEX(Pacientes!$A:$A,MATCH($B97,Pacientes!$B:$B,0)),"")</f>
      </c>
      <c r="D97" s="6">
        <f>IFERROR(INDEX(Pacientes!$C:$C,MATCH($B97,Pacientes!$B:$B,0)),"")</f>
      </c>
      <c r="E97" s="4"/>
      <c r="F97" s="4"/>
      <c r="G97" s="4"/>
      <c r="H97" s="4"/>
      <c r="I97" s="4"/>
      <c r="J97" s="4"/>
      <c r="K97" s="4">
        <f>IF(E97="","",IF(H97&lt;&gt;"",H97,"["&amp;E97&amp;"] "&amp;F97&amp;" → "&amp;G97)&amp;IF(I97&lt;&gt;""," ("&amp;I97&amp;")",""))</f>
      </c>
    </row>
    <row r="98" spans="1:11" x14ac:dyDescent="0.25">
      <c r="A98" s="5"/>
      <c r="B98" s="4"/>
      <c r="C98" s="6">
        <f>IFERROR(INDEX(Pacientes!$A:$A,MATCH($B98,Pacientes!$B:$B,0)),"")</f>
      </c>
      <c r="D98" s="6">
        <f>IFERROR(INDEX(Pacientes!$C:$C,MATCH($B98,Pacientes!$B:$B,0)),"")</f>
      </c>
      <c r="E98" s="4"/>
      <c r="F98" s="4"/>
      <c r="G98" s="4"/>
      <c r="H98" s="4"/>
      <c r="I98" s="4"/>
      <c r="J98" s="4"/>
      <c r="K98" s="4">
        <f>IF(E98="","",IF(H98&lt;&gt;"",H98,"["&amp;E98&amp;"] "&amp;F98&amp;" → "&amp;G98)&amp;IF(I98&lt;&gt;""," ("&amp;I98&amp;")",""))</f>
      </c>
    </row>
    <row r="99" spans="1:11" x14ac:dyDescent="0.25">
      <c r="A99" s="5"/>
      <c r="B99" s="4"/>
      <c r="C99" s="6">
        <f>IFERROR(INDEX(Pacientes!$A:$A,MATCH($B99,Pacientes!$B:$B,0)),"")</f>
      </c>
      <c r="D99" s="6">
        <f>IFERROR(INDEX(Pacientes!$C:$C,MATCH($B99,Pacientes!$B:$B,0)),"")</f>
      </c>
      <c r="E99" s="4"/>
      <c r="F99" s="4"/>
      <c r="G99" s="4"/>
      <c r="H99" s="4"/>
      <c r="I99" s="4"/>
      <c r="J99" s="4"/>
      <c r="K99" s="4">
        <f>IF(E99="","",IF(H99&lt;&gt;"",H99,"["&amp;E99&amp;"] "&amp;F99&amp;" → "&amp;G99)&amp;IF(I99&lt;&gt;""," ("&amp;I99&amp;")",""))</f>
      </c>
    </row>
    <row r="100" spans="1:11" x14ac:dyDescent="0.25">
      <c r="A100" s="5"/>
      <c r="B100" s="4"/>
      <c r="C100" s="6">
        <f>IFERROR(INDEX(Pacientes!$A:$A,MATCH($B100,Pacientes!$B:$B,0)),"")</f>
      </c>
      <c r="D100" s="6">
        <f>IFERROR(INDEX(Pacientes!$C:$C,MATCH($B100,Pacientes!$B:$B,0)),"")</f>
      </c>
      <c r="E100" s="4"/>
      <c r="F100" s="4"/>
      <c r="G100" s="4"/>
      <c r="H100" s="4"/>
      <c r="I100" s="4"/>
      <c r="J100" s="4"/>
      <c r="K100" s="4">
        <f>IF(E100="","",IF(H100&lt;&gt;"",H100,"["&amp;E100&amp;"] "&amp;F100&amp;" → "&amp;G100)&amp;IF(I100&lt;&gt;""," ("&amp;I100&amp;")",""))</f>
      </c>
    </row>
    <row r="101" spans="1:11" x14ac:dyDescent="0.25">
      <c r="A101" s="5"/>
      <c r="B101" s="4"/>
      <c r="C101" s="6">
        <f>IFERROR(INDEX(Pacientes!$A:$A,MATCH($B101,Pacientes!$B:$B,0)),"")</f>
      </c>
      <c r="D101" s="6">
        <f>IFERROR(INDEX(Pacientes!$C:$C,MATCH($B101,Pacientes!$B:$B,0)),"")</f>
      </c>
      <c r="E101" s="4"/>
      <c r="F101" s="4"/>
      <c r="G101" s="4"/>
      <c r="H101" s="4"/>
      <c r="I101" s="4"/>
      <c r="J101" s="4"/>
      <c r="K101" s="4">
        <f>IF(E101="","",IF(H101&lt;&gt;"",H101,"["&amp;E101&amp;"] "&amp;F101&amp;" → "&amp;G101)&amp;IF(I101&lt;&gt;""," ("&amp;I101&amp;")",""))</f>
      </c>
    </row>
    <row r="102" spans="1:11" x14ac:dyDescent="0.25">
      <c r="A102" s="5"/>
      <c r="B102" s="4"/>
      <c r="C102" s="6">
        <f>IFERROR(INDEX(Pacientes!$A:$A,MATCH($B102,Pacientes!$B:$B,0)),"")</f>
      </c>
      <c r="D102" s="6">
        <f>IFERROR(INDEX(Pacientes!$C:$C,MATCH($B102,Pacientes!$B:$B,0)),"")</f>
      </c>
      <c r="E102" s="4"/>
      <c r="F102" s="4"/>
      <c r="G102" s="4"/>
      <c r="H102" s="4"/>
      <c r="I102" s="4"/>
      <c r="J102" s="4"/>
      <c r="K102" s="4">
        <f>IF(E102="","",IF(H102&lt;&gt;"",H102,"["&amp;E102&amp;"] "&amp;F102&amp;" → "&amp;G102)&amp;IF(I102&lt;&gt;""," ("&amp;I102&amp;")",""))</f>
      </c>
    </row>
    <row r="103" spans="1:11" x14ac:dyDescent="0.25">
      <c r="A103" s="5"/>
      <c r="B103" s="4"/>
      <c r="C103" s="6">
        <f>IFERROR(INDEX(Pacientes!$A:$A,MATCH($B103,Pacientes!$B:$B,0)),"")</f>
      </c>
      <c r="D103" s="6">
        <f>IFERROR(INDEX(Pacientes!$C:$C,MATCH($B103,Pacientes!$B:$B,0)),"")</f>
      </c>
      <c r="E103" s="4"/>
      <c r="F103" s="4"/>
      <c r="G103" s="4"/>
      <c r="H103" s="4"/>
      <c r="I103" s="4"/>
      <c r="J103" s="4"/>
      <c r="K103" s="4">
        <f>IF(E103="","",IF(H103&lt;&gt;"",H103,"["&amp;E103&amp;"] "&amp;F103&amp;" → "&amp;G103)&amp;IF(I103&lt;&gt;""," ("&amp;I103&amp;")",""))</f>
      </c>
    </row>
    <row r="104" spans="1:11" x14ac:dyDescent="0.25">
      <c r="A104" s="5"/>
      <c r="B104" s="4"/>
      <c r="C104" s="6">
        <f>IFERROR(INDEX(Pacientes!$A:$A,MATCH($B104,Pacientes!$B:$B,0)),"")</f>
      </c>
      <c r="D104" s="6">
        <f>IFERROR(INDEX(Pacientes!$C:$C,MATCH($B104,Pacientes!$B:$B,0)),"")</f>
      </c>
      <c r="E104" s="4"/>
      <c r="F104" s="4"/>
      <c r="G104" s="4"/>
      <c r="H104" s="4"/>
      <c r="I104" s="4"/>
      <c r="J104" s="4"/>
      <c r="K104" s="4">
        <f>IF(E104="","",IF(H104&lt;&gt;"",H104,"["&amp;E104&amp;"] "&amp;F104&amp;" → "&amp;G104)&amp;IF(I104&lt;&gt;""," ("&amp;I104&amp;")",""))</f>
      </c>
    </row>
    <row r="105" spans="1:11" x14ac:dyDescent="0.25">
      <c r="A105" s="5"/>
      <c r="B105" s="4"/>
      <c r="C105" s="6">
        <f>IFERROR(INDEX(Pacientes!$A:$A,MATCH($B105,Pacientes!$B:$B,0)),"")</f>
      </c>
      <c r="D105" s="6">
        <f>IFERROR(INDEX(Pacientes!$C:$C,MATCH($B105,Pacientes!$B:$B,0)),"")</f>
      </c>
      <c r="E105" s="4"/>
      <c r="F105" s="4"/>
      <c r="G105" s="4"/>
      <c r="H105" s="4"/>
      <c r="I105" s="4"/>
      <c r="J105" s="4"/>
      <c r="K105" s="4">
        <f>IF(E105="","",IF(H105&lt;&gt;"",H105,"["&amp;E105&amp;"] "&amp;F105&amp;" → "&amp;G105)&amp;IF(I105&lt;&gt;""," ("&amp;I105&amp;")",""))</f>
      </c>
    </row>
    <row r="106" spans="1:11" x14ac:dyDescent="0.25">
      <c r="A106" s="5"/>
      <c r="B106" s="4"/>
      <c r="C106" s="6">
        <f>IFERROR(INDEX(Pacientes!$A:$A,MATCH($B106,Pacientes!$B:$B,0)),"")</f>
      </c>
      <c r="D106" s="6">
        <f>IFERROR(INDEX(Pacientes!$C:$C,MATCH($B106,Pacientes!$B:$B,0)),"")</f>
      </c>
      <c r="E106" s="4"/>
      <c r="F106" s="4"/>
      <c r="G106" s="4"/>
      <c r="H106" s="4"/>
      <c r="I106" s="4"/>
      <c r="J106" s="4"/>
      <c r="K106" s="4">
        <f>IF(E106="","",IF(H106&lt;&gt;"",H106,"["&amp;E106&amp;"] "&amp;F106&amp;" → "&amp;G106)&amp;IF(I106&lt;&gt;""," ("&amp;I106&amp;")",""))</f>
      </c>
    </row>
    <row r="107" spans="1:11" x14ac:dyDescent="0.25">
      <c r="A107" s="5"/>
      <c r="B107" s="4"/>
      <c r="C107" s="6">
        <f>IFERROR(INDEX(Pacientes!$A:$A,MATCH($B107,Pacientes!$B:$B,0)),"")</f>
      </c>
      <c r="D107" s="6">
        <f>IFERROR(INDEX(Pacientes!$C:$C,MATCH($B107,Pacientes!$B:$B,0)),"")</f>
      </c>
      <c r="E107" s="4"/>
      <c r="F107" s="4"/>
      <c r="G107" s="4"/>
      <c r="H107" s="4"/>
      <c r="I107" s="4"/>
      <c r="J107" s="4"/>
      <c r="K107" s="4">
        <f>IF(E107="","",IF(H107&lt;&gt;"",H107,"["&amp;E107&amp;"] "&amp;F107&amp;" → "&amp;G107)&amp;IF(I107&lt;&gt;""," ("&amp;I107&amp;")",""))</f>
      </c>
    </row>
    <row r="108" spans="1:11" x14ac:dyDescent="0.25">
      <c r="A108" s="5"/>
      <c r="B108" s="4"/>
      <c r="C108" s="6">
        <f>IFERROR(INDEX(Pacientes!$A:$A,MATCH($B108,Pacientes!$B:$B,0)),"")</f>
      </c>
      <c r="D108" s="6">
        <f>IFERROR(INDEX(Pacientes!$C:$C,MATCH($B108,Pacientes!$B:$B,0)),"")</f>
      </c>
      <c r="E108" s="4"/>
      <c r="F108" s="4"/>
      <c r="G108" s="4"/>
      <c r="H108" s="4"/>
      <c r="I108" s="4"/>
      <c r="J108" s="4"/>
      <c r="K108" s="4">
        <f>IF(E108="","",IF(H108&lt;&gt;"",H108,"["&amp;E108&amp;"] "&amp;F108&amp;" → "&amp;G108)&amp;IF(I108&lt;&gt;""," ("&amp;I108&amp;")",""))</f>
      </c>
    </row>
    <row r="109" spans="1:11" x14ac:dyDescent="0.25">
      <c r="A109" s="5"/>
      <c r="B109" s="4"/>
      <c r="C109" s="6">
        <f>IFERROR(INDEX(Pacientes!$A:$A,MATCH($B109,Pacientes!$B:$B,0)),"")</f>
      </c>
      <c r="D109" s="6">
        <f>IFERROR(INDEX(Pacientes!$C:$C,MATCH($B109,Pacientes!$B:$B,0)),"")</f>
      </c>
      <c r="E109" s="4"/>
      <c r="F109" s="4"/>
      <c r="G109" s="4"/>
      <c r="H109" s="4"/>
      <c r="I109" s="4"/>
      <c r="J109" s="4"/>
      <c r="K109" s="4">
        <f>IF(E109="","",IF(H109&lt;&gt;"",H109,"["&amp;E109&amp;"] "&amp;F109&amp;" → "&amp;G109)&amp;IF(I109&lt;&gt;""," ("&amp;I109&amp;")",""))</f>
      </c>
    </row>
    <row r="110" spans="1:11" x14ac:dyDescent="0.25">
      <c r="A110" s="5"/>
      <c r="B110" s="4"/>
      <c r="C110" s="6">
        <f>IFERROR(INDEX(Pacientes!$A:$A,MATCH($B110,Pacientes!$B:$B,0)),"")</f>
      </c>
      <c r="D110" s="6">
        <f>IFERROR(INDEX(Pacientes!$C:$C,MATCH($B110,Pacientes!$B:$B,0)),"")</f>
      </c>
      <c r="E110" s="4"/>
      <c r="F110" s="4"/>
      <c r="G110" s="4"/>
      <c r="H110" s="4"/>
      <c r="I110" s="4"/>
      <c r="J110" s="4"/>
      <c r="K110" s="4">
        <f>IF(E110="","",IF(H110&lt;&gt;"",H110,"["&amp;E110&amp;"] "&amp;F110&amp;" → "&amp;G110)&amp;IF(I110&lt;&gt;""," ("&amp;I110&amp;")",""))</f>
      </c>
    </row>
    <row r="111" spans="1:11" x14ac:dyDescent="0.25">
      <c r="A111" s="5"/>
      <c r="B111" s="4"/>
      <c r="C111" s="6">
        <f>IFERROR(INDEX(Pacientes!$A:$A,MATCH($B111,Pacientes!$B:$B,0)),"")</f>
      </c>
      <c r="D111" s="6">
        <f>IFERROR(INDEX(Pacientes!$C:$C,MATCH($B111,Pacientes!$B:$B,0)),"")</f>
      </c>
      <c r="E111" s="4"/>
      <c r="F111" s="4"/>
      <c r="G111" s="4"/>
      <c r="H111" s="4"/>
      <c r="I111" s="4"/>
      <c r="J111" s="4"/>
      <c r="K111" s="4">
        <f>IF(E111="","",IF(H111&lt;&gt;"",H111,"["&amp;E111&amp;"] "&amp;F111&amp;" → "&amp;G111)&amp;IF(I111&lt;&gt;""," ("&amp;I111&amp;")",""))</f>
      </c>
    </row>
    <row r="112" spans="1:11" x14ac:dyDescent="0.25">
      <c r="A112" s="5"/>
      <c r="B112" s="4"/>
      <c r="C112" s="6">
        <f>IFERROR(INDEX(Pacientes!$A:$A,MATCH($B112,Pacientes!$B:$B,0)),"")</f>
      </c>
      <c r="D112" s="6">
        <f>IFERROR(INDEX(Pacientes!$C:$C,MATCH($B112,Pacientes!$B:$B,0)),"")</f>
      </c>
      <c r="E112" s="4"/>
      <c r="F112" s="4"/>
      <c r="G112" s="4"/>
      <c r="H112" s="4"/>
      <c r="I112" s="4"/>
      <c r="J112" s="4"/>
      <c r="K112" s="4">
        <f>IF(E112="","",IF(H112&lt;&gt;"",H112,"["&amp;E112&amp;"] "&amp;F112&amp;" → "&amp;G112)&amp;IF(I112&lt;&gt;""," ("&amp;I112&amp;")",""))</f>
      </c>
    </row>
    <row r="113" spans="1:11" x14ac:dyDescent="0.25">
      <c r="A113" s="5"/>
      <c r="B113" s="4"/>
      <c r="C113" s="6">
        <f>IFERROR(INDEX(Pacientes!$A:$A,MATCH($B113,Pacientes!$B:$B,0)),"")</f>
      </c>
      <c r="D113" s="6">
        <f>IFERROR(INDEX(Pacientes!$C:$C,MATCH($B113,Pacientes!$B:$B,0)),"")</f>
      </c>
      <c r="E113" s="4"/>
      <c r="F113" s="4"/>
      <c r="G113" s="4"/>
      <c r="H113" s="4"/>
      <c r="I113" s="4"/>
      <c r="J113" s="4"/>
      <c r="K113" s="4">
        <f>IF(E113="","",IF(H113&lt;&gt;"",H113,"["&amp;E113&amp;"] "&amp;F113&amp;" → "&amp;G113)&amp;IF(I113&lt;&gt;""," ("&amp;I113&amp;")",""))</f>
      </c>
    </row>
    <row r="114" spans="1:11" x14ac:dyDescent="0.25">
      <c r="A114" s="5"/>
      <c r="B114" s="4"/>
      <c r="C114" s="6">
        <f>IFERROR(INDEX(Pacientes!$A:$A,MATCH($B114,Pacientes!$B:$B,0)),"")</f>
      </c>
      <c r="D114" s="6">
        <f>IFERROR(INDEX(Pacientes!$C:$C,MATCH($B114,Pacientes!$B:$B,0)),"")</f>
      </c>
      <c r="E114" s="4"/>
      <c r="F114" s="4"/>
      <c r="G114" s="4"/>
      <c r="H114" s="4"/>
      <c r="I114" s="4"/>
      <c r="J114" s="4"/>
      <c r="K114" s="4">
        <f>IF(E114="","",IF(H114&lt;&gt;"",H114,"["&amp;E114&amp;"] "&amp;F114&amp;" → "&amp;G114)&amp;IF(I114&lt;&gt;""," ("&amp;I114&amp;")",""))</f>
      </c>
    </row>
    <row r="115" spans="1:11" x14ac:dyDescent="0.25">
      <c r="A115" s="5"/>
      <c r="B115" s="4"/>
      <c r="C115" s="6">
        <f>IFERROR(INDEX(Pacientes!$A:$A,MATCH($B115,Pacientes!$B:$B,0)),"")</f>
      </c>
      <c r="D115" s="6">
        <f>IFERROR(INDEX(Pacientes!$C:$C,MATCH($B115,Pacientes!$B:$B,0)),"")</f>
      </c>
      <c r="E115" s="4"/>
      <c r="F115" s="4"/>
      <c r="G115" s="4"/>
      <c r="H115" s="4"/>
      <c r="I115" s="4"/>
      <c r="J115" s="4"/>
      <c r="K115" s="4">
        <f>IF(E115="","",IF(H115&lt;&gt;"",H115,"["&amp;E115&amp;"] "&amp;F115&amp;" → "&amp;G115)&amp;IF(I115&lt;&gt;""," ("&amp;I115&amp;")",""))</f>
      </c>
    </row>
    <row r="116" spans="1:11" x14ac:dyDescent="0.25">
      <c r="A116" s="5"/>
      <c r="B116" s="4"/>
      <c r="C116" s="6">
        <f>IFERROR(INDEX(Pacientes!$A:$A,MATCH($B116,Pacientes!$B:$B,0)),"")</f>
      </c>
      <c r="D116" s="6">
        <f>IFERROR(INDEX(Pacientes!$C:$C,MATCH($B116,Pacientes!$B:$B,0)),"")</f>
      </c>
      <c r="E116" s="4"/>
      <c r="F116" s="4"/>
      <c r="G116" s="4"/>
      <c r="H116" s="4"/>
      <c r="I116" s="4"/>
      <c r="J116" s="4"/>
      <c r="K116" s="4">
        <f>IF(E116="","",IF(H116&lt;&gt;"",H116,"["&amp;E116&amp;"] "&amp;F116&amp;" → "&amp;G116)&amp;IF(I116&lt;&gt;""," ("&amp;I116&amp;")",""))</f>
      </c>
    </row>
    <row r="117" spans="1:11" x14ac:dyDescent="0.25">
      <c r="A117" s="5"/>
      <c r="B117" s="4"/>
      <c r="C117" s="6">
        <f>IFERROR(INDEX(Pacientes!$A:$A,MATCH($B117,Pacientes!$B:$B,0)),"")</f>
      </c>
      <c r="D117" s="6">
        <f>IFERROR(INDEX(Pacientes!$C:$C,MATCH($B117,Pacientes!$B:$B,0)),"")</f>
      </c>
      <c r="E117" s="4"/>
      <c r="F117" s="4"/>
      <c r="G117" s="4"/>
      <c r="H117" s="4"/>
      <c r="I117" s="4"/>
      <c r="J117" s="4"/>
      <c r="K117" s="4">
        <f>IF(E117="","",IF(H117&lt;&gt;"",H117,"["&amp;E117&amp;"] "&amp;F117&amp;" → "&amp;G117)&amp;IF(I117&lt;&gt;""," ("&amp;I117&amp;")",""))</f>
      </c>
    </row>
    <row r="118" spans="1:11" x14ac:dyDescent="0.25">
      <c r="A118" s="5"/>
      <c r="B118" s="4"/>
      <c r="C118" s="6">
        <f>IFERROR(INDEX(Pacientes!$A:$A,MATCH($B118,Pacientes!$B:$B,0)),"")</f>
      </c>
      <c r="D118" s="6">
        <f>IFERROR(INDEX(Pacientes!$C:$C,MATCH($B118,Pacientes!$B:$B,0)),"")</f>
      </c>
      <c r="E118" s="4"/>
      <c r="F118" s="4"/>
      <c r="G118" s="4"/>
      <c r="H118" s="4"/>
      <c r="I118" s="4"/>
      <c r="J118" s="4"/>
      <c r="K118" s="4">
        <f>IF(E118="","",IF(H118&lt;&gt;"",H118,"["&amp;E118&amp;"] "&amp;F118&amp;" → "&amp;G118)&amp;IF(I118&lt;&gt;""," ("&amp;I118&amp;")",""))</f>
      </c>
    </row>
    <row r="119" spans="1:11" x14ac:dyDescent="0.25">
      <c r="A119" s="5"/>
      <c r="B119" s="4"/>
      <c r="C119" s="6">
        <f>IFERROR(INDEX(Pacientes!$A:$A,MATCH($B119,Pacientes!$B:$B,0)),"")</f>
      </c>
      <c r="D119" s="6">
        <f>IFERROR(INDEX(Pacientes!$C:$C,MATCH($B119,Pacientes!$B:$B,0)),"")</f>
      </c>
      <c r="E119" s="4"/>
      <c r="F119" s="4"/>
      <c r="G119" s="4"/>
      <c r="H119" s="4"/>
      <c r="I119" s="4"/>
      <c r="J119" s="4"/>
      <c r="K119" s="4">
        <f>IF(E119="","",IF(H119&lt;&gt;"",H119,"["&amp;E119&amp;"] "&amp;F119&amp;" → "&amp;G119)&amp;IF(I119&lt;&gt;""," ("&amp;I119&amp;")",""))</f>
      </c>
    </row>
    <row r="120" spans="1:11" x14ac:dyDescent="0.25">
      <c r="A120" s="5"/>
      <c r="B120" s="4"/>
      <c r="C120" s="6">
        <f>IFERROR(INDEX(Pacientes!$A:$A,MATCH($B120,Pacientes!$B:$B,0)),"")</f>
      </c>
      <c r="D120" s="6">
        <f>IFERROR(INDEX(Pacientes!$C:$C,MATCH($B120,Pacientes!$B:$B,0)),"")</f>
      </c>
      <c r="E120" s="4"/>
      <c r="F120" s="4"/>
      <c r="G120" s="4"/>
      <c r="H120" s="4"/>
      <c r="I120" s="4"/>
      <c r="J120" s="4"/>
      <c r="K120" s="4">
        <f>IF(E120="","",IF(H120&lt;&gt;"",H120,"["&amp;E120&amp;"] "&amp;F120&amp;" → "&amp;G120)&amp;IF(I120&lt;&gt;""," ("&amp;I120&amp;")",""))</f>
      </c>
    </row>
    <row r="121" spans="1:11" x14ac:dyDescent="0.25">
      <c r="A121" s="5"/>
      <c r="B121" s="4"/>
      <c r="C121" s="6">
        <f>IFERROR(INDEX(Pacientes!$A:$A,MATCH($B121,Pacientes!$B:$B,0)),"")</f>
      </c>
      <c r="D121" s="6">
        <f>IFERROR(INDEX(Pacientes!$C:$C,MATCH($B121,Pacientes!$B:$B,0)),"")</f>
      </c>
      <c r="E121" s="4"/>
      <c r="F121" s="4"/>
      <c r="G121" s="4"/>
      <c r="H121" s="4"/>
      <c r="I121" s="4"/>
      <c r="J121" s="4"/>
      <c r="K121" s="4">
        <f>IF(E121="","",IF(H121&lt;&gt;"",H121,"["&amp;E121&amp;"] "&amp;F121&amp;" → "&amp;G121)&amp;IF(I121&lt;&gt;""," ("&amp;I121&amp;")",""))</f>
      </c>
    </row>
    <row r="122" spans="1:11" x14ac:dyDescent="0.25">
      <c r="A122" s="5"/>
      <c r="B122" s="4"/>
      <c r="C122" s="6">
        <f>IFERROR(INDEX(Pacientes!$A:$A,MATCH($B122,Pacientes!$B:$B,0)),"")</f>
      </c>
      <c r="D122" s="6">
        <f>IFERROR(INDEX(Pacientes!$C:$C,MATCH($B122,Pacientes!$B:$B,0)),"")</f>
      </c>
      <c r="E122" s="4"/>
      <c r="F122" s="4"/>
      <c r="G122" s="4"/>
      <c r="H122" s="4"/>
      <c r="I122" s="4"/>
      <c r="J122" s="4"/>
      <c r="K122" s="4">
        <f>IF(E122="","",IF(H122&lt;&gt;"",H122,"["&amp;E122&amp;"] "&amp;F122&amp;" → "&amp;G122)&amp;IF(I122&lt;&gt;""," ("&amp;I122&amp;")",""))</f>
      </c>
    </row>
    <row r="123" spans="1:11" x14ac:dyDescent="0.25">
      <c r="A123" s="5"/>
      <c r="B123" s="4"/>
      <c r="C123" s="6">
        <f>IFERROR(INDEX(Pacientes!$A:$A,MATCH($B123,Pacientes!$B:$B,0)),"")</f>
      </c>
      <c r="D123" s="6">
        <f>IFERROR(INDEX(Pacientes!$C:$C,MATCH($B123,Pacientes!$B:$B,0)),"")</f>
      </c>
      <c r="E123" s="4"/>
      <c r="F123" s="4"/>
      <c r="G123" s="4"/>
      <c r="H123" s="4"/>
      <c r="I123" s="4"/>
      <c r="J123" s="4"/>
      <c r="K123" s="4">
        <f>IF(E123="","",IF(H123&lt;&gt;"",H123,"["&amp;E123&amp;"] "&amp;F123&amp;" → "&amp;G123)&amp;IF(I123&lt;&gt;""," ("&amp;I123&amp;")",""))</f>
      </c>
    </row>
    <row r="124" spans="1:11" x14ac:dyDescent="0.25">
      <c r="A124" s="5"/>
      <c r="B124" s="4"/>
      <c r="C124" s="6">
        <f>IFERROR(INDEX(Pacientes!$A:$A,MATCH($B124,Pacientes!$B:$B,0)),"")</f>
      </c>
      <c r="D124" s="6">
        <f>IFERROR(INDEX(Pacientes!$C:$C,MATCH($B124,Pacientes!$B:$B,0)),"")</f>
      </c>
      <c r="E124" s="4"/>
      <c r="F124" s="4"/>
      <c r="G124" s="4"/>
      <c r="H124" s="4"/>
      <c r="I124" s="4"/>
      <c r="J124" s="4"/>
      <c r="K124" s="4">
        <f>IF(E124="","",IF(H124&lt;&gt;"",H124,"["&amp;E124&amp;"] "&amp;F124&amp;" → "&amp;G124)&amp;IF(I124&lt;&gt;""," ("&amp;I124&amp;")",""))</f>
      </c>
    </row>
    <row r="125" spans="1:11" x14ac:dyDescent="0.25">
      <c r="A125" s="5"/>
      <c r="B125" s="4"/>
      <c r="C125" s="6">
        <f>IFERROR(INDEX(Pacientes!$A:$A,MATCH($B125,Pacientes!$B:$B,0)),"")</f>
      </c>
      <c r="D125" s="6">
        <f>IFERROR(INDEX(Pacientes!$C:$C,MATCH($B125,Pacientes!$B:$B,0)),"")</f>
      </c>
      <c r="E125" s="4"/>
      <c r="F125" s="4"/>
      <c r="G125" s="4"/>
      <c r="H125" s="4"/>
      <c r="I125" s="4"/>
      <c r="J125" s="4"/>
      <c r="K125" s="4">
        <f>IF(E125="","",IF(H125&lt;&gt;"",H125,"["&amp;E125&amp;"] "&amp;F125&amp;" → "&amp;G125)&amp;IF(I125&lt;&gt;""," ("&amp;I125&amp;")",""))</f>
      </c>
    </row>
    <row r="126" spans="1:11" x14ac:dyDescent="0.25">
      <c r="A126" s="5"/>
      <c r="B126" s="4"/>
      <c r="C126" s="6">
        <f>IFERROR(INDEX(Pacientes!$A:$A,MATCH($B126,Pacientes!$B:$B,0)),"")</f>
      </c>
      <c r="D126" s="6">
        <f>IFERROR(INDEX(Pacientes!$C:$C,MATCH($B126,Pacientes!$B:$B,0)),"")</f>
      </c>
      <c r="E126" s="4"/>
      <c r="F126" s="4"/>
      <c r="G126" s="4"/>
      <c r="H126" s="4"/>
      <c r="I126" s="4"/>
      <c r="J126" s="4"/>
      <c r="K126" s="4">
        <f>IF(E126="","",IF(H126&lt;&gt;"",H126,"["&amp;E126&amp;"] "&amp;F126&amp;" → "&amp;G126)&amp;IF(I126&lt;&gt;""," ("&amp;I126&amp;")",""))</f>
      </c>
    </row>
    <row r="127" spans="1:11" x14ac:dyDescent="0.25">
      <c r="A127" s="5"/>
      <c r="B127" s="4"/>
      <c r="C127" s="6">
        <f>IFERROR(INDEX(Pacientes!$A:$A,MATCH($B127,Pacientes!$B:$B,0)),"")</f>
      </c>
      <c r="D127" s="6">
        <f>IFERROR(INDEX(Pacientes!$C:$C,MATCH($B127,Pacientes!$B:$B,0)),"")</f>
      </c>
      <c r="E127" s="4"/>
      <c r="F127" s="4"/>
      <c r="G127" s="4"/>
      <c r="H127" s="4"/>
      <c r="I127" s="4"/>
      <c r="J127" s="4"/>
      <c r="K127" s="4">
        <f>IF(E127="","",IF(H127&lt;&gt;"",H127,"["&amp;E127&amp;"] "&amp;F127&amp;" → "&amp;G127)&amp;IF(I127&lt;&gt;""," ("&amp;I127&amp;")",""))</f>
      </c>
    </row>
    <row r="128" spans="1:11" x14ac:dyDescent="0.25">
      <c r="A128" s="5"/>
      <c r="B128" s="4"/>
      <c r="C128" s="6">
        <f>IFERROR(INDEX(Pacientes!$A:$A,MATCH($B128,Pacientes!$B:$B,0)),"")</f>
      </c>
      <c r="D128" s="6">
        <f>IFERROR(INDEX(Pacientes!$C:$C,MATCH($B128,Pacientes!$B:$B,0)),"")</f>
      </c>
      <c r="E128" s="4"/>
      <c r="F128" s="4"/>
      <c r="G128" s="4"/>
      <c r="H128" s="4"/>
      <c r="I128" s="4"/>
      <c r="J128" s="4"/>
      <c r="K128" s="4">
        <f>IF(E128="","",IF(H128&lt;&gt;"",H128,"["&amp;E128&amp;"] "&amp;F128&amp;" → "&amp;G128)&amp;IF(I128&lt;&gt;""," ("&amp;I128&amp;")",""))</f>
      </c>
    </row>
    <row r="129" spans="1:11" x14ac:dyDescent="0.25">
      <c r="A129" s="5"/>
      <c r="B129" s="4"/>
      <c r="C129" s="6">
        <f>IFERROR(INDEX(Pacientes!$A:$A,MATCH($B129,Pacientes!$B:$B,0)),"")</f>
      </c>
      <c r="D129" s="6">
        <f>IFERROR(INDEX(Pacientes!$C:$C,MATCH($B129,Pacientes!$B:$B,0)),"")</f>
      </c>
      <c r="E129" s="4"/>
      <c r="F129" s="4"/>
      <c r="G129" s="4"/>
      <c r="H129" s="4"/>
      <c r="I129" s="4"/>
      <c r="J129" s="4"/>
      <c r="K129" s="4">
        <f>IF(E129="","",IF(H129&lt;&gt;"",H129,"["&amp;E129&amp;"] "&amp;F129&amp;" → "&amp;G129)&amp;IF(I129&lt;&gt;""," ("&amp;I129&amp;")",""))</f>
      </c>
    </row>
    <row r="130" spans="1:11" x14ac:dyDescent="0.25">
      <c r="A130" s="5"/>
      <c r="B130" s="4"/>
      <c r="C130" s="6">
        <f>IFERROR(INDEX(Pacientes!$A:$A,MATCH($B130,Pacientes!$B:$B,0)),"")</f>
      </c>
      <c r="D130" s="6">
        <f>IFERROR(INDEX(Pacientes!$C:$C,MATCH($B130,Pacientes!$B:$B,0)),"")</f>
      </c>
      <c r="E130" s="4"/>
      <c r="F130" s="4"/>
      <c r="G130" s="4"/>
      <c r="H130" s="4"/>
      <c r="I130" s="4"/>
      <c r="J130" s="4"/>
      <c r="K130" s="4">
        <f>IF(E130="","",IF(H130&lt;&gt;"",H130,"["&amp;E130&amp;"] "&amp;F130&amp;" → "&amp;G130)&amp;IF(I130&lt;&gt;""," ("&amp;I130&amp;")",""))</f>
      </c>
    </row>
    <row r="131" spans="1:11" x14ac:dyDescent="0.25">
      <c r="A131" s="5"/>
      <c r="B131" s="4"/>
      <c r="C131" s="6">
        <f>IFERROR(INDEX(Pacientes!$A:$A,MATCH($B131,Pacientes!$B:$B,0)),"")</f>
      </c>
      <c r="D131" s="6">
        <f>IFERROR(INDEX(Pacientes!$C:$C,MATCH($B131,Pacientes!$B:$B,0)),"")</f>
      </c>
      <c r="E131" s="4"/>
      <c r="F131" s="4"/>
      <c r="G131" s="4"/>
      <c r="H131" s="4"/>
      <c r="I131" s="4"/>
      <c r="J131" s="4"/>
      <c r="K131" s="4">
        <f>IF(E131="","",IF(H131&lt;&gt;"",H131,"["&amp;E131&amp;"] "&amp;F131&amp;" → "&amp;G131)&amp;IF(I131&lt;&gt;""," ("&amp;I131&amp;")",""))</f>
      </c>
    </row>
    <row r="132" spans="1:11" x14ac:dyDescent="0.25">
      <c r="A132" s="5"/>
      <c r="B132" s="4"/>
      <c r="C132" s="6">
        <f>IFERROR(INDEX(Pacientes!$A:$A,MATCH($B132,Pacientes!$B:$B,0)),"")</f>
      </c>
      <c r="D132" s="6">
        <f>IFERROR(INDEX(Pacientes!$C:$C,MATCH($B132,Pacientes!$B:$B,0)),"")</f>
      </c>
      <c r="E132" s="4"/>
      <c r="F132" s="4"/>
      <c r="G132" s="4"/>
      <c r="H132" s="4"/>
      <c r="I132" s="4"/>
      <c r="J132" s="4"/>
      <c r="K132" s="4">
        <f>IF(E132="","",IF(H132&lt;&gt;"",H132,"["&amp;E132&amp;"] "&amp;F132&amp;" → "&amp;G132)&amp;IF(I132&lt;&gt;""," ("&amp;I132&amp;")",""))</f>
      </c>
    </row>
    <row r="133" spans="1:11" x14ac:dyDescent="0.25">
      <c r="A133" s="5"/>
      <c r="B133" s="4"/>
      <c r="C133" s="6">
        <f>IFERROR(INDEX(Pacientes!$A:$A,MATCH($B133,Pacientes!$B:$B,0)),"")</f>
      </c>
      <c r="D133" s="6">
        <f>IFERROR(INDEX(Pacientes!$C:$C,MATCH($B133,Pacientes!$B:$B,0)),"")</f>
      </c>
      <c r="E133" s="4"/>
      <c r="F133" s="4"/>
      <c r="G133" s="4"/>
      <c r="H133" s="4"/>
      <c r="I133" s="4"/>
      <c r="J133" s="4"/>
      <c r="K133" s="4">
        <f>IF(E133="","",IF(H133&lt;&gt;"",H133,"["&amp;E133&amp;"] "&amp;F133&amp;" → "&amp;G133)&amp;IF(I133&lt;&gt;""," ("&amp;I133&amp;")",""))</f>
      </c>
    </row>
    <row r="134" spans="1:11" x14ac:dyDescent="0.25">
      <c r="A134" s="5"/>
      <c r="B134" s="4"/>
      <c r="C134" s="6">
        <f>IFERROR(INDEX(Pacientes!$A:$A,MATCH($B134,Pacientes!$B:$B,0)),"")</f>
      </c>
      <c r="D134" s="6">
        <f>IFERROR(INDEX(Pacientes!$C:$C,MATCH($B134,Pacientes!$B:$B,0)),"")</f>
      </c>
      <c r="E134" s="4"/>
      <c r="F134" s="4"/>
      <c r="G134" s="4"/>
      <c r="H134" s="4"/>
      <c r="I134" s="4"/>
      <c r="J134" s="4"/>
      <c r="K134" s="4">
        <f>IF(E134="","",IF(H134&lt;&gt;"",H134,"["&amp;E134&amp;"] "&amp;F134&amp;" → "&amp;G134)&amp;IF(I134&lt;&gt;""," ("&amp;I134&amp;")",""))</f>
      </c>
    </row>
    <row r="135" spans="1:11" x14ac:dyDescent="0.25">
      <c r="A135" s="5"/>
      <c r="B135" s="4"/>
      <c r="C135" s="6">
        <f>IFERROR(INDEX(Pacientes!$A:$A,MATCH($B135,Pacientes!$B:$B,0)),"")</f>
      </c>
      <c r="D135" s="6">
        <f>IFERROR(INDEX(Pacientes!$C:$C,MATCH($B135,Pacientes!$B:$B,0)),"")</f>
      </c>
      <c r="E135" s="4"/>
      <c r="F135" s="4"/>
      <c r="G135" s="4"/>
      <c r="H135" s="4"/>
      <c r="I135" s="4"/>
      <c r="J135" s="4"/>
      <c r="K135" s="4">
        <f>IF(E135="","",IF(H135&lt;&gt;"",H135,"["&amp;E135&amp;"] "&amp;F135&amp;" → "&amp;G135)&amp;IF(I135&lt;&gt;""," ("&amp;I135&amp;")",""))</f>
      </c>
    </row>
    <row r="136" spans="1:11" x14ac:dyDescent="0.25">
      <c r="A136" s="5"/>
      <c r="B136" s="4"/>
      <c r="C136" s="6">
        <f>IFERROR(INDEX(Pacientes!$A:$A,MATCH($B136,Pacientes!$B:$B,0)),"")</f>
      </c>
      <c r="D136" s="6">
        <f>IFERROR(INDEX(Pacientes!$C:$C,MATCH($B136,Pacientes!$B:$B,0)),"")</f>
      </c>
      <c r="E136" s="4"/>
      <c r="F136" s="4"/>
      <c r="G136" s="4"/>
      <c r="H136" s="4"/>
      <c r="I136" s="4"/>
      <c r="J136" s="4"/>
      <c r="K136" s="4">
        <f>IF(E136="","",IF(H136&lt;&gt;"",H136,"["&amp;E136&amp;"] "&amp;F136&amp;" → "&amp;G136)&amp;IF(I136&lt;&gt;""," ("&amp;I136&amp;")",""))</f>
      </c>
    </row>
    <row r="137" spans="1:11" x14ac:dyDescent="0.25">
      <c r="A137" s="5"/>
      <c r="B137" s="4"/>
      <c r="C137" s="6">
        <f>IFERROR(INDEX(Pacientes!$A:$A,MATCH($B137,Pacientes!$B:$B,0)),"")</f>
      </c>
      <c r="D137" s="6">
        <f>IFERROR(INDEX(Pacientes!$C:$C,MATCH($B137,Pacientes!$B:$B,0)),"")</f>
      </c>
      <c r="E137" s="4"/>
      <c r="F137" s="4"/>
      <c r="G137" s="4"/>
      <c r="H137" s="4"/>
      <c r="I137" s="4"/>
      <c r="J137" s="4"/>
      <c r="K137" s="4">
        <f>IF(E137="","",IF(H137&lt;&gt;"",H137,"["&amp;E137&amp;"] "&amp;F137&amp;" → "&amp;G137)&amp;IF(I137&lt;&gt;""," ("&amp;I137&amp;")",""))</f>
      </c>
    </row>
    <row r="138" spans="1:11" x14ac:dyDescent="0.25">
      <c r="A138" s="5"/>
      <c r="B138" s="4"/>
      <c r="C138" s="6">
        <f>IFERROR(INDEX(Pacientes!$A:$A,MATCH($B138,Pacientes!$B:$B,0)),"")</f>
      </c>
      <c r="D138" s="6">
        <f>IFERROR(INDEX(Pacientes!$C:$C,MATCH($B138,Pacientes!$B:$B,0)),"")</f>
      </c>
      <c r="E138" s="4"/>
      <c r="F138" s="4"/>
      <c r="G138" s="4"/>
      <c r="H138" s="4"/>
      <c r="I138" s="4"/>
      <c r="J138" s="4"/>
      <c r="K138" s="4">
        <f>IF(E138="","",IF(H138&lt;&gt;"",H138,"["&amp;E138&amp;"] "&amp;F138&amp;" → "&amp;G138)&amp;IF(I138&lt;&gt;""," ("&amp;I138&amp;")",""))</f>
      </c>
    </row>
    <row r="139" spans="1:11" x14ac:dyDescent="0.25">
      <c r="A139" s="5"/>
      <c r="B139" s="4"/>
      <c r="C139" s="6">
        <f>IFERROR(INDEX(Pacientes!$A:$A,MATCH($B139,Pacientes!$B:$B,0)),"")</f>
      </c>
      <c r="D139" s="6">
        <f>IFERROR(INDEX(Pacientes!$C:$C,MATCH($B139,Pacientes!$B:$B,0)),"")</f>
      </c>
      <c r="E139" s="4"/>
      <c r="F139" s="4"/>
      <c r="G139" s="4"/>
      <c r="H139" s="4"/>
      <c r="I139" s="4"/>
      <c r="J139" s="4"/>
      <c r="K139" s="4">
        <f>IF(E139="","",IF(H139&lt;&gt;"",H139,"["&amp;E139&amp;"] "&amp;F139&amp;" → "&amp;G139)&amp;IF(I139&lt;&gt;""," ("&amp;I139&amp;")",""))</f>
      </c>
    </row>
    <row r="140" spans="1:11" x14ac:dyDescent="0.25">
      <c r="A140" s="5"/>
      <c r="B140" s="4"/>
      <c r="C140" s="6">
        <f>IFERROR(INDEX(Pacientes!$A:$A,MATCH($B140,Pacientes!$B:$B,0)),"")</f>
      </c>
      <c r="D140" s="6">
        <f>IFERROR(INDEX(Pacientes!$C:$C,MATCH($B140,Pacientes!$B:$B,0)),"")</f>
      </c>
      <c r="E140" s="4"/>
      <c r="F140" s="4"/>
      <c r="G140" s="4"/>
      <c r="H140" s="4"/>
      <c r="I140" s="4"/>
      <c r="J140" s="4"/>
      <c r="K140" s="4">
        <f>IF(E140="","",IF(H140&lt;&gt;"",H140,"["&amp;E140&amp;"] "&amp;F140&amp;" → "&amp;G140)&amp;IF(I140&lt;&gt;""," ("&amp;I140&amp;")",""))</f>
      </c>
    </row>
    <row r="141" spans="1:11" x14ac:dyDescent="0.25">
      <c r="A141" s="5"/>
      <c r="B141" s="4"/>
      <c r="C141" s="6">
        <f>IFERROR(INDEX(Pacientes!$A:$A,MATCH($B141,Pacientes!$B:$B,0)),"")</f>
      </c>
      <c r="D141" s="6">
        <f>IFERROR(INDEX(Pacientes!$C:$C,MATCH($B141,Pacientes!$B:$B,0)),"")</f>
      </c>
      <c r="E141" s="4"/>
      <c r="F141" s="4"/>
      <c r="G141" s="4"/>
      <c r="H141" s="4"/>
      <c r="I141" s="4"/>
      <c r="J141" s="4"/>
      <c r="K141" s="4">
        <f>IF(E141="","",IF(H141&lt;&gt;"",H141,"["&amp;E141&amp;"] "&amp;F141&amp;" → "&amp;G141)&amp;IF(I141&lt;&gt;""," ("&amp;I141&amp;")",""))</f>
      </c>
    </row>
    <row r="142" spans="1:11" x14ac:dyDescent="0.25">
      <c r="A142" s="5"/>
      <c r="B142" s="4"/>
      <c r="C142" s="6">
        <f>IFERROR(INDEX(Pacientes!$A:$A,MATCH($B142,Pacientes!$B:$B,0)),"")</f>
      </c>
      <c r="D142" s="6">
        <f>IFERROR(INDEX(Pacientes!$C:$C,MATCH($B142,Pacientes!$B:$B,0)),"")</f>
      </c>
      <c r="E142" s="4"/>
      <c r="F142" s="4"/>
      <c r="G142" s="4"/>
      <c r="H142" s="4"/>
      <c r="I142" s="4"/>
      <c r="J142" s="4"/>
      <c r="K142" s="4">
        <f>IF(E142="","",IF(H142&lt;&gt;"",H142,"["&amp;E142&amp;"] "&amp;F142&amp;" → "&amp;G142)&amp;IF(I142&lt;&gt;""," ("&amp;I142&amp;")",""))</f>
      </c>
    </row>
    <row r="143" spans="1:11" x14ac:dyDescent="0.25">
      <c r="A143" s="5"/>
      <c r="B143" s="4"/>
      <c r="C143" s="6">
        <f>IFERROR(INDEX(Pacientes!$A:$A,MATCH($B143,Pacientes!$B:$B,0)),"")</f>
      </c>
      <c r="D143" s="6">
        <f>IFERROR(INDEX(Pacientes!$C:$C,MATCH($B143,Pacientes!$B:$B,0)),"")</f>
      </c>
      <c r="E143" s="4"/>
      <c r="F143" s="4"/>
      <c r="G143" s="4"/>
      <c r="H143" s="4"/>
      <c r="I143" s="4"/>
      <c r="J143" s="4"/>
      <c r="K143" s="4">
        <f>IF(E143="","",IF(H143&lt;&gt;"",H143,"["&amp;E143&amp;"] "&amp;F143&amp;" → "&amp;G143)&amp;IF(I143&lt;&gt;""," ("&amp;I143&amp;")",""))</f>
      </c>
    </row>
    <row r="144" spans="1:11" x14ac:dyDescent="0.25">
      <c r="A144" s="5"/>
      <c r="B144" s="4"/>
      <c r="C144" s="6">
        <f>IFERROR(INDEX(Pacientes!$A:$A,MATCH($B144,Pacientes!$B:$B,0)),"")</f>
      </c>
      <c r="D144" s="6">
        <f>IFERROR(INDEX(Pacientes!$C:$C,MATCH($B144,Pacientes!$B:$B,0)),"")</f>
      </c>
      <c r="E144" s="4"/>
      <c r="F144" s="4"/>
      <c r="G144" s="4"/>
      <c r="H144" s="4"/>
      <c r="I144" s="4"/>
      <c r="J144" s="4"/>
      <c r="K144" s="4">
        <f>IF(E144="","",IF(H144&lt;&gt;"",H144,"["&amp;E144&amp;"] "&amp;F144&amp;" → "&amp;G144)&amp;IF(I144&lt;&gt;""," ("&amp;I144&amp;")",""))</f>
      </c>
    </row>
    <row r="145" spans="1:11" x14ac:dyDescent="0.25">
      <c r="A145" s="5"/>
      <c r="B145" s="4"/>
      <c r="C145" s="6">
        <f>IFERROR(INDEX(Pacientes!$A:$A,MATCH($B145,Pacientes!$B:$B,0)),"")</f>
      </c>
      <c r="D145" s="6">
        <f>IFERROR(INDEX(Pacientes!$C:$C,MATCH($B145,Pacientes!$B:$B,0)),"")</f>
      </c>
      <c r="E145" s="4"/>
      <c r="F145" s="4"/>
      <c r="G145" s="4"/>
      <c r="H145" s="4"/>
      <c r="I145" s="4"/>
      <c r="J145" s="4"/>
      <c r="K145" s="4">
        <f>IF(E145="","",IF(H145&lt;&gt;"",H145,"["&amp;E145&amp;"] "&amp;F145&amp;" → "&amp;G145)&amp;IF(I145&lt;&gt;""," ("&amp;I145&amp;")",""))</f>
      </c>
    </row>
    <row r="146" spans="1:11" x14ac:dyDescent="0.25">
      <c r="A146" s="5"/>
      <c r="B146" s="4"/>
      <c r="C146" s="6">
        <f>IFERROR(INDEX(Pacientes!$A:$A,MATCH($B146,Pacientes!$B:$B,0)),"")</f>
      </c>
      <c r="D146" s="6">
        <f>IFERROR(INDEX(Pacientes!$C:$C,MATCH($B146,Pacientes!$B:$B,0)),"")</f>
      </c>
      <c r="E146" s="4"/>
      <c r="F146" s="4"/>
      <c r="G146" s="4"/>
      <c r="H146" s="4"/>
      <c r="I146" s="4"/>
      <c r="J146" s="4"/>
      <c r="K146" s="4">
        <f>IF(E146="","",IF(H146&lt;&gt;"",H146,"["&amp;E146&amp;"] "&amp;F146&amp;" → "&amp;G146)&amp;IF(I146&lt;&gt;""," ("&amp;I146&amp;")",""))</f>
      </c>
    </row>
    <row r="147" spans="1:11" x14ac:dyDescent="0.25">
      <c r="A147" s="5"/>
      <c r="B147" s="4"/>
      <c r="C147" s="6">
        <f>IFERROR(INDEX(Pacientes!$A:$A,MATCH($B147,Pacientes!$B:$B,0)),"")</f>
      </c>
      <c r="D147" s="6">
        <f>IFERROR(INDEX(Pacientes!$C:$C,MATCH($B147,Pacientes!$B:$B,0)),"")</f>
      </c>
      <c r="E147" s="4"/>
      <c r="F147" s="4"/>
      <c r="G147" s="4"/>
      <c r="H147" s="4"/>
      <c r="I147" s="4"/>
      <c r="J147" s="4"/>
      <c r="K147" s="4">
        <f>IF(E147="","",IF(H147&lt;&gt;"",H147,"["&amp;E147&amp;"] "&amp;F147&amp;" → "&amp;G147)&amp;IF(I147&lt;&gt;""," ("&amp;I147&amp;")",""))</f>
      </c>
    </row>
    <row r="148" spans="1:11" x14ac:dyDescent="0.25">
      <c r="A148" s="5"/>
      <c r="B148" s="4"/>
      <c r="C148" s="6">
        <f>IFERROR(INDEX(Pacientes!$A:$A,MATCH($B148,Pacientes!$B:$B,0)),"")</f>
      </c>
      <c r="D148" s="6">
        <f>IFERROR(INDEX(Pacientes!$C:$C,MATCH($B148,Pacientes!$B:$B,0)),"")</f>
      </c>
      <c r="E148" s="4"/>
      <c r="F148" s="4"/>
      <c r="G148" s="4"/>
      <c r="H148" s="4"/>
      <c r="I148" s="4"/>
      <c r="J148" s="4"/>
      <c r="K148" s="4">
        <f>IF(E148="","",IF(H148&lt;&gt;"",H148,"["&amp;E148&amp;"] "&amp;F148&amp;" → "&amp;G148)&amp;IF(I148&lt;&gt;""," ("&amp;I148&amp;")",""))</f>
      </c>
    </row>
    <row r="149" spans="1:11" x14ac:dyDescent="0.25">
      <c r="A149" s="5"/>
      <c r="B149" s="4"/>
      <c r="C149" s="6">
        <f>IFERROR(INDEX(Pacientes!$A:$A,MATCH($B149,Pacientes!$B:$B,0)),"")</f>
      </c>
      <c r="D149" s="6">
        <f>IFERROR(INDEX(Pacientes!$C:$C,MATCH($B149,Pacientes!$B:$B,0)),"")</f>
      </c>
      <c r="E149" s="4"/>
      <c r="F149" s="4"/>
      <c r="G149" s="4"/>
      <c r="H149" s="4"/>
      <c r="I149" s="4"/>
      <c r="J149" s="4"/>
      <c r="K149" s="4">
        <f>IF(E149="","",IF(H149&lt;&gt;"",H149,"["&amp;E149&amp;"] "&amp;F149&amp;" → "&amp;G149)&amp;IF(I149&lt;&gt;""," ("&amp;I149&amp;")",""))</f>
      </c>
    </row>
    <row r="150" spans="1:11" x14ac:dyDescent="0.25">
      <c r="A150" s="5"/>
      <c r="B150" s="4"/>
      <c r="C150" s="6">
        <f>IFERROR(INDEX(Pacientes!$A:$A,MATCH($B150,Pacientes!$B:$B,0)),"")</f>
      </c>
      <c r="D150" s="6">
        <f>IFERROR(INDEX(Pacientes!$C:$C,MATCH($B150,Pacientes!$B:$B,0)),"")</f>
      </c>
      <c r="E150" s="4"/>
      <c r="F150" s="4"/>
      <c r="G150" s="4"/>
      <c r="H150" s="4"/>
      <c r="I150" s="4"/>
      <c r="J150" s="4"/>
      <c r="K150" s="4">
        <f>IF(E150="","",IF(H150&lt;&gt;"",H150,"["&amp;E150&amp;"] "&amp;F150&amp;" → "&amp;G150)&amp;IF(I150&lt;&gt;""," ("&amp;I150&amp;")",""))</f>
      </c>
    </row>
    <row r="151" spans="1:11" x14ac:dyDescent="0.25">
      <c r="A151" s="5"/>
      <c r="B151" s="4"/>
      <c r="C151" s="6">
        <f>IFERROR(INDEX(Pacientes!$A:$A,MATCH($B151,Pacientes!$B:$B,0)),"")</f>
      </c>
      <c r="D151" s="6">
        <f>IFERROR(INDEX(Pacientes!$C:$C,MATCH($B151,Pacientes!$B:$B,0)),"")</f>
      </c>
      <c r="E151" s="4"/>
      <c r="F151" s="4"/>
      <c r="G151" s="4"/>
      <c r="H151" s="4"/>
      <c r="I151" s="4"/>
      <c r="J151" s="4"/>
      <c r="K151" s="4">
        <f>IF(E151="","",IF(H151&lt;&gt;"",H151,"["&amp;E151&amp;"] "&amp;F151&amp;" → "&amp;G151)&amp;IF(I151&lt;&gt;""," ("&amp;I151&amp;")",""))</f>
      </c>
    </row>
    <row r="152" spans="1:11" x14ac:dyDescent="0.25">
      <c r="A152" s="5"/>
      <c r="B152" s="4"/>
      <c r="C152" s="6">
        <f>IFERROR(INDEX(Pacientes!$A:$A,MATCH($B152,Pacientes!$B:$B,0)),"")</f>
      </c>
      <c r="D152" s="6">
        <f>IFERROR(INDEX(Pacientes!$C:$C,MATCH($B152,Pacientes!$B:$B,0)),"")</f>
      </c>
      <c r="E152" s="4"/>
      <c r="F152" s="4"/>
      <c r="G152" s="4"/>
      <c r="H152" s="4"/>
      <c r="I152" s="4"/>
      <c r="J152" s="4"/>
      <c r="K152" s="4">
        <f>IF(E152="","",IF(H152&lt;&gt;"",H152,"["&amp;E152&amp;"] "&amp;F152&amp;" → "&amp;G152)&amp;IF(I152&lt;&gt;""," ("&amp;I152&amp;")",""))</f>
      </c>
    </row>
    <row r="153" spans="1:11" x14ac:dyDescent="0.25">
      <c r="A153" s="5"/>
      <c r="B153" s="4"/>
      <c r="C153" s="6">
        <f>IFERROR(INDEX(Pacientes!$A:$A,MATCH($B153,Pacientes!$B:$B,0)),"")</f>
      </c>
      <c r="D153" s="6">
        <f>IFERROR(INDEX(Pacientes!$C:$C,MATCH($B153,Pacientes!$B:$B,0)),"")</f>
      </c>
      <c r="E153" s="4"/>
      <c r="F153" s="4"/>
      <c r="G153" s="4"/>
      <c r="H153" s="4"/>
      <c r="I153" s="4"/>
      <c r="J153" s="4"/>
      <c r="K153" s="4">
        <f>IF(E153="","",IF(H153&lt;&gt;"",H153,"["&amp;E153&amp;"] "&amp;F153&amp;" → "&amp;G153)&amp;IF(I153&lt;&gt;""," ("&amp;I153&amp;")",""))</f>
      </c>
    </row>
    <row r="154" spans="1:11" x14ac:dyDescent="0.25">
      <c r="A154" s="5"/>
      <c r="B154" s="4"/>
      <c r="C154" s="6">
        <f>IFERROR(INDEX(Pacientes!$A:$A,MATCH($B154,Pacientes!$B:$B,0)),"")</f>
      </c>
      <c r="D154" s="6">
        <f>IFERROR(INDEX(Pacientes!$C:$C,MATCH($B154,Pacientes!$B:$B,0)),"")</f>
      </c>
      <c r="E154" s="4"/>
      <c r="F154" s="4"/>
      <c r="G154" s="4"/>
      <c r="H154" s="4"/>
      <c r="I154" s="4"/>
      <c r="J154" s="4"/>
      <c r="K154" s="4">
        <f>IF(E154="","",IF(H154&lt;&gt;"",H154,"["&amp;E154&amp;"] "&amp;F154&amp;" → "&amp;G154)&amp;IF(I154&lt;&gt;""," ("&amp;I154&amp;")",""))</f>
      </c>
    </row>
    <row r="155" spans="1:11" x14ac:dyDescent="0.25">
      <c r="A155" s="5"/>
      <c r="B155" s="4"/>
      <c r="C155" s="6">
        <f>IFERROR(INDEX(Pacientes!$A:$A,MATCH($B155,Pacientes!$B:$B,0)),"")</f>
      </c>
      <c r="D155" s="6">
        <f>IFERROR(INDEX(Pacientes!$C:$C,MATCH($B155,Pacientes!$B:$B,0)),"")</f>
      </c>
      <c r="E155" s="4"/>
      <c r="F155" s="4"/>
      <c r="G155" s="4"/>
      <c r="H155" s="4"/>
      <c r="I155" s="4"/>
      <c r="J155" s="4"/>
      <c r="K155" s="4">
        <f>IF(E155="","",IF(H155&lt;&gt;"",H155,"["&amp;E155&amp;"] "&amp;F155&amp;" → "&amp;G155)&amp;IF(I155&lt;&gt;""," ("&amp;I155&amp;")",""))</f>
      </c>
    </row>
    <row r="156" spans="1:11" x14ac:dyDescent="0.25">
      <c r="A156" s="5"/>
      <c r="B156" s="4"/>
      <c r="C156" s="6">
        <f>IFERROR(INDEX(Pacientes!$A:$A,MATCH($B156,Pacientes!$B:$B,0)),"")</f>
      </c>
      <c r="D156" s="6">
        <f>IFERROR(INDEX(Pacientes!$C:$C,MATCH($B156,Pacientes!$B:$B,0)),"")</f>
      </c>
      <c r="E156" s="4"/>
      <c r="F156" s="4"/>
      <c r="G156" s="4"/>
      <c r="H156" s="4"/>
      <c r="I156" s="4"/>
      <c r="J156" s="4"/>
      <c r="K156" s="4">
        <f>IF(E156="","",IF(H156&lt;&gt;"",H156,"["&amp;E156&amp;"] "&amp;F156&amp;" → "&amp;G156)&amp;IF(I156&lt;&gt;""," ("&amp;I156&amp;")",""))</f>
      </c>
    </row>
    <row r="157" spans="1:11" x14ac:dyDescent="0.25">
      <c r="A157" s="5"/>
      <c r="B157" s="4"/>
      <c r="C157" s="6">
        <f>IFERROR(INDEX(Pacientes!$A:$A,MATCH($B157,Pacientes!$B:$B,0)),"")</f>
      </c>
      <c r="D157" s="6">
        <f>IFERROR(INDEX(Pacientes!$C:$C,MATCH($B157,Pacientes!$B:$B,0)),"")</f>
      </c>
      <c r="E157" s="4"/>
      <c r="F157" s="4"/>
      <c r="G157" s="4"/>
      <c r="H157" s="4"/>
      <c r="I157" s="4"/>
      <c r="J157" s="4"/>
      <c r="K157" s="4">
        <f>IF(E157="","",IF(H157&lt;&gt;"",H157,"["&amp;E157&amp;"] "&amp;F157&amp;" → "&amp;G157)&amp;IF(I157&lt;&gt;""," ("&amp;I157&amp;")",""))</f>
      </c>
    </row>
    <row r="158" spans="1:11" x14ac:dyDescent="0.25">
      <c r="A158" s="5"/>
      <c r="B158" s="4"/>
      <c r="C158" s="6">
        <f>IFERROR(INDEX(Pacientes!$A:$A,MATCH($B158,Pacientes!$B:$B,0)),"")</f>
      </c>
      <c r="D158" s="6">
        <f>IFERROR(INDEX(Pacientes!$C:$C,MATCH($B158,Pacientes!$B:$B,0)),"")</f>
      </c>
      <c r="E158" s="4"/>
      <c r="F158" s="4"/>
      <c r="G158" s="4"/>
      <c r="H158" s="4"/>
      <c r="I158" s="4"/>
      <c r="J158" s="4"/>
      <c r="K158" s="4">
        <f>IF(E158="","",IF(H158&lt;&gt;"",H158,"["&amp;E158&amp;"] "&amp;F158&amp;" → "&amp;G158)&amp;IF(I158&lt;&gt;""," ("&amp;I158&amp;")",""))</f>
      </c>
    </row>
    <row r="159" spans="1:11" x14ac:dyDescent="0.25">
      <c r="A159" s="5"/>
      <c r="B159" s="4"/>
      <c r="C159" s="6">
        <f>IFERROR(INDEX(Pacientes!$A:$A,MATCH($B159,Pacientes!$B:$B,0)),"")</f>
      </c>
      <c r="D159" s="6">
        <f>IFERROR(INDEX(Pacientes!$C:$C,MATCH($B159,Pacientes!$B:$B,0)),"")</f>
      </c>
      <c r="E159" s="4"/>
      <c r="F159" s="4"/>
      <c r="G159" s="4"/>
      <c r="H159" s="4"/>
      <c r="I159" s="4"/>
      <c r="J159" s="4"/>
      <c r="K159" s="4">
        <f>IF(E159="","",IF(H159&lt;&gt;"",H159,"["&amp;E159&amp;"] "&amp;F159&amp;" → "&amp;G159)&amp;IF(I159&lt;&gt;""," ("&amp;I159&amp;")",""))</f>
      </c>
    </row>
    <row r="160" spans="1:11" x14ac:dyDescent="0.25">
      <c r="A160" s="5"/>
      <c r="B160" s="4"/>
      <c r="C160" s="6">
        <f>IFERROR(INDEX(Pacientes!$A:$A,MATCH($B160,Pacientes!$B:$B,0)),"")</f>
      </c>
      <c r="D160" s="6">
        <f>IFERROR(INDEX(Pacientes!$C:$C,MATCH($B160,Pacientes!$B:$B,0)),"")</f>
      </c>
      <c r="E160" s="4"/>
      <c r="F160" s="4"/>
      <c r="G160" s="4"/>
      <c r="H160" s="4"/>
      <c r="I160" s="4"/>
      <c r="J160" s="4"/>
      <c r="K160" s="4">
        <f>IF(E160="","",IF(H160&lt;&gt;"",H160,"["&amp;E160&amp;"] "&amp;F160&amp;" → "&amp;G160)&amp;IF(I160&lt;&gt;""," ("&amp;I160&amp;")",""))</f>
      </c>
    </row>
    <row r="161" spans="1:11" x14ac:dyDescent="0.25">
      <c r="A161" s="5"/>
      <c r="B161" s="4"/>
      <c r="C161" s="6">
        <f>IFERROR(INDEX(Pacientes!$A:$A,MATCH($B161,Pacientes!$B:$B,0)),"")</f>
      </c>
      <c r="D161" s="6">
        <f>IFERROR(INDEX(Pacientes!$C:$C,MATCH($B161,Pacientes!$B:$B,0)),"")</f>
      </c>
      <c r="E161" s="4"/>
      <c r="F161" s="4"/>
      <c r="G161" s="4"/>
      <c r="H161" s="4"/>
      <c r="I161" s="4"/>
      <c r="J161" s="4"/>
      <c r="K161" s="4">
        <f>IF(E161="","",IF(H161&lt;&gt;"",H161,"["&amp;E161&amp;"] "&amp;F161&amp;" → "&amp;G161)&amp;IF(I161&lt;&gt;""," ("&amp;I161&amp;")",""))</f>
      </c>
    </row>
    <row r="162" spans="1:11" x14ac:dyDescent="0.25">
      <c r="A162" s="5"/>
      <c r="B162" s="4"/>
      <c r="C162" s="6">
        <f>IFERROR(INDEX(Pacientes!$A:$A,MATCH($B162,Pacientes!$B:$B,0)),"")</f>
      </c>
      <c r="D162" s="6">
        <f>IFERROR(INDEX(Pacientes!$C:$C,MATCH($B162,Pacientes!$B:$B,0)),"")</f>
      </c>
      <c r="E162" s="4"/>
      <c r="F162" s="4"/>
      <c r="G162" s="4"/>
      <c r="H162" s="4"/>
      <c r="I162" s="4"/>
      <c r="J162" s="4"/>
      <c r="K162" s="4">
        <f>IF(E162="","",IF(H162&lt;&gt;"",H162,"["&amp;E162&amp;"] "&amp;F162&amp;" → "&amp;G162)&amp;IF(I162&lt;&gt;""," ("&amp;I162&amp;")",""))</f>
      </c>
    </row>
    <row r="163" spans="1:11" x14ac:dyDescent="0.25">
      <c r="A163" s="5"/>
      <c r="B163" s="4"/>
      <c r="C163" s="6">
        <f>IFERROR(INDEX(Pacientes!$A:$A,MATCH($B163,Pacientes!$B:$B,0)),"")</f>
      </c>
      <c r="D163" s="6">
        <f>IFERROR(INDEX(Pacientes!$C:$C,MATCH($B163,Pacientes!$B:$B,0)),"")</f>
      </c>
      <c r="E163" s="4"/>
      <c r="F163" s="4"/>
      <c r="G163" s="4"/>
      <c r="H163" s="4"/>
      <c r="I163" s="4"/>
      <c r="J163" s="4"/>
      <c r="K163" s="4">
        <f>IF(E163="","",IF(H163&lt;&gt;"",H163,"["&amp;E163&amp;"] "&amp;F163&amp;" → "&amp;G163)&amp;IF(I163&lt;&gt;""," ("&amp;I163&amp;")",""))</f>
      </c>
    </row>
    <row r="164" spans="1:11" x14ac:dyDescent="0.25">
      <c r="A164" s="5"/>
      <c r="B164" s="4"/>
      <c r="C164" s="6">
        <f>IFERROR(INDEX(Pacientes!$A:$A,MATCH($B164,Pacientes!$B:$B,0)),"")</f>
      </c>
      <c r="D164" s="6">
        <f>IFERROR(INDEX(Pacientes!$C:$C,MATCH($B164,Pacientes!$B:$B,0)),"")</f>
      </c>
      <c r="E164" s="4"/>
      <c r="F164" s="4"/>
      <c r="G164" s="4"/>
      <c r="H164" s="4"/>
      <c r="I164" s="4"/>
      <c r="J164" s="4"/>
      <c r="K164" s="4">
        <f>IF(E164="","",IF(H164&lt;&gt;"",H164,"["&amp;E164&amp;"] "&amp;F164&amp;" → "&amp;G164)&amp;IF(I164&lt;&gt;""," ("&amp;I164&amp;")",""))</f>
      </c>
    </row>
    <row r="165" spans="1:11" x14ac:dyDescent="0.25">
      <c r="A165" s="5"/>
      <c r="B165" s="4"/>
      <c r="C165" s="6">
        <f>IFERROR(INDEX(Pacientes!$A:$A,MATCH($B165,Pacientes!$B:$B,0)),"")</f>
      </c>
      <c r="D165" s="6">
        <f>IFERROR(INDEX(Pacientes!$C:$C,MATCH($B165,Pacientes!$B:$B,0)),"")</f>
      </c>
      <c r="E165" s="4"/>
      <c r="F165" s="4"/>
      <c r="G165" s="4"/>
      <c r="H165" s="4"/>
      <c r="I165" s="4"/>
      <c r="J165" s="4"/>
      <c r="K165" s="4">
        <f>IF(E165="","",IF(H165&lt;&gt;"",H165,"["&amp;E165&amp;"] "&amp;F165&amp;" → "&amp;G165)&amp;IF(I165&lt;&gt;""," ("&amp;I165&amp;")",""))</f>
      </c>
    </row>
    <row r="166" spans="1:11" x14ac:dyDescent="0.25">
      <c r="A166" s="5"/>
      <c r="B166" s="4"/>
      <c r="C166" s="6">
        <f>IFERROR(INDEX(Pacientes!$A:$A,MATCH($B166,Pacientes!$B:$B,0)),"")</f>
      </c>
      <c r="D166" s="6">
        <f>IFERROR(INDEX(Pacientes!$C:$C,MATCH($B166,Pacientes!$B:$B,0)),"")</f>
      </c>
      <c r="E166" s="4"/>
      <c r="F166" s="4"/>
      <c r="G166" s="4"/>
      <c r="H166" s="4"/>
      <c r="I166" s="4"/>
      <c r="J166" s="4"/>
      <c r="K166" s="4">
        <f>IF(E166="","",IF(H166&lt;&gt;"",H166,"["&amp;E166&amp;"] "&amp;F166&amp;" → "&amp;G166)&amp;IF(I166&lt;&gt;""," ("&amp;I166&amp;")",""))</f>
      </c>
    </row>
    <row r="167" spans="1:11" x14ac:dyDescent="0.25">
      <c r="A167" s="5"/>
      <c r="B167" s="4"/>
      <c r="C167" s="6">
        <f>IFERROR(INDEX(Pacientes!$A:$A,MATCH($B167,Pacientes!$B:$B,0)),"")</f>
      </c>
      <c r="D167" s="6">
        <f>IFERROR(INDEX(Pacientes!$C:$C,MATCH($B167,Pacientes!$B:$B,0)),"")</f>
      </c>
      <c r="E167" s="4"/>
      <c r="F167" s="4"/>
      <c r="G167" s="4"/>
      <c r="H167" s="4"/>
      <c r="I167" s="4"/>
      <c r="J167" s="4"/>
      <c r="K167" s="4">
        <f>IF(E167="","",IF(H167&lt;&gt;"",H167,"["&amp;E167&amp;"] "&amp;F167&amp;" → "&amp;G167)&amp;IF(I167&lt;&gt;""," ("&amp;I167&amp;")",""))</f>
      </c>
    </row>
    <row r="168" spans="1:11" x14ac:dyDescent="0.25">
      <c r="A168" s="5"/>
      <c r="B168" s="4"/>
      <c r="C168" s="6">
        <f>IFERROR(INDEX(Pacientes!$A:$A,MATCH($B168,Pacientes!$B:$B,0)),"")</f>
      </c>
      <c r="D168" s="6">
        <f>IFERROR(INDEX(Pacientes!$C:$C,MATCH($B168,Pacientes!$B:$B,0)),"")</f>
      </c>
      <c r="E168" s="4"/>
      <c r="F168" s="4"/>
      <c r="G168" s="4"/>
      <c r="H168" s="4"/>
      <c r="I168" s="4"/>
      <c r="J168" s="4"/>
      <c r="K168" s="4">
        <f>IF(E168="","",IF(H168&lt;&gt;"",H168,"["&amp;E168&amp;"] "&amp;F168&amp;" → "&amp;G168)&amp;IF(I168&lt;&gt;""," ("&amp;I168&amp;")",""))</f>
      </c>
    </row>
    <row r="169" spans="1:11" x14ac:dyDescent="0.25">
      <c r="A169" s="5"/>
      <c r="B169" s="4"/>
      <c r="C169" s="6">
        <f>IFERROR(INDEX(Pacientes!$A:$A,MATCH($B169,Pacientes!$B:$B,0)),"")</f>
      </c>
      <c r="D169" s="6">
        <f>IFERROR(INDEX(Pacientes!$C:$C,MATCH($B169,Pacientes!$B:$B,0)),"")</f>
      </c>
      <c r="E169" s="4"/>
      <c r="F169" s="4"/>
      <c r="G169" s="4"/>
      <c r="H169" s="4"/>
      <c r="I169" s="4"/>
      <c r="J169" s="4"/>
      <c r="K169" s="4">
        <f>IF(E169="","",IF(H169&lt;&gt;"",H169,"["&amp;E169&amp;"] "&amp;F169&amp;" → "&amp;G169)&amp;IF(I169&lt;&gt;""," ("&amp;I169&amp;")",""))</f>
      </c>
    </row>
    <row r="170" spans="1:11" x14ac:dyDescent="0.25">
      <c r="A170" s="5"/>
      <c r="B170" s="4"/>
      <c r="C170" s="6">
        <f>IFERROR(INDEX(Pacientes!$A:$A,MATCH($B170,Pacientes!$B:$B,0)),"")</f>
      </c>
      <c r="D170" s="6">
        <f>IFERROR(INDEX(Pacientes!$C:$C,MATCH($B170,Pacientes!$B:$B,0)),"")</f>
      </c>
      <c r="E170" s="4"/>
      <c r="F170" s="4"/>
      <c r="G170" s="4"/>
      <c r="H170" s="4"/>
      <c r="I170" s="4"/>
      <c r="J170" s="4"/>
      <c r="K170" s="4">
        <f>IF(E170="","",IF(H170&lt;&gt;"",H170,"["&amp;E170&amp;"] "&amp;F170&amp;" → "&amp;G170)&amp;IF(I170&lt;&gt;""," ("&amp;I170&amp;")",""))</f>
      </c>
    </row>
    <row r="171" spans="1:11" x14ac:dyDescent="0.25">
      <c r="A171" s="5"/>
      <c r="B171" s="4"/>
      <c r="C171" s="6">
        <f>IFERROR(INDEX(Pacientes!$A:$A,MATCH($B171,Pacientes!$B:$B,0)),"")</f>
      </c>
      <c r="D171" s="6">
        <f>IFERROR(INDEX(Pacientes!$C:$C,MATCH($B171,Pacientes!$B:$B,0)),"")</f>
      </c>
      <c r="E171" s="4"/>
      <c r="F171" s="4"/>
      <c r="G171" s="4"/>
      <c r="H171" s="4"/>
      <c r="I171" s="4"/>
      <c r="J171" s="4"/>
      <c r="K171" s="4">
        <f>IF(E171="","",IF(H171&lt;&gt;"",H171,"["&amp;E171&amp;"] "&amp;F171&amp;" → "&amp;G171)&amp;IF(I171&lt;&gt;""," ("&amp;I171&amp;")",""))</f>
      </c>
    </row>
    <row r="172" spans="1:11" x14ac:dyDescent="0.25">
      <c r="A172" s="5"/>
      <c r="B172" s="4"/>
      <c r="C172" s="6">
        <f>IFERROR(INDEX(Pacientes!$A:$A,MATCH($B172,Pacientes!$B:$B,0)),"")</f>
      </c>
      <c r="D172" s="6">
        <f>IFERROR(INDEX(Pacientes!$C:$C,MATCH($B172,Pacientes!$B:$B,0)),"")</f>
      </c>
      <c r="E172" s="4"/>
      <c r="F172" s="4"/>
      <c r="G172" s="4"/>
      <c r="H172" s="4"/>
      <c r="I172" s="4"/>
      <c r="J172" s="4"/>
      <c r="K172" s="4">
        <f>IF(E172="","",IF(H172&lt;&gt;"",H172,"["&amp;E172&amp;"] "&amp;F172&amp;" → "&amp;G172)&amp;IF(I172&lt;&gt;""," ("&amp;I172&amp;")",""))</f>
      </c>
    </row>
    <row r="173" spans="1:11" x14ac:dyDescent="0.25">
      <c r="A173" s="5"/>
      <c r="B173" s="4"/>
      <c r="C173" s="6">
        <f>IFERROR(INDEX(Pacientes!$A:$A,MATCH($B173,Pacientes!$B:$B,0)),"")</f>
      </c>
      <c r="D173" s="6">
        <f>IFERROR(INDEX(Pacientes!$C:$C,MATCH($B173,Pacientes!$B:$B,0)),"")</f>
      </c>
      <c r="E173" s="4"/>
      <c r="F173" s="4"/>
      <c r="G173" s="4"/>
      <c r="H173" s="4"/>
      <c r="I173" s="4"/>
      <c r="J173" s="4"/>
      <c r="K173" s="4">
        <f>IF(E173="","",IF(H173&lt;&gt;"",H173,"["&amp;E173&amp;"] "&amp;F173&amp;" → "&amp;G173)&amp;IF(I173&lt;&gt;""," ("&amp;I173&amp;")",""))</f>
      </c>
    </row>
    <row r="174" spans="1:11" x14ac:dyDescent="0.25">
      <c r="A174" s="5"/>
      <c r="B174" s="4"/>
      <c r="C174" s="6">
        <f>IFERROR(INDEX(Pacientes!$A:$A,MATCH($B174,Pacientes!$B:$B,0)),"")</f>
      </c>
      <c r="D174" s="6">
        <f>IFERROR(INDEX(Pacientes!$C:$C,MATCH($B174,Pacientes!$B:$B,0)),"")</f>
      </c>
      <c r="E174" s="4"/>
      <c r="F174" s="4"/>
      <c r="G174" s="4"/>
      <c r="H174" s="4"/>
      <c r="I174" s="4"/>
      <c r="J174" s="4"/>
      <c r="K174" s="4">
        <f>IF(E174="","",IF(H174&lt;&gt;"",H174,"["&amp;E174&amp;"] "&amp;F174&amp;" → "&amp;G174)&amp;IF(I174&lt;&gt;""," ("&amp;I174&amp;")",""))</f>
      </c>
    </row>
    <row r="175" spans="1:11" x14ac:dyDescent="0.25">
      <c r="A175" s="5"/>
      <c r="B175" s="4"/>
      <c r="C175" s="6">
        <f>IFERROR(INDEX(Pacientes!$A:$A,MATCH($B175,Pacientes!$B:$B,0)),"")</f>
      </c>
      <c r="D175" s="6">
        <f>IFERROR(INDEX(Pacientes!$C:$C,MATCH($B175,Pacientes!$B:$B,0)),"")</f>
      </c>
      <c r="E175" s="4"/>
      <c r="F175" s="4"/>
      <c r="G175" s="4"/>
      <c r="H175" s="4"/>
      <c r="I175" s="4"/>
      <c r="J175" s="4"/>
      <c r="K175" s="4">
        <f>IF(E175="","",IF(H175&lt;&gt;"",H175,"["&amp;E175&amp;"] "&amp;F175&amp;" → "&amp;G175)&amp;IF(I175&lt;&gt;""," ("&amp;I175&amp;")",""))</f>
      </c>
    </row>
    <row r="176" spans="1:11" x14ac:dyDescent="0.25">
      <c r="A176" s="5"/>
      <c r="B176" s="4"/>
      <c r="C176" s="6">
        <f>IFERROR(INDEX(Pacientes!$A:$A,MATCH($B176,Pacientes!$B:$B,0)),"")</f>
      </c>
      <c r="D176" s="6">
        <f>IFERROR(INDEX(Pacientes!$C:$C,MATCH($B176,Pacientes!$B:$B,0)),"")</f>
      </c>
      <c r="E176" s="4"/>
      <c r="F176" s="4"/>
      <c r="G176" s="4"/>
      <c r="H176" s="4"/>
      <c r="I176" s="4"/>
      <c r="J176" s="4"/>
      <c r="K176" s="4">
        <f>IF(E176="","",IF(H176&lt;&gt;"",H176,"["&amp;E176&amp;"] "&amp;F176&amp;" → "&amp;G176)&amp;IF(I176&lt;&gt;""," ("&amp;I176&amp;")",""))</f>
      </c>
    </row>
    <row r="177" spans="1:11" x14ac:dyDescent="0.25">
      <c r="A177" s="5"/>
      <c r="B177" s="4"/>
      <c r="C177" s="6">
        <f>IFERROR(INDEX(Pacientes!$A:$A,MATCH($B177,Pacientes!$B:$B,0)),"")</f>
      </c>
      <c r="D177" s="6">
        <f>IFERROR(INDEX(Pacientes!$C:$C,MATCH($B177,Pacientes!$B:$B,0)),"")</f>
      </c>
      <c r="E177" s="4"/>
      <c r="F177" s="4"/>
      <c r="G177" s="4"/>
      <c r="H177" s="4"/>
      <c r="I177" s="4"/>
      <c r="J177" s="4"/>
      <c r="K177" s="4">
        <f>IF(E177="","",IF(H177&lt;&gt;"",H177,"["&amp;E177&amp;"] "&amp;F177&amp;" → "&amp;G177)&amp;IF(I177&lt;&gt;""," ("&amp;I177&amp;")",""))</f>
      </c>
    </row>
    <row r="178" spans="1:11" x14ac:dyDescent="0.25">
      <c r="A178" s="5"/>
      <c r="B178" s="4"/>
      <c r="C178" s="6">
        <f>IFERROR(INDEX(Pacientes!$A:$A,MATCH($B178,Pacientes!$B:$B,0)),"")</f>
      </c>
      <c r="D178" s="6">
        <f>IFERROR(INDEX(Pacientes!$C:$C,MATCH($B178,Pacientes!$B:$B,0)),"")</f>
      </c>
      <c r="E178" s="4"/>
      <c r="F178" s="4"/>
      <c r="G178" s="4"/>
      <c r="H178" s="4"/>
      <c r="I178" s="4"/>
      <c r="J178" s="4"/>
      <c r="K178" s="4">
        <f>IF(E178="","",IF(H178&lt;&gt;"",H178,"["&amp;E178&amp;"] "&amp;F178&amp;" → "&amp;G178)&amp;IF(I178&lt;&gt;""," ("&amp;I178&amp;")",""))</f>
      </c>
    </row>
    <row r="179" spans="1:11" x14ac:dyDescent="0.25">
      <c r="A179" s="5"/>
      <c r="B179" s="4"/>
      <c r="C179" s="6">
        <f>IFERROR(INDEX(Pacientes!$A:$A,MATCH($B179,Pacientes!$B:$B,0)),"")</f>
      </c>
      <c r="D179" s="6">
        <f>IFERROR(INDEX(Pacientes!$C:$C,MATCH($B179,Pacientes!$B:$B,0)),"")</f>
      </c>
      <c r="E179" s="4"/>
      <c r="F179" s="4"/>
      <c r="G179" s="4"/>
      <c r="H179" s="4"/>
      <c r="I179" s="4"/>
      <c r="J179" s="4"/>
      <c r="K179" s="4">
        <f>IF(E179="","",IF(H179&lt;&gt;"",H179,"["&amp;E179&amp;"] "&amp;F179&amp;" → "&amp;G179)&amp;IF(I179&lt;&gt;""," ("&amp;I179&amp;")",""))</f>
      </c>
    </row>
    <row r="180" spans="1:11" x14ac:dyDescent="0.25">
      <c r="A180" s="5"/>
      <c r="B180" s="4"/>
      <c r="C180" s="6">
        <f>IFERROR(INDEX(Pacientes!$A:$A,MATCH($B180,Pacientes!$B:$B,0)),"")</f>
      </c>
      <c r="D180" s="6">
        <f>IFERROR(INDEX(Pacientes!$C:$C,MATCH($B180,Pacientes!$B:$B,0)),"")</f>
      </c>
      <c r="E180" s="4"/>
      <c r="F180" s="4"/>
      <c r="G180" s="4"/>
      <c r="H180" s="4"/>
      <c r="I180" s="4"/>
      <c r="J180" s="4"/>
      <c r="K180" s="4">
        <f>IF(E180="","",IF(H180&lt;&gt;"",H180,"["&amp;E180&amp;"] "&amp;F180&amp;" → "&amp;G180)&amp;IF(I180&lt;&gt;""," ("&amp;I180&amp;")",""))</f>
      </c>
    </row>
    <row r="181" spans="1:11" x14ac:dyDescent="0.25">
      <c r="A181" s="5"/>
      <c r="B181" s="4"/>
      <c r="C181" s="6">
        <f>IFERROR(INDEX(Pacientes!$A:$A,MATCH($B181,Pacientes!$B:$B,0)),"")</f>
      </c>
      <c r="D181" s="6">
        <f>IFERROR(INDEX(Pacientes!$C:$C,MATCH($B181,Pacientes!$B:$B,0)),"")</f>
      </c>
      <c r="E181" s="4"/>
      <c r="F181" s="4"/>
      <c r="G181" s="4"/>
      <c r="H181" s="4"/>
      <c r="I181" s="4"/>
      <c r="J181" s="4"/>
      <c r="K181" s="4">
        <f>IF(E181="","",IF(H181&lt;&gt;"",H181,"["&amp;E181&amp;"] "&amp;F181&amp;" → "&amp;G181)&amp;IF(I181&lt;&gt;""," ("&amp;I181&amp;")",""))</f>
      </c>
    </row>
    <row r="182" spans="1:11" x14ac:dyDescent="0.25">
      <c r="A182" s="5"/>
      <c r="B182" s="4"/>
      <c r="C182" s="6">
        <f>IFERROR(INDEX(Pacientes!$A:$A,MATCH($B182,Pacientes!$B:$B,0)),"")</f>
      </c>
      <c r="D182" s="6">
        <f>IFERROR(INDEX(Pacientes!$C:$C,MATCH($B182,Pacientes!$B:$B,0)),"")</f>
      </c>
      <c r="E182" s="4"/>
      <c r="F182" s="4"/>
      <c r="G182" s="4"/>
      <c r="H182" s="4"/>
      <c r="I182" s="4"/>
      <c r="J182" s="4"/>
      <c r="K182" s="4">
        <f>IF(E182="","",IF(H182&lt;&gt;"",H182,"["&amp;E182&amp;"] "&amp;F182&amp;" → "&amp;G182)&amp;IF(I182&lt;&gt;""," ("&amp;I182&amp;")",""))</f>
      </c>
    </row>
    <row r="183" spans="1:11" x14ac:dyDescent="0.25">
      <c r="A183" s="5"/>
      <c r="B183" s="4"/>
      <c r="C183" s="6">
        <f>IFERROR(INDEX(Pacientes!$A:$A,MATCH($B183,Pacientes!$B:$B,0)),"")</f>
      </c>
      <c r="D183" s="6">
        <f>IFERROR(INDEX(Pacientes!$C:$C,MATCH($B183,Pacientes!$B:$B,0)),"")</f>
      </c>
      <c r="E183" s="4"/>
      <c r="F183" s="4"/>
      <c r="G183" s="4"/>
      <c r="H183" s="4"/>
      <c r="I183" s="4"/>
      <c r="J183" s="4"/>
      <c r="K183" s="4">
        <f>IF(E183="","",IF(H183&lt;&gt;"",H183,"["&amp;E183&amp;"] "&amp;F183&amp;" → "&amp;G183)&amp;IF(I183&lt;&gt;""," ("&amp;I183&amp;")",""))</f>
      </c>
    </row>
    <row r="184" spans="1:11" x14ac:dyDescent="0.25">
      <c r="A184" s="5"/>
      <c r="B184" s="4"/>
      <c r="C184" s="6">
        <f>IFERROR(INDEX(Pacientes!$A:$A,MATCH($B184,Pacientes!$B:$B,0)),"")</f>
      </c>
      <c r="D184" s="6">
        <f>IFERROR(INDEX(Pacientes!$C:$C,MATCH($B184,Pacientes!$B:$B,0)),"")</f>
      </c>
      <c r="E184" s="4"/>
      <c r="F184" s="4"/>
      <c r="G184" s="4"/>
      <c r="H184" s="4"/>
      <c r="I184" s="4"/>
      <c r="J184" s="4"/>
      <c r="K184" s="4">
        <f>IF(E184="","",IF(H184&lt;&gt;"",H184,"["&amp;E184&amp;"] "&amp;F184&amp;" → "&amp;G184)&amp;IF(I184&lt;&gt;""," ("&amp;I184&amp;")",""))</f>
      </c>
    </row>
    <row r="185" spans="1:11" x14ac:dyDescent="0.25">
      <c r="A185" s="5"/>
      <c r="B185" s="4"/>
      <c r="C185" s="6">
        <f>IFERROR(INDEX(Pacientes!$A:$A,MATCH($B185,Pacientes!$B:$B,0)),"")</f>
      </c>
      <c r="D185" s="6">
        <f>IFERROR(INDEX(Pacientes!$C:$C,MATCH($B185,Pacientes!$B:$B,0)),"")</f>
      </c>
      <c r="E185" s="4"/>
      <c r="F185" s="4"/>
      <c r="G185" s="4"/>
      <c r="H185" s="4"/>
      <c r="I185" s="4"/>
      <c r="J185" s="4"/>
      <c r="K185" s="4">
        <f>IF(E185="","",IF(H185&lt;&gt;"",H185,"["&amp;E185&amp;"] "&amp;F185&amp;" → "&amp;G185)&amp;IF(I185&lt;&gt;""," ("&amp;I185&amp;")",""))</f>
      </c>
    </row>
    <row r="186" spans="1:11" x14ac:dyDescent="0.25">
      <c r="A186" s="5"/>
      <c r="B186" s="4"/>
      <c r="C186" s="6">
        <f>IFERROR(INDEX(Pacientes!$A:$A,MATCH($B186,Pacientes!$B:$B,0)),"")</f>
      </c>
      <c r="D186" s="6">
        <f>IFERROR(INDEX(Pacientes!$C:$C,MATCH($B186,Pacientes!$B:$B,0)),"")</f>
      </c>
      <c r="E186" s="4"/>
      <c r="F186" s="4"/>
      <c r="G186" s="4"/>
      <c r="H186" s="4"/>
      <c r="I186" s="4"/>
      <c r="J186" s="4"/>
      <c r="K186" s="4">
        <f>IF(E186="","",IF(H186&lt;&gt;"",H186,"["&amp;E186&amp;"] "&amp;F186&amp;" → "&amp;G186)&amp;IF(I186&lt;&gt;""," ("&amp;I186&amp;")",""))</f>
      </c>
    </row>
    <row r="187" spans="1:11" x14ac:dyDescent="0.25">
      <c r="A187" s="5"/>
      <c r="B187" s="4"/>
      <c r="C187" s="6">
        <f>IFERROR(INDEX(Pacientes!$A:$A,MATCH($B187,Pacientes!$B:$B,0)),"")</f>
      </c>
      <c r="D187" s="6">
        <f>IFERROR(INDEX(Pacientes!$C:$C,MATCH($B187,Pacientes!$B:$B,0)),"")</f>
      </c>
      <c r="E187" s="4"/>
      <c r="F187" s="4"/>
      <c r="G187" s="4"/>
      <c r="H187" s="4"/>
      <c r="I187" s="4"/>
      <c r="J187" s="4"/>
      <c r="K187" s="4">
        <f>IF(E187="","",IF(H187&lt;&gt;"",H187,"["&amp;E187&amp;"] "&amp;F187&amp;" → "&amp;G187)&amp;IF(I187&lt;&gt;""," ("&amp;I187&amp;")",""))</f>
      </c>
    </row>
    <row r="188" spans="1:11" x14ac:dyDescent="0.25">
      <c r="A188" s="5"/>
      <c r="B188" s="4"/>
      <c r="C188" s="6">
        <f>IFERROR(INDEX(Pacientes!$A:$A,MATCH($B188,Pacientes!$B:$B,0)),"")</f>
      </c>
      <c r="D188" s="6">
        <f>IFERROR(INDEX(Pacientes!$C:$C,MATCH($B188,Pacientes!$B:$B,0)),"")</f>
      </c>
      <c r="E188" s="4"/>
      <c r="F188" s="4"/>
      <c r="G188" s="4"/>
      <c r="H188" s="4"/>
      <c r="I188" s="4"/>
      <c r="J188" s="4"/>
      <c r="K188" s="4">
        <f>IF(E188="","",IF(H188&lt;&gt;"",H188,"["&amp;E188&amp;"] "&amp;F188&amp;" → "&amp;G188)&amp;IF(I188&lt;&gt;""," ("&amp;I188&amp;")",""))</f>
      </c>
    </row>
    <row r="189" spans="1:11" x14ac:dyDescent="0.25">
      <c r="A189" s="5"/>
      <c r="B189" s="4"/>
      <c r="C189" s="6">
        <f>IFERROR(INDEX(Pacientes!$A:$A,MATCH($B189,Pacientes!$B:$B,0)),"")</f>
      </c>
      <c r="D189" s="6">
        <f>IFERROR(INDEX(Pacientes!$C:$C,MATCH($B189,Pacientes!$B:$B,0)),"")</f>
      </c>
      <c r="E189" s="4"/>
      <c r="F189" s="4"/>
      <c r="G189" s="4"/>
      <c r="H189" s="4"/>
      <c r="I189" s="4"/>
      <c r="J189" s="4"/>
      <c r="K189" s="4">
        <f>IF(E189="","",IF(H189&lt;&gt;"",H189,"["&amp;E189&amp;"] "&amp;F189&amp;" → "&amp;G189)&amp;IF(I189&lt;&gt;""," ("&amp;I189&amp;")",""))</f>
      </c>
    </row>
    <row r="190" spans="1:11" x14ac:dyDescent="0.25">
      <c r="A190" s="5"/>
      <c r="B190" s="4"/>
      <c r="C190" s="6">
        <f>IFERROR(INDEX(Pacientes!$A:$A,MATCH($B190,Pacientes!$B:$B,0)),"")</f>
      </c>
      <c r="D190" s="6">
        <f>IFERROR(INDEX(Pacientes!$C:$C,MATCH($B190,Pacientes!$B:$B,0)),"")</f>
      </c>
      <c r="E190" s="4"/>
      <c r="F190" s="4"/>
      <c r="G190" s="4"/>
      <c r="H190" s="4"/>
      <c r="I190" s="4"/>
      <c r="J190" s="4"/>
      <c r="K190" s="4">
        <f>IF(E190="","",IF(H190&lt;&gt;"",H190,"["&amp;E190&amp;"] "&amp;F190&amp;" → "&amp;G190)&amp;IF(I190&lt;&gt;""," ("&amp;I190&amp;")",""))</f>
      </c>
    </row>
    <row r="191" spans="1:11" x14ac:dyDescent="0.25">
      <c r="A191" s="5"/>
      <c r="B191" s="4"/>
      <c r="C191" s="6">
        <f>IFERROR(INDEX(Pacientes!$A:$A,MATCH($B191,Pacientes!$B:$B,0)),"")</f>
      </c>
      <c r="D191" s="6">
        <f>IFERROR(INDEX(Pacientes!$C:$C,MATCH($B191,Pacientes!$B:$B,0)),"")</f>
      </c>
      <c r="E191" s="4"/>
      <c r="F191" s="4"/>
      <c r="G191" s="4"/>
      <c r="H191" s="4"/>
      <c r="I191" s="4"/>
      <c r="J191" s="4"/>
      <c r="K191" s="4">
        <f>IF(E191="","",IF(H191&lt;&gt;"",H191,"["&amp;E191&amp;"] "&amp;F191&amp;" → "&amp;G191)&amp;IF(I191&lt;&gt;""," ("&amp;I191&amp;")",""))</f>
      </c>
    </row>
    <row r="192" spans="1:11" x14ac:dyDescent="0.25">
      <c r="A192" s="5"/>
      <c r="B192" s="4"/>
      <c r="C192" s="6">
        <f>IFERROR(INDEX(Pacientes!$A:$A,MATCH($B192,Pacientes!$B:$B,0)),"")</f>
      </c>
      <c r="D192" s="6">
        <f>IFERROR(INDEX(Pacientes!$C:$C,MATCH($B192,Pacientes!$B:$B,0)),"")</f>
      </c>
      <c r="E192" s="4"/>
      <c r="F192" s="4"/>
      <c r="G192" s="4"/>
      <c r="H192" s="4"/>
      <c r="I192" s="4"/>
      <c r="J192" s="4"/>
      <c r="K192" s="4">
        <f>IF(E192="","",IF(H192&lt;&gt;"",H192,"["&amp;E192&amp;"] "&amp;F192&amp;" → "&amp;G192)&amp;IF(I192&lt;&gt;""," ("&amp;I192&amp;")",""))</f>
      </c>
    </row>
    <row r="193" spans="1:11" x14ac:dyDescent="0.25">
      <c r="A193" s="5"/>
      <c r="B193" s="4"/>
      <c r="C193" s="6">
        <f>IFERROR(INDEX(Pacientes!$A:$A,MATCH($B193,Pacientes!$B:$B,0)),"")</f>
      </c>
      <c r="D193" s="6">
        <f>IFERROR(INDEX(Pacientes!$C:$C,MATCH($B193,Pacientes!$B:$B,0)),"")</f>
      </c>
      <c r="E193" s="4"/>
      <c r="F193" s="4"/>
      <c r="G193" s="4"/>
      <c r="H193" s="4"/>
      <c r="I193" s="4"/>
      <c r="J193" s="4"/>
      <c r="K193" s="4">
        <f>IF(E193="","",IF(H193&lt;&gt;"",H193,"["&amp;E193&amp;"] "&amp;F193&amp;" → "&amp;G193)&amp;IF(I193&lt;&gt;""," ("&amp;I193&amp;")",""))</f>
      </c>
    </row>
    <row r="194" spans="1:11" x14ac:dyDescent="0.25">
      <c r="A194" s="5"/>
      <c r="B194" s="4"/>
      <c r="C194" s="6">
        <f>IFERROR(INDEX(Pacientes!$A:$A,MATCH($B194,Pacientes!$B:$B,0)),"")</f>
      </c>
      <c r="D194" s="6">
        <f>IFERROR(INDEX(Pacientes!$C:$C,MATCH($B194,Pacientes!$B:$B,0)),"")</f>
      </c>
      <c r="E194" s="4"/>
      <c r="F194" s="4"/>
      <c r="G194" s="4"/>
      <c r="H194" s="4"/>
      <c r="I194" s="4"/>
      <c r="J194" s="4"/>
      <c r="K194" s="4">
        <f>IF(E194="","",IF(H194&lt;&gt;"",H194,"["&amp;E194&amp;"] "&amp;F194&amp;" → "&amp;G194)&amp;IF(I194&lt;&gt;""," ("&amp;I194&amp;")",""))</f>
      </c>
    </row>
    <row r="195" spans="1:11" x14ac:dyDescent="0.25">
      <c r="A195" s="5"/>
      <c r="B195" s="4"/>
      <c r="C195" s="6">
        <f>IFERROR(INDEX(Pacientes!$A:$A,MATCH($B195,Pacientes!$B:$B,0)),"")</f>
      </c>
      <c r="D195" s="6">
        <f>IFERROR(INDEX(Pacientes!$C:$C,MATCH($B195,Pacientes!$B:$B,0)),"")</f>
      </c>
      <c r="E195" s="4"/>
      <c r="F195" s="4"/>
      <c r="G195" s="4"/>
      <c r="H195" s="4"/>
      <c r="I195" s="4"/>
      <c r="J195" s="4"/>
      <c r="K195" s="4">
        <f>IF(E195="","",IF(H195&lt;&gt;"",H195,"["&amp;E195&amp;"] "&amp;F195&amp;" → "&amp;G195)&amp;IF(I195&lt;&gt;""," ("&amp;I195&amp;")",""))</f>
      </c>
    </row>
    <row r="196" spans="1:11" x14ac:dyDescent="0.25">
      <c r="A196" s="5"/>
      <c r="B196" s="4"/>
      <c r="C196" s="6">
        <f>IFERROR(INDEX(Pacientes!$A:$A,MATCH($B196,Pacientes!$B:$B,0)),"")</f>
      </c>
      <c r="D196" s="6">
        <f>IFERROR(INDEX(Pacientes!$C:$C,MATCH($B196,Pacientes!$B:$B,0)),"")</f>
      </c>
      <c r="E196" s="4"/>
      <c r="F196" s="4"/>
      <c r="G196" s="4"/>
      <c r="H196" s="4"/>
      <c r="I196" s="4"/>
      <c r="J196" s="4"/>
      <c r="K196" s="4">
        <f>IF(E196="","",IF(H196&lt;&gt;"",H196,"["&amp;E196&amp;"] "&amp;F196&amp;" → "&amp;G196)&amp;IF(I196&lt;&gt;""," ("&amp;I196&amp;")",""))</f>
      </c>
    </row>
    <row r="197" spans="1:11" x14ac:dyDescent="0.25">
      <c r="A197" s="5"/>
      <c r="B197" s="4"/>
      <c r="C197" s="6">
        <f>IFERROR(INDEX(Pacientes!$A:$A,MATCH($B197,Pacientes!$B:$B,0)),"")</f>
      </c>
      <c r="D197" s="6">
        <f>IFERROR(INDEX(Pacientes!$C:$C,MATCH($B197,Pacientes!$B:$B,0)),"")</f>
      </c>
      <c r="E197" s="4"/>
      <c r="F197" s="4"/>
      <c r="G197" s="4"/>
      <c r="H197" s="4"/>
      <c r="I197" s="4"/>
      <c r="J197" s="4"/>
      <c r="K197" s="4">
        <f>IF(E197="","",IF(H197&lt;&gt;"",H197,"["&amp;E197&amp;"] "&amp;F197&amp;" → "&amp;G197)&amp;IF(I197&lt;&gt;""," ("&amp;I197&amp;")",""))</f>
      </c>
    </row>
    <row r="198" spans="1:11" x14ac:dyDescent="0.25">
      <c r="A198" s="5"/>
      <c r="B198" s="4"/>
      <c r="C198" s="6">
        <f>IFERROR(INDEX(Pacientes!$A:$A,MATCH($B198,Pacientes!$B:$B,0)),"")</f>
      </c>
      <c r="D198" s="6">
        <f>IFERROR(INDEX(Pacientes!$C:$C,MATCH($B198,Pacientes!$B:$B,0)),"")</f>
      </c>
      <c r="E198" s="4"/>
      <c r="F198" s="4"/>
      <c r="G198" s="4"/>
      <c r="H198" s="4"/>
      <c r="I198" s="4"/>
      <c r="J198" s="4"/>
      <c r="K198" s="4">
        <f>IF(E198="","",IF(H198&lt;&gt;"",H198,"["&amp;E198&amp;"] "&amp;F198&amp;" → "&amp;G198)&amp;IF(I198&lt;&gt;""," ("&amp;I198&amp;")",""))</f>
      </c>
    </row>
    <row r="199" spans="1:11" x14ac:dyDescent="0.25">
      <c r="A199" s="5"/>
      <c r="B199" s="4"/>
      <c r="C199" s="6">
        <f>IFERROR(INDEX(Pacientes!$A:$A,MATCH($B199,Pacientes!$B:$B,0)),"")</f>
      </c>
      <c r="D199" s="6">
        <f>IFERROR(INDEX(Pacientes!$C:$C,MATCH($B199,Pacientes!$B:$B,0)),"")</f>
      </c>
      <c r="E199" s="4"/>
      <c r="F199" s="4"/>
      <c r="G199" s="4"/>
      <c r="H199" s="4"/>
      <c r="I199" s="4"/>
      <c r="J199" s="4"/>
      <c r="K199" s="4">
        <f>IF(E199="","",IF(H199&lt;&gt;"",H199,"["&amp;E199&amp;"] "&amp;F199&amp;" → "&amp;G199)&amp;IF(I199&lt;&gt;""," ("&amp;I199&amp;")",""))</f>
      </c>
    </row>
    <row r="200" spans="1:11" x14ac:dyDescent="0.25">
      <c r="A200" s="5"/>
      <c r="B200" s="4"/>
      <c r="C200" s="6">
        <f>IFERROR(INDEX(Pacientes!$A:$A,MATCH($B200,Pacientes!$B:$B,0)),"")</f>
      </c>
      <c r="D200" s="6">
        <f>IFERROR(INDEX(Pacientes!$C:$C,MATCH($B200,Pacientes!$B:$B,0)),"")</f>
      </c>
      <c r="E200" s="4"/>
      <c r="F200" s="4"/>
      <c r="G200" s="4"/>
      <c r="H200" s="4"/>
      <c r="I200" s="4"/>
      <c r="J200" s="4"/>
      <c r="K200" s="4">
        <f>IF(E200="","",IF(H200&lt;&gt;"",H200,"["&amp;E200&amp;"] "&amp;F200&amp;" → "&amp;G200)&amp;IF(I200&lt;&gt;""," ("&amp;I200&amp;")",""))</f>
      </c>
    </row>
    <row r="201" spans="1:11" x14ac:dyDescent="0.25">
      <c r="A201" s="5"/>
      <c r="B201" s="4"/>
      <c r="C201" s="6">
        <f>IFERROR(INDEX(Pacientes!$A:$A,MATCH($B201,Pacientes!$B:$B,0)),"")</f>
      </c>
      <c r="D201" s="6">
        <f>IFERROR(INDEX(Pacientes!$C:$C,MATCH($B201,Pacientes!$B:$B,0)),"")</f>
      </c>
      <c r="E201" s="4"/>
      <c r="F201" s="4"/>
      <c r="G201" s="4"/>
      <c r="H201" s="4"/>
      <c r="I201" s="4"/>
      <c r="J201" s="4"/>
      <c r="K201" s="4">
        <f>IF(E201="","",IF(H201&lt;&gt;"",H201,"["&amp;E201&amp;"] "&amp;F201&amp;" → "&amp;G201)&amp;IF(I201&lt;&gt;""," ("&amp;I201&amp;")",""))</f>
      </c>
    </row>
    <row r="202" spans="1:11" x14ac:dyDescent="0.25">
      <c r="A202" s="5"/>
      <c r="B202" s="4"/>
      <c r="C202" s="6">
        <f>IFERROR(INDEX(Pacientes!$A:$A,MATCH($B202,Pacientes!$B:$B,0)),"")</f>
      </c>
      <c r="D202" s="6">
        <f>IFERROR(INDEX(Pacientes!$C:$C,MATCH($B202,Pacientes!$B:$B,0)),"")</f>
      </c>
      <c r="E202" s="4"/>
      <c r="F202" s="4"/>
      <c r="G202" s="4"/>
      <c r="H202" s="4"/>
      <c r="I202" s="4"/>
      <c r="J202" s="4"/>
      <c r="K202" s="4">
        <f>IF(E202="","",IF(H202&lt;&gt;"",H202,"["&amp;E202&amp;"] "&amp;F202&amp;" → "&amp;G202)&amp;IF(I202&lt;&gt;""," ("&amp;I202&amp;")",""))</f>
      </c>
    </row>
    <row r="203" spans="1:11" x14ac:dyDescent="0.25">
      <c r="A203" s="5"/>
      <c r="B203" s="4"/>
      <c r="C203" s="6">
        <f>IFERROR(INDEX(Pacientes!$A:$A,MATCH($B203,Pacientes!$B:$B,0)),"")</f>
      </c>
      <c r="D203" s="6">
        <f>IFERROR(INDEX(Pacientes!$C:$C,MATCH($B203,Pacientes!$B:$B,0)),"")</f>
      </c>
      <c r="E203" s="4"/>
      <c r="F203" s="4"/>
      <c r="G203" s="4"/>
      <c r="H203" s="4"/>
      <c r="I203" s="4"/>
      <c r="J203" s="4"/>
      <c r="K203" s="4">
        <f>IF(E203="","",IF(H203&lt;&gt;"",H203,"["&amp;E203&amp;"] "&amp;F203&amp;" → "&amp;G203)&amp;IF(I203&lt;&gt;""," ("&amp;I203&amp;")",""))</f>
      </c>
    </row>
    <row r="204" spans="1:11" x14ac:dyDescent="0.25">
      <c r="A204" s="5"/>
      <c r="B204" s="4"/>
      <c r="C204" s="6">
        <f>IFERROR(INDEX(Pacientes!$A:$A,MATCH($B204,Pacientes!$B:$B,0)),"")</f>
      </c>
      <c r="D204" s="6">
        <f>IFERROR(INDEX(Pacientes!$C:$C,MATCH($B204,Pacientes!$B:$B,0)),"")</f>
      </c>
      <c r="E204" s="4"/>
      <c r="F204" s="4"/>
      <c r="G204" s="4"/>
      <c r="H204" s="4"/>
      <c r="I204" s="4"/>
      <c r="J204" s="4"/>
      <c r="K204" s="4">
        <f>IF(E204="","",IF(H204&lt;&gt;"",H204,"["&amp;E204&amp;"] "&amp;F204&amp;" → "&amp;G204)&amp;IF(I204&lt;&gt;""," ("&amp;I204&amp;")",""))</f>
      </c>
    </row>
    <row r="205" spans="1:11" x14ac:dyDescent="0.25">
      <c r="A205" s="5"/>
      <c r="B205" s="4"/>
      <c r="C205" s="6">
        <f>IFERROR(INDEX(Pacientes!$A:$A,MATCH($B205,Pacientes!$B:$B,0)),"")</f>
      </c>
      <c r="D205" s="6">
        <f>IFERROR(INDEX(Pacientes!$C:$C,MATCH($B205,Pacientes!$B:$B,0)),"")</f>
      </c>
      <c r="E205" s="4"/>
      <c r="F205" s="4"/>
      <c r="G205" s="4"/>
      <c r="H205" s="4"/>
      <c r="I205" s="4"/>
      <c r="J205" s="4"/>
      <c r="K205" s="4">
        <f>IF(E205="","",IF(H205&lt;&gt;"",H205,"["&amp;E205&amp;"] "&amp;F205&amp;" → "&amp;G205)&amp;IF(I205&lt;&gt;""," ("&amp;I205&amp;")",""))</f>
      </c>
    </row>
    <row r="206" spans="1:11" x14ac:dyDescent="0.25">
      <c r="A206" s="5"/>
      <c r="B206" s="4"/>
      <c r="C206" s="6">
        <f>IFERROR(INDEX(Pacientes!$A:$A,MATCH($B206,Pacientes!$B:$B,0)),"")</f>
      </c>
      <c r="D206" s="6">
        <f>IFERROR(INDEX(Pacientes!$C:$C,MATCH($B206,Pacientes!$B:$B,0)),"")</f>
      </c>
      <c r="E206" s="4"/>
      <c r="F206" s="4"/>
      <c r="G206" s="4"/>
      <c r="H206" s="4"/>
      <c r="I206" s="4"/>
      <c r="J206" s="4"/>
      <c r="K206" s="4">
        <f>IF(E206="","",IF(H206&lt;&gt;"",H206,"["&amp;E206&amp;"] "&amp;F206&amp;" → "&amp;G206)&amp;IF(I206&lt;&gt;""," ("&amp;I206&amp;")",""))</f>
      </c>
    </row>
    <row r="207" spans="1:11" x14ac:dyDescent="0.25">
      <c r="A207" s="5"/>
      <c r="B207" s="4"/>
      <c r="C207" s="6">
        <f>IFERROR(INDEX(Pacientes!$A:$A,MATCH($B207,Pacientes!$B:$B,0)),"")</f>
      </c>
      <c r="D207" s="6">
        <f>IFERROR(INDEX(Pacientes!$C:$C,MATCH($B207,Pacientes!$B:$B,0)),"")</f>
      </c>
      <c r="E207" s="4"/>
      <c r="F207" s="4"/>
      <c r="G207" s="4"/>
      <c r="H207" s="4"/>
      <c r="I207" s="4"/>
      <c r="J207" s="4"/>
      <c r="K207" s="4">
        <f>IF(E207="","",IF(H207&lt;&gt;"",H207,"["&amp;E207&amp;"] "&amp;F207&amp;" → "&amp;G207)&amp;IF(I207&lt;&gt;""," ("&amp;I207&amp;")",""))</f>
      </c>
    </row>
    <row r="208" spans="1:11" x14ac:dyDescent="0.25">
      <c r="A208" s="5"/>
      <c r="B208" s="4"/>
      <c r="C208" s="6">
        <f>IFERROR(INDEX(Pacientes!$A:$A,MATCH($B208,Pacientes!$B:$B,0)),"")</f>
      </c>
      <c r="D208" s="6">
        <f>IFERROR(INDEX(Pacientes!$C:$C,MATCH($B208,Pacientes!$B:$B,0)),"")</f>
      </c>
      <c r="E208" s="4"/>
      <c r="F208" s="4"/>
      <c r="G208" s="4"/>
      <c r="H208" s="4"/>
      <c r="I208" s="4"/>
      <c r="J208" s="4"/>
      <c r="K208" s="4">
        <f>IF(E208="","",IF(H208&lt;&gt;"",H208,"["&amp;E208&amp;"] "&amp;F208&amp;" → "&amp;G208)&amp;IF(I208&lt;&gt;""," ("&amp;I208&amp;")",""))</f>
      </c>
    </row>
    <row r="209" spans="1:11" x14ac:dyDescent="0.25">
      <c r="A209" s="5"/>
      <c r="B209" s="4"/>
      <c r="C209" s="6">
        <f>IFERROR(INDEX(Pacientes!$A:$A,MATCH($B209,Pacientes!$B:$B,0)),"")</f>
      </c>
      <c r="D209" s="6">
        <f>IFERROR(INDEX(Pacientes!$C:$C,MATCH($B209,Pacientes!$B:$B,0)),"")</f>
      </c>
      <c r="E209" s="4"/>
      <c r="F209" s="4"/>
      <c r="G209" s="4"/>
      <c r="H209" s="4"/>
      <c r="I209" s="4"/>
      <c r="J209" s="4"/>
      <c r="K209" s="4">
        <f>IF(E209="","",IF(H209&lt;&gt;"",H209,"["&amp;E209&amp;"] "&amp;F209&amp;" → "&amp;G209)&amp;IF(I209&lt;&gt;""," ("&amp;I209&amp;")",""))</f>
      </c>
    </row>
    <row r="210" spans="1:11" x14ac:dyDescent="0.25">
      <c r="A210" s="5"/>
      <c r="B210" s="4"/>
      <c r="C210" s="6">
        <f>IFERROR(INDEX(Pacientes!$A:$A,MATCH($B210,Pacientes!$B:$B,0)),"")</f>
      </c>
      <c r="D210" s="6">
        <f>IFERROR(INDEX(Pacientes!$C:$C,MATCH($B210,Pacientes!$B:$B,0)),"")</f>
      </c>
      <c r="E210" s="4"/>
      <c r="F210" s="4"/>
      <c r="G210" s="4"/>
      <c r="H210" s="4"/>
      <c r="I210" s="4"/>
      <c r="J210" s="4"/>
      <c r="K210" s="4">
        <f>IF(E210="","",IF(H210&lt;&gt;"",H210,"["&amp;E210&amp;"] "&amp;F210&amp;" → "&amp;G210)&amp;IF(I210&lt;&gt;""," ("&amp;I210&amp;")",""))</f>
      </c>
    </row>
    <row r="211" spans="1:11" x14ac:dyDescent="0.25">
      <c r="A211" s="5"/>
      <c r="B211" s="4"/>
      <c r="C211" s="6">
        <f>IFERROR(INDEX(Pacientes!$A:$A,MATCH($B211,Pacientes!$B:$B,0)),"")</f>
      </c>
      <c r="D211" s="6">
        <f>IFERROR(INDEX(Pacientes!$C:$C,MATCH($B211,Pacientes!$B:$B,0)),"")</f>
      </c>
      <c r="E211" s="4"/>
      <c r="F211" s="4"/>
      <c r="G211" s="4"/>
      <c r="H211" s="4"/>
      <c r="I211" s="4"/>
      <c r="J211" s="4"/>
      <c r="K211" s="4">
        <f>IF(E211="","",IF(H211&lt;&gt;"",H211,"["&amp;E211&amp;"] "&amp;F211&amp;" → "&amp;G211)&amp;IF(I211&lt;&gt;""," ("&amp;I211&amp;")",""))</f>
      </c>
    </row>
    <row r="212" spans="1:11" x14ac:dyDescent="0.25">
      <c r="A212" s="5"/>
      <c r="B212" s="4"/>
      <c r="C212" s="6">
        <f>IFERROR(INDEX(Pacientes!$A:$A,MATCH($B212,Pacientes!$B:$B,0)),"")</f>
      </c>
      <c r="D212" s="6">
        <f>IFERROR(INDEX(Pacientes!$C:$C,MATCH($B212,Pacientes!$B:$B,0)),"")</f>
      </c>
      <c r="E212" s="4"/>
      <c r="F212" s="4"/>
      <c r="G212" s="4"/>
      <c r="H212" s="4"/>
      <c r="I212" s="4"/>
      <c r="J212" s="4"/>
      <c r="K212" s="4">
        <f>IF(E212="","",IF(H212&lt;&gt;"",H212,"["&amp;E212&amp;"] "&amp;F212&amp;" → "&amp;G212)&amp;IF(I212&lt;&gt;""," ("&amp;I212&amp;")",""))</f>
      </c>
    </row>
    <row r="213" spans="1:11" x14ac:dyDescent="0.25">
      <c r="A213" s="5"/>
      <c r="B213" s="4"/>
      <c r="C213" s="6">
        <f>IFERROR(INDEX(Pacientes!$A:$A,MATCH($B213,Pacientes!$B:$B,0)),"")</f>
      </c>
      <c r="D213" s="6">
        <f>IFERROR(INDEX(Pacientes!$C:$C,MATCH($B213,Pacientes!$B:$B,0)),"")</f>
      </c>
      <c r="E213" s="4"/>
      <c r="F213" s="4"/>
      <c r="G213" s="4"/>
      <c r="H213" s="4"/>
      <c r="I213" s="4"/>
      <c r="J213" s="4"/>
      <c r="K213" s="4">
        <f>IF(E213="","",IF(H213&lt;&gt;"",H213,"["&amp;E213&amp;"] "&amp;F213&amp;" → "&amp;G213)&amp;IF(I213&lt;&gt;""," ("&amp;I213&amp;")",""))</f>
      </c>
    </row>
    <row r="214" spans="1:11" x14ac:dyDescent="0.25">
      <c r="A214" s="5"/>
      <c r="B214" s="4"/>
      <c r="C214" s="6">
        <f>IFERROR(INDEX(Pacientes!$A:$A,MATCH($B214,Pacientes!$B:$B,0)),"")</f>
      </c>
      <c r="D214" s="6">
        <f>IFERROR(INDEX(Pacientes!$C:$C,MATCH($B214,Pacientes!$B:$B,0)),"")</f>
      </c>
      <c r="E214" s="4"/>
      <c r="F214" s="4"/>
      <c r="G214" s="4"/>
      <c r="H214" s="4"/>
      <c r="I214" s="4"/>
      <c r="J214" s="4"/>
      <c r="K214" s="4">
        <f>IF(E214="","",IF(H214&lt;&gt;"",H214,"["&amp;E214&amp;"] "&amp;F214&amp;" → "&amp;G214)&amp;IF(I214&lt;&gt;""," ("&amp;I214&amp;")",""))</f>
      </c>
    </row>
    <row r="215" spans="1:11" x14ac:dyDescent="0.25">
      <c r="A215" s="5"/>
      <c r="B215" s="4"/>
      <c r="C215" s="6">
        <f>IFERROR(INDEX(Pacientes!$A:$A,MATCH($B215,Pacientes!$B:$B,0)),"")</f>
      </c>
      <c r="D215" s="6">
        <f>IFERROR(INDEX(Pacientes!$C:$C,MATCH($B215,Pacientes!$B:$B,0)),"")</f>
      </c>
      <c r="E215" s="4"/>
      <c r="F215" s="4"/>
      <c r="G215" s="4"/>
      <c r="H215" s="4"/>
      <c r="I215" s="4"/>
      <c r="J215" s="4"/>
      <c r="K215" s="4">
        <f>IF(E215="","",IF(H215&lt;&gt;"",H215,"["&amp;E215&amp;"] "&amp;F215&amp;" → "&amp;G215)&amp;IF(I215&lt;&gt;""," ("&amp;I215&amp;")",""))</f>
      </c>
    </row>
    <row r="216" spans="1:11" x14ac:dyDescent="0.25">
      <c r="A216" s="5"/>
      <c r="B216" s="4"/>
      <c r="C216" s="6">
        <f>IFERROR(INDEX(Pacientes!$A:$A,MATCH($B216,Pacientes!$B:$B,0)),"")</f>
      </c>
      <c r="D216" s="6">
        <f>IFERROR(INDEX(Pacientes!$C:$C,MATCH($B216,Pacientes!$B:$B,0)),"")</f>
      </c>
      <c r="E216" s="4"/>
      <c r="F216" s="4"/>
      <c r="G216" s="4"/>
      <c r="H216" s="4"/>
      <c r="I216" s="4"/>
      <c r="J216" s="4"/>
      <c r="K216" s="4">
        <f>IF(E216="","",IF(H216&lt;&gt;"",H216,"["&amp;E216&amp;"] "&amp;F216&amp;" → "&amp;G216)&amp;IF(I216&lt;&gt;""," ("&amp;I216&amp;")",""))</f>
      </c>
    </row>
    <row r="217" spans="1:11" x14ac:dyDescent="0.25">
      <c r="A217" s="5"/>
      <c r="B217" s="4"/>
      <c r="C217" s="6">
        <f>IFERROR(INDEX(Pacientes!$A:$A,MATCH($B217,Pacientes!$B:$B,0)),"")</f>
      </c>
      <c r="D217" s="6">
        <f>IFERROR(INDEX(Pacientes!$C:$C,MATCH($B217,Pacientes!$B:$B,0)),"")</f>
      </c>
      <c r="E217" s="4"/>
      <c r="F217" s="4"/>
      <c r="G217" s="4"/>
      <c r="H217" s="4"/>
      <c r="I217" s="4"/>
      <c r="J217" s="4"/>
      <c r="K217" s="4">
        <f>IF(E217="","",IF(H217&lt;&gt;"",H217,"["&amp;E217&amp;"] "&amp;F217&amp;" → "&amp;G217)&amp;IF(I217&lt;&gt;""," ("&amp;I217&amp;")",""))</f>
      </c>
    </row>
    <row r="218" spans="1:11" x14ac:dyDescent="0.25">
      <c r="A218" s="5"/>
      <c r="B218" s="4"/>
      <c r="C218" s="6">
        <f>IFERROR(INDEX(Pacientes!$A:$A,MATCH($B218,Pacientes!$B:$B,0)),"")</f>
      </c>
      <c r="D218" s="6">
        <f>IFERROR(INDEX(Pacientes!$C:$C,MATCH($B218,Pacientes!$B:$B,0)),"")</f>
      </c>
      <c r="E218" s="4"/>
      <c r="F218" s="4"/>
      <c r="G218" s="4"/>
      <c r="H218" s="4"/>
      <c r="I218" s="4"/>
      <c r="J218" s="4"/>
      <c r="K218" s="4">
        <f>IF(E218="","",IF(H218&lt;&gt;"",H218,"["&amp;E218&amp;"] "&amp;F218&amp;" → "&amp;G218)&amp;IF(I218&lt;&gt;""," ("&amp;I218&amp;")",""))</f>
      </c>
    </row>
    <row r="219" spans="1:11" x14ac:dyDescent="0.25">
      <c r="A219" s="5"/>
      <c r="B219" s="4"/>
      <c r="C219" s="6">
        <f>IFERROR(INDEX(Pacientes!$A:$A,MATCH($B219,Pacientes!$B:$B,0)),"")</f>
      </c>
      <c r="D219" s="6">
        <f>IFERROR(INDEX(Pacientes!$C:$C,MATCH($B219,Pacientes!$B:$B,0)),"")</f>
      </c>
      <c r="E219" s="4"/>
      <c r="F219" s="4"/>
      <c r="G219" s="4"/>
      <c r="H219" s="4"/>
      <c r="I219" s="4"/>
      <c r="J219" s="4"/>
      <c r="K219" s="4">
        <f>IF(E219="","",IF(H219&lt;&gt;"",H219,"["&amp;E219&amp;"] "&amp;F219&amp;" → "&amp;G219)&amp;IF(I219&lt;&gt;""," ("&amp;I219&amp;")",""))</f>
      </c>
    </row>
    <row r="220" spans="1:11" x14ac:dyDescent="0.25">
      <c r="A220" s="5"/>
      <c r="B220" s="4"/>
      <c r="C220" s="6">
        <f>IFERROR(INDEX(Pacientes!$A:$A,MATCH($B220,Pacientes!$B:$B,0)),"")</f>
      </c>
      <c r="D220" s="6">
        <f>IFERROR(INDEX(Pacientes!$C:$C,MATCH($B220,Pacientes!$B:$B,0)),"")</f>
      </c>
      <c r="E220" s="4"/>
      <c r="F220" s="4"/>
      <c r="G220" s="4"/>
      <c r="H220" s="4"/>
      <c r="I220" s="4"/>
      <c r="J220" s="4"/>
      <c r="K220" s="4">
        <f>IF(E220="","",IF(H220&lt;&gt;"",H220,"["&amp;E220&amp;"] "&amp;F220&amp;" → "&amp;G220)&amp;IF(I220&lt;&gt;""," ("&amp;I220&amp;")",""))</f>
      </c>
    </row>
    <row r="221" spans="1:11" x14ac:dyDescent="0.25">
      <c r="A221" s="5"/>
      <c r="B221" s="4"/>
      <c r="C221" s="6">
        <f>IFERROR(INDEX(Pacientes!$A:$A,MATCH($B221,Pacientes!$B:$B,0)),"")</f>
      </c>
      <c r="D221" s="6">
        <f>IFERROR(INDEX(Pacientes!$C:$C,MATCH($B221,Pacientes!$B:$B,0)),"")</f>
      </c>
      <c r="E221" s="4"/>
      <c r="F221" s="4"/>
      <c r="G221" s="4"/>
      <c r="H221" s="4"/>
      <c r="I221" s="4"/>
      <c r="J221" s="4"/>
      <c r="K221" s="4">
        <f>IF(E221="","",IF(H221&lt;&gt;"",H221,"["&amp;E221&amp;"] "&amp;F221&amp;" → "&amp;G221)&amp;IF(I221&lt;&gt;""," ("&amp;I221&amp;")",""))</f>
      </c>
    </row>
    <row r="222" spans="1:11" x14ac:dyDescent="0.25">
      <c r="A222" s="5"/>
      <c r="B222" s="4"/>
      <c r="C222" s="6">
        <f>IFERROR(INDEX(Pacientes!$A:$A,MATCH($B222,Pacientes!$B:$B,0)),"")</f>
      </c>
      <c r="D222" s="6">
        <f>IFERROR(INDEX(Pacientes!$C:$C,MATCH($B222,Pacientes!$B:$B,0)),"")</f>
      </c>
      <c r="E222" s="4"/>
      <c r="F222" s="4"/>
      <c r="G222" s="4"/>
      <c r="H222" s="4"/>
      <c r="I222" s="4"/>
      <c r="J222" s="4"/>
      <c r="K222" s="4">
        <f>IF(E222="","",IF(H222&lt;&gt;"",H222,"["&amp;E222&amp;"] "&amp;F222&amp;" → "&amp;G222)&amp;IF(I222&lt;&gt;""," ("&amp;I222&amp;")",""))</f>
      </c>
    </row>
    <row r="223" spans="1:11" x14ac:dyDescent="0.25">
      <c r="A223" s="5"/>
      <c r="B223" s="4"/>
      <c r="C223" s="6">
        <f>IFERROR(INDEX(Pacientes!$A:$A,MATCH($B223,Pacientes!$B:$B,0)),"")</f>
      </c>
      <c r="D223" s="6">
        <f>IFERROR(INDEX(Pacientes!$C:$C,MATCH($B223,Pacientes!$B:$B,0)),"")</f>
      </c>
      <c r="E223" s="4"/>
      <c r="F223" s="4"/>
      <c r="G223" s="4"/>
      <c r="H223" s="4"/>
      <c r="I223" s="4"/>
      <c r="J223" s="4"/>
      <c r="K223" s="4">
        <f>IF(E223="","",IF(H223&lt;&gt;"",H223,"["&amp;E223&amp;"] "&amp;F223&amp;" → "&amp;G223)&amp;IF(I223&lt;&gt;""," ("&amp;I223&amp;")",""))</f>
      </c>
    </row>
    <row r="224" spans="1:11" x14ac:dyDescent="0.25">
      <c r="A224" s="5"/>
      <c r="B224" s="4"/>
      <c r="C224" s="6">
        <f>IFERROR(INDEX(Pacientes!$A:$A,MATCH($B224,Pacientes!$B:$B,0)),"")</f>
      </c>
      <c r="D224" s="6">
        <f>IFERROR(INDEX(Pacientes!$C:$C,MATCH($B224,Pacientes!$B:$B,0)),"")</f>
      </c>
      <c r="E224" s="4"/>
      <c r="F224" s="4"/>
      <c r="G224" s="4"/>
      <c r="H224" s="4"/>
      <c r="I224" s="4"/>
      <c r="J224" s="4"/>
      <c r="K224" s="4">
        <f>IF(E224="","",IF(H224&lt;&gt;"",H224,"["&amp;E224&amp;"] "&amp;F224&amp;" → "&amp;G224)&amp;IF(I224&lt;&gt;""," ("&amp;I224&amp;")",""))</f>
      </c>
    </row>
    <row r="225" spans="1:11" x14ac:dyDescent="0.25">
      <c r="A225" s="5"/>
      <c r="B225" s="4"/>
      <c r="C225" s="6">
        <f>IFERROR(INDEX(Pacientes!$A:$A,MATCH($B225,Pacientes!$B:$B,0)),"")</f>
      </c>
      <c r="D225" s="6">
        <f>IFERROR(INDEX(Pacientes!$C:$C,MATCH($B225,Pacientes!$B:$B,0)),"")</f>
      </c>
      <c r="E225" s="4"/>
      <c r="F225" s="4"/>
      <c r="G225" s="4"/>
      <c r="H225" s="4"/>
      <c r="I225" s="4"/>
      <c r="J225" s="4"/>
      <c r="K225" s="4">
        <f>IF(E225="","",IF(H225&lt;&gt;"",H225,"["&amp;E225&amp;"] "&amp;F225&amp;" → "&amp;G225)&amp;IF(I225&lt;&gt;""," ("&amp;I225&amp;")",""))</f>
      </c>
    </row>
    <row r="226" spans="1:11" x14ac:dyDescent="0.25">
      <c r="A226" s="5"/>
      <c r="B226" s="4"/>
      <c r="C226" s="6">
        <f>IFERROR(INDEX(Pacientes!$A:$A,MATCH($B226,Pacientes!$B:$B,0)),"")</f>
      </c>
      <c r="D226" s="6">
        <f>IFERROR(INDEX(Pacientes!$C:$C,MATCH($B226,Pacientes!$B:$B,0)),"")</f>
      </c>
      <c r="E226" s="4"/>
      <c r="F226" s="4"/>
      <c r="G226" s="4"/>
      <c r="H226" s="4"/>
      <c r="I226" s="4"/>
      <c r="J226" s="4"/>
      <c r="K226" s="4">
        <f>IF(E226="","",IF(H226&lt;&gt;"",H226,"["&amp;E226&amp;"] "&amp;F226&amp;" → "&amp;G226)&amp;IF(I226&lt;&gt;""," ("&amp;I226&amp;")",""))</f>
      </c>
    </row>
    <row r="227" spans="1:11" x14ac:dyDescent="0.25">
      <c r="A227" s="5"/>
      <c r="B227" s="4"/>
      <c r="C227" s="6">
        <f>IFERROR(INDEX(Pacientes!$A:$A,MATCH($B227,Pacientes!$B:$B,0)),"")</f>
      </c>
      <c r="D227" s="6">
        <f>IFERROR(INDEX(Pacientes!$C:$C,MATCH($B227,Pacientes!$B:$B,0)),"")</f>
      </c>
      <c r="E227" s="4"/>
      <c r="F227" s="4"/>
      <c r="G227" s="4"/>
      <c r="H227" s="4"/>
      <c r="I227" s="4"/>
      <c r="J227" s="4"/>
      <c r="K227" s="4">
        <f>IF(E227="","",IF(H227&lt;&gt;"",H227,"["&amp;E227&amp;"] "&amp;F227&amp;" → "&amp;G227)&amp;IF(I227&lt;&gt;""," ("&amp;I227&amp;")",""))</f>
      </c>
    </row>
    <row r="228" spans="1:11" x14ac:dyDescent="0.25">
      <c r="A228" s="5"/>
      <c r="B228" s="4"/>
      <c r="C228" s="6">
        <f>IFERROR(INDEX(Pacientes!$A:$A,MATCH($B228,Pacientes!$B:$B,0)),"")</f>
      </c>
      <c r="D228" s="6">
        <f>IFERROR(INDEX(Pacientes!$C:$C,MATCH($B228,Pacientes!$B:$B,0)),"")</f>
      </c>
      <c r="E228" s="4"/>
      <c r="F228" s="4"/>
      <c r="G228" s="4"/>
      <c r="H228" s="4"/>
      <c r="I228" s="4"/>
      <c r="J228" s="4"/>
      <c r="K228" s="4">
        <f>IF(E228="","",IF(H228&lt;&gt;"",H228,"["&amp;E228&amp;"] "&amp;F228&amp;" → "&amp;G228)&amp;IF(I228&lt;&gt;""," ("&amp;I228&amp;")",""))</f>
      </c>
    </row>
    <row r="229" spans="1:11" x14ac:dyDescent="0.25">
      <c r="A229" s="5"/>
      <c r="B229" s="4"/>
      <c r="C229" s="6">
        <f>IFERROR(INDEX(Pacientes!$A:$A,MATCH($B229,Pacientes!$B:$B,0)),"")</f>
      </c>
      <c r="D229" s="6">
        <f>IFERROR(INDEX(Pacientes!$C:$C,MATCH($B229,Pacientes!$B:$B,0)),"")</f>
      </c>
      <c r="E229" s="4"/>
      <c r="F229" s="4"/>
      <c r="G229" s="4"/>
      <c r="H229" s="4"/>
      <c r="I229" s="4"/>
      <c r="J229" s="4"/>
      <c r="K229" s="4">
        <f>IF(E229="","",IF(H229&lt;&gt;"",H229,"["&amp;E229&amp;"] "&amp;F229&amp;" → "&amp;G229)&amp;IF(I229&lt;&gt;""," ("&amp;I229&amp;")",""))</f>
      </c>
    </row>
    <row r="230" spans="1:11" x14ac:dyDescent="0.25">
      <c r="A230" s="5"/>
      <c r="B230" s="4"/>
      <c r="C230" s="6">
        <f>IFERROR(INDEX(Pacientes!$A:$A,MATCH($B230,Pacientes!$B:$B,0)),"")</f>
      </c>
      <c r="D230" s="6">
        <f>IFERROR(INDEX(Pacientes!$C:$C,MATCH($B230,Pacientes!$B:$B,0)),"")</f>
      </c>
      <c r="E230" s="4"/>
      <c r="F230" s="4"/>
      <c r="G230" s="4"/>
      <c r="H230" s="4"/>
      <c r="I230" s="4"/>
      <c r="J230" s="4"/>
      <c r="K230" s="4">
        <f>IF(E230="","",IF(H230&lt;&gt;"",H230,"["&amp;E230&amp;"] "&amp;F230&amp;" → "&amp;G230)&amp;IF(I230&lt;&gt;""," ("&amp;I230&amp;")",""))</f>
      </c>
    </row>
    <row r="231" spans="1:11" x14ac:dyDescent="0.25">
      <c r="A231" s="5"/>
      <c r="B231" s="4"/>
      <c r="C231" s="6">
        <f>IFERROR(INDEX(Pacientes!$A:$A,MATCH($B231,Pacientes!$B:$B,0)),"")</f>
      </c>
      <c r="D231" s="6">
        <f>IFERROR(INDEX(Pacientes!$C:$C,MATCH($B231,Pacientes!$B:$B,0)),"")</f>
      </c>
      <c r="E231" s="4"/>
      <c r="F231" s="4"/>
      <c r="G231" s="4"/>
      <c r="H231" s="4"/>
      <c r="I231" s="4"/>
      <c r="J231" s="4"/>
      <c r="K231" s="4">
        <f>IF(E231="","",IF(H231&lt;&gt;"",H231,"["&amp;E231&amp;"] "&amp;F231&amp;" → "&amp;G231)&amp;IF(I231&lt;&gt;""," ("&amp;I231&amp;")",""))</f>
      </c>
    </row>
    <row r="232" spans="1:11" x14ac:dyDescent="0.25">
      <c r="A232" s="5"/>
      <c r="B232" s="4"/>
      <c r="C232" s="6">
        <f>IFERROR(INDEX(Pacientes!$A:$A,MATCH($B232,Pacientes!$B:$B,0)),"")</f>
      </c>
      <c r="D232" s="6">
        <f>IFERROR(INDEX(Pacientes!$C:$C,MATCH($B232,Pacientes!$B:$B,0)),"")</f>
      </c>
      <c r="E232" s="4"/>
      <c r="F232" s="4"/>
      <c r="G232" s="4"/>
      <c r="H232" s="4"/>
      <c r="I232" s="4"/>
      <c r="J232" s="4"/>
      <c r="K232" s="4">
        <f>IF(E232="","",IF(H232&lt;&gt;"",H232,"["&amp;E232&amp;"] "&amp;F232&amp;" → "&amp;G232)&amp;IF(I232&lt;&gt;""," ("&amp;I232&amp;")",""))</f>
      </c>
    </row>
    <row r="233" spans="1:11" x14ac:dyDescent="0.25">
      <c r="A233" s="5"/>
      <c r="B233" s="4"/>
      <c r="C233" s="6">
        <f>IFERROR(INDEX(Pacientes!$A:$A,MATCH($B233,Pacientes!$B:$B,0)),"")</f>
      </c>
      <c r="D233" s="6">
        <f>IFERROR(INDEX(Pacientes!$C:$C,MATCH($B233,Pacientes!$B:$B,0)),"")</f>
      </c>
      <c r="E233" s="4"/>
      <c r="F233" s="4"/>
      <c r="G233" s="4"/>
      <c r="H233" s="4"/>
      <c r="I233" s="4"/>
      <c r="J233" s="4"/>
      <c r="K233" s="4">
        <f>IF(E233="","",IF(H233&lt;&gt;"",H233,"["&amp;E233&amp;"] "&amp;F233&amp;" → "&amp;G233)&amp;IF(I233&lt;&gt;""," ("&amp;I233&amp;")",""))</f>
      </c>
    </row>
    <row r="234" spans="1:11" x14ac:dyDescent="0.25">
      <c r="A234" s="5"/>
      <c r="B234" s="4"/>
      <c r="C234" s="6">
        <f>IFERROR(INDEX(Pacientes!$A:$A,MATCH($B234,Pacientes!$B:$B,0)),"")</f>
      </c>
      <c r="D234" s="6">
        <f>IFERROR(INDEX(Pacientes!$C:$C,MATCH($B234,Pacientes!$B:$B,0)),"")</f>
      </c>
      <c r="E234" s="4"/>
      <c r="F234" s="4"/>
      <c r="G234" s="4"/>
      <c r="H234" s="4"/>
      <c r="I234" s="4"/>
      <c r="J234" s="4"/>
      <c r="K234" s="4">
        <f>IF(E234="","",IF(H234&lt;&gt;"",H234,"["&amp;E234&amp;"] "&amp;F234&amp;" → "&amp;G234)&amp;IF(I234&lt;&gt;""," ("&amp;I234&amp;")",""))</f>
      </c>
    </row>
    <row r="235" spans="1:11" x14ac:dyDescent="0.25">
      <c r="A235" s="5"/>
      <c r="B235" s="4"/>
      <c r="C235" s="6">
        <f>IFERROR(INDEX(Pacientes!$A:$A,MATCH($B235,Pacientes!$B:$B,0)),"")</f>
      </c>
      <c r="D235" s="6">
        <f>IFERROR(INDEX(Pacientes!$C:$C,MATCH($B235,Pacientes!$B:$B,0)),"")</f>
      </c>
      <c r="E235" s="4"/>
      <c r="F235" s="4"/>
      <c r="G235" s="4"/>
      <c r="H235" s="4"/>
      <c r="I235" s="4"/>
      <c r="J235" s="4"/>
      <c r="K235" s="4">
        <f>IF(E235="","",IF(H235&lt;&gt;"",H235,"["&amp;E235&amp;"] "&amp;F235&amp;" → "&amp;G235)&amp;IF(I235&lt;&gt;""," ("&amp;I235&amp;")",""))</f>
      </c>
    </row>
    <row r="236" spans="1:11" x14ac:dyDescent="0.25">
      <c r="A236" s="5"/>
      <c r="B236" s="4"/>
      <c r="C236" s="6">
        <f>IFERROR(INDEX(Pacientes!$A:$A,MATCH($B236,Pacientes!$B:$B,0)),"")</f>
      </c>
      <c r="D236" s="6">
        <f>IFERROR(INDEX(Pacientes!$C:$C,MATCH($B236,Pacientes!$B:$B,0)),"")</f>
      </c>
      <c r="E236" s="4"/>
      <c r="F236" s="4"/>
      <c r="G236" s="4"/>
      <c r="H236" s="4"/>
      <c r="I236" s="4"/>
      <c r="J236" s="4"/>
      <c r="K236" s="4">
        <f>IF(E236="","",IF(H236&lt;&gt;"",H236,"["&amp;E236&amp;"] "&amp;F236&amp;" → "&amp;G236)&amp;IF(I236&lt;&gt;""," ("&amp;I236&amp;")",""))</f>
      </c>
    </row>
    <row r="237" spans="1:11" x14ac:dyDescent="0.25">
      <c r="A237" s="5"/>
      <c r="B237" s="4"/>
      <c r="C237" s="6">
        <f>IFERROR(INDEX(Pacientes!$A:$A,MATCH($B237,Pacientes!$B:$B,0)),"")</f>
      </c>
      <c r="D237" s="6">
        <f>IFERROR(INDEX(Pacientes!$C:$C,MATCH($B237,Pacientes!$B:$B,0)),"")</f>
      </c>
      <c r="E237" s="4"/>
      <c r="F237" s="4"/>
      <c r="G237" s="4"/>
      <c r="H237" s="4"/>
      <c r="I237" s="4"/>
      <c r="J237" s="4"/>
      <c r="K237" s="4">
        <f>IF(E237="","",IF(H237&lt;&gt;"",H237,"["&amp;E237&amp;"] "&amp;F237&amp;" → "&amp;G237)&amp;IF(I237&lt;&gt;""," ("&amp;I237&amp;")",""))</f>
      </c>
    </row>
    <row r="238" spans="1:11" x14ac:dyDescent="0.25">
      <c r="A238" s="5"/>
      <c r="B238" s="4"/>
      <c r="C238" s="6">
        <f>IFERROR(INDEX(Pacientes!$A:$A,MATCH($B238,Pacientes!$B:$B,0)),"")</f>
      </c>
      <c r="D238" s="6">
        <f>IFERROR(INDEX(Pacientes!$C:$C,MATCH($B238,Pacientes!$B:$B,0)),"")</f>
      </c>
      <c r="E238" s="4"/>
      <c r="F238" s="4"/>
      <c r="G238" s="4"/>
      <c r="H238" s="4"/>
      <c r="I238" s="4"/>
      <c r="J238" s="4"/>
      <c r="K238" s="4">
        <f>IF(E238="","",IF(H238&lt;&gt;"",H238,"["&amp;E238&amp;"] "&amp;F238&amp;" → "&amp;G238)&amp;IF(I238&lt;&gt;""," ("&amp;I238&amp;")",""))</f>
      </c>
    </row>
    <row r="239" spans="1:11" x14ac:dyDescent="0.25">
      <c r="A239" s="5"/>
      <c r="B239" s="4"/>
      <c r="C239" s="6">
        <f>IFERROR(INDEX(Pacientes!$A:$A,MATCH($B239,Pacientes!$B:$B,0)),"")</f>
      </c>
      <c r="D239" s="6">
        <f>IFERROR(INDEX(Pacientes!$C:$C,MATCH($B239,Pacientes!$B:$B,0)),"")</f>
      </c>
      <c r="E239" s="4"/>
      <c r="F239" s="4"/>
      <c r="G239" s="4"/>
      <c r="H239" s="4"/>
      <c r="I239" s="4"/>
      <c r="J239" s="4"/>
      <c r="K239" s="4">
        <f>IF(E239="","",IF(H239&lt;&gt;"",H239,"["&amp;E239&amp;"] "&amp;F239&amp;" → "&amp;G239)&amp;IF(I239&lt;&gt;""," ("&amp;I239&amp;")",""))</f>
      </c>
    </row>
    <row r="240" spans="1:11" x14ac:dyDescent="0.25">
      <c r="A240" s="5"/>
      <c r="B240" s="4"/>
      <c r="C240" s="6">
        <f>IFERROR(INDEX(Pacientes!$A:$A,MATCH($B240,Pacientes!$B:$B,0)),"")</f>
      </c>
      <c r="D240" s="6">
        <f>IFERROR(INDEX(Pacientes!$C:$C,MATCH($B240,Pacientes!$B:$B,0)),"")</f>
      </c>
      <c r="E240" s="4"/>
      <c r="F240" s="4"/>
      <c r="G240" s="4"/>
      <c r="H240" s="4"/>
      <c r="I240" s="4"/>
      <c r="J240" s="4"/>
      <c r="K240" s="4">
        <f>IF(E240="","",IF(H240&lt;&gt;"",H240,"["&amp;E240&amp;"] "&amp;F240&amp;" → "&amp;G240)&amp;IF(I240&lt;&gt;""," ("&amp;I240&amp;")",""))</f>
      </c>
    </row>
    <row r="241" spans="1:11" x14ac:dyDescent="0.25">
      <c r="A241" s="5"/>
      <c r="B241" s="4"/>
      <c r="C241" s="6">
        <f>IFERROR(INDEX(Pacientes!$A:$A,MATCH($B241,Pacientes!$B:$B,0)),"")</f>
      </c>
      <c r="D241" s="6">
        <f>IFERROR(INDEX(Pacientes!$C:$C,MATCH($B241,Pacientes!$B:$B,0)),"")</f>
      </c>
      <c r="E241" s="4"/>
      <c r="F241" s="4"/>
      <c r="G241" s="4"/>
      <c r="H241" s="4"/>
      <c r="I241" s="4"/>
      <c r="J241" s="4"/>
      <c r="K241" s="4">
        <f>IF(E241="","",IF(H241&lt;&gt;"",H241,"["&amp;E241&amp;"] "&amp;F241&amp;" → "&amp;G241)&amp;IF(I241&lt;&gt;""," ("&amp;I241&amp;")",""))</f>
      </c>
    </row>
    <row r="242" spans="1:11" x14ac:dyDescent="0.25">
      <c r="A242" s="5"/>
      <c r="B242" s="4"/>
      <c r="C242" s="6">
        <f>IFERROR(INDEX(Pacientes!$A:$A,MATCH($B242,Pacientes!$B:$B,0)),"")</f>
      </c>
      <c r="D242" s="6">
        <f>IFERROR(INDEX(Pacientes!$C:$C,MATCH($B242,Pacientes!$B:$B,0)),"")</f>
      </c>
      <c r="E242" s="4"/>
      <c r="F242" s="4"/>
      <c r="G242" s="4"/>
      <c r="H242" s="4"/>
      <c r="I242" s="4"/>
      <c r="J242" s="4"/>
      <c r="K242" s="4">
        <f>IF(E242="","",IF(H242&lt;&gt;"",H242,"["&amp;E242&amp;"] "&amp;F242&amp;" → "&amp;G242)&amp;IF(I242&lt;&gt;""," ("&amp;I242&amp;")",""))</f>
      </c>
    </row>
    <row r="243" spans="1:11" x14ac:dyDescent="0.25">
      <c r="A243" s="5"/>
      <c r="B243" s="4"/>
      <c r="C243" s="6">
        <f>IFERROR(INDEX(Pacientes!$A:$A,MATCH($B243,Pacientes!$B:$B,0)),"")</f>
      </c>
      <c r="D243" s="6">
        <f>IFERROR(INDEX(Pacientes!$C:$C,MATCH($B243,Pacientes!$B:$B,0)),"")</f>
      </c>
      <c r="E243" s="4"/>
      <c r="F243" s="4"/>
      <c r="G243" s="4"/>
      <c r="H243" s="4"/>
      <c r="I243" s="4"/>
      <c r="J243" s="4"/>
      <c r="K243" s="4">
        <f>IF(E243="","",IF(H243&lt;&gt;"",H243,"["&amp;E243&amp;"] "&amp;F243&amp;" → "&amp;G243)&amp;IF(I243&lt;&gt;""," ("&amp;I243&amp;")",""))</f>
      </c>
    </row>
    <row r="244" spans="1:11" x14ac:dyDescent="0.25">
      <c r="A244" s="5"/>
      <c r="B244" s="4"/>
      <c r="C244" s="6">
        <f>IFERROR(INDEX(Pacientes!$A:$A,MATCH($B244,Pacientes!$B:$B,0)),"")</f>
      </c>
      <c r="D244" s="6">
        <f>IFERROR(INDEX(Pacientes!$C:$C,MATCH($B244,Pacientes!$B:$B,0)),"")</f>
      </c>
      <c r="E244" s="4"/>
      <c r="F244" s="4"/>
      <c r="G244" s="4"/>
      <c r="H244" s="4"/>
      <c r="I244" s="4"/>
      <c r="J244" s="4"/>
      <c r="K244" s="4">
        <f>IF(E244="","",IF(H244&lt;&gt;"",H244,"["&amp;E244&amp;"] "&amp;F244&amp;" → "&amp;G244)&amp;IF(I244&lt;&gt;""," ("&amp;I244&amp;")",""))</f>
      </c>
    </row>
    <row r="245" spans="1:11" x14ac:dyDescent="0.25">
      <c r="A245" s="5"/>
      <c r="B245" s="4"/>
      <c r="C245" s="6">
        <f>IFERROR(INDEX(Pacientes!$A:$A,MATCH($B245,Pacientes!$B:$B,0)),"")</f>
      </c>
      <c r="D245" s="6">
        <f>IFERROR(INDEX(Pacientes!$C:$C,MATCH($B245,Pacientes!$B:$B,0)),"")</f>
      </c>
      <c r="E245" s="4"/>
      <c r="F245" s="4"/>
      <c r="G245" s="4"/>
      <c r="H245" s="4"/>
      <c r="I245" s="4"/>
      <c r="J245" s="4"/>
      <c r="K245" s="4">
        <f>IF(E245="","",IF(H245&lt;&gt;"",H245,"["&amp;E245&amp;"] "&amp;F245&amp;" → "&amp;G245)&amp;IF(I245&lt;&gt;""," ("&amp;I245&amp;")",""))</f>
      </c>
    </row>
    <row r="246" spans="1:11" x14ac:dyDescent="0.25">
      <c r="A246" s="5"/>
      <c r="B246" s="4"/>
      <c r="C246" s="6">
        <f>IFERROR(INDEX(Pacientes!$A:$A,MATCH($B246,Pacientes!$B:$B,0)),"")</f>
      </c>
      <c r="D246" s="6">
        <f>IFERROR(INDEX(Pacientes!$C:$C,MATCH($B246,Pacientes!$B:$B,0)),"")</f>
      </c>
      <c r="E246" s="4"/>
      <c r="F246" s="4"/>
      <c r="G246" s="4"/>
      <c r="H246" s="4"/>
      <c r="I246" s="4"/>
      <c r="J246" s="4"/>
      <c r="K246" s="4">
        <f>IF(E246="","",IF(H246&lt;&gt;"",H246,"["&amp;E246&amp;"] "&amp;F246&amp;" → "&amp;G246)&amp;IF(I246&lt;&gt;""," ("&amp;I246&amp;")",""))</f>
      </c>
    </row>
    <row r="247" spans="1:11" x14ac:dyDescent="0.25">
      <c r="A247" s="5"/>
      <c r="B247" s="4"/>
      <c r="C247" s="6">
        <f>IFERROR(INDEX(Pacientes!$A:$A,MATCH($B247,Pacientes!$B:$B,0)),"")</f>
      </c>
      <c r="D247" s="6">
        <f>IFERROR(INDEX(Pacientes!$C:$C,MATCH($B247,Pacientes!$B:$B,0)),"")</f>
      </c>
      <c r="E247" s="4"/>
      <c r="F247" s="4"/>
      <c r="G247" s="4"/>
      <c r="H247" s="4"/>
      <c r="I247" s="4"/>
      <c r="J247" s="4"/>
      <c r="K247" s="4">
        <f>IF(E247="","",IF(H247&lt;&gt;"",H247,"["&amp;E247&amp;"] "&amp;F247&amp;" → "&amp;G247)&amp;IF(I247&lt;&gt;""," ("&amp;I247&amp;")",""))</f>
      </c>
    </row>
    <row r="248" spans="1:11" x14ac:dyDescent="0.25">
      <c r="A248" s="5"/>
      <c r="B248" s="4"/>
      <c r="C248" s="6">
        <f>IFERROR(INDEX(Pacientes!$A:$A,MATCH($B248,Pacientes!$B:$B,0)),"")</f>
      </c>
      <c r="D248" s="6">
        <f>IFERROR(INDEX(Pacientes!$C:$C,MATCH($B248,Pacientes!$B:$B,0)),"")</f>
      </c>
      <c r="E248" s="4"/>
      <c r="F248" s="4"/>
      <c r="G248" s="4"/>
      <c r="H248" s="4"/>
      <c r="I248" s="4"/>
      <c r="J248" s="4"/>
      <c r="K248" s="4">
        <f>IF(E248="","",IF(H248&lt;&gt;"",H248,"["&amp;E248&amp;"] "&amp;F248&amp;" → "&amp;G248)&amp;IF(I248&lt;&gt;""," ("&amp;I248&amp;")",""))</f>
      </c>
    </row>
    <row r="249" spans="1:11" x14ac:dyDescent="0.25">
      <c r="A249" s="5"/>
      <c r="B249" s="4"/>
      <c r="C249" s="6">
        <f>IFERROR(INDEX(Pacientes!$A:$A,MATCH($B249,Pacientes!$B:$B,0)),"")</f>
      </c>
      <c r="D249" s="6">
        <f>IFERROR(INDEX(Pacientes!$C:$C,MATCH($B249,Pacientes!$B:$B,0)),"")</f>
      </c>
      <c r="E249" s="4"/>
      <c r="F249" s="4"/>
      <c r="G249" s="4"/>
      <c r="H249" s="4"/>
      <c r="I249" s="4"/>
      <c r="J249" s="4"/>
      <c r="K249" s="4">
        <f>IF(E249="","",IF(H249&lt;&gt;"",H249,"["&amp;E249&amp;"] "&amp;F249&amp;" → "&amp;G249)&amp;IF(I249&lt;&gt;""," ("&amp;I249&amp;")",""))</f>
      </c>
    </row>
    <row r="250" spans="1:11" x14ac:dyDescent="0.25">
      <c r="A250" s="5"/>
      <c r="B250" s="4"/>
      <c r="C250" s="6">
        <f>IFERROR(INDEX(Pacientes!$A:$A,MATCH($B250,Pacientes!$B:$B,0)),"")</f>
      </c>
      <c r="D250" s="6">
        <f>IFERROR(INDEX(Pacientes!$C:$C,MATCH($B250,Pacientes!$B:$B,0)),"")</f>
      </c>
      <c r="E250" s="4"/>
      <c r="F250" s="4"/>
      <c r="G250" s="4"/>
      <c r="H250" s="4"/>
      <c r="I250" s="4"/>
      <c r="J250" s="4"/>
      <c r="K250" s="4">
        <f>IF(E250="","",IF(H250&lt;&gt;"",H250,"["&amp;E250&amp;"] "&amp;F250&amp;" → "&amp;G250)&amp;IF(I250&lt;&gt;""," ("&amp;I250&amp;")",""))</f>
      </c>
    </row>
    <row r="251" spans="1:11" x14ac:dyDescent="0.25">
      <c r="A251" s="5"/>
      <c r="B251" s="4"/>
      <c r="C251" s="6">
        <f>IFERROR(INDEX(Pacientes!$A:$A,MATCH($B251,Pacientes!$B:$B,0)),"")</f>
      </c>
      <c r="D251" s="6">
        <f>IFERROR(INDEX(Pacientes!$C:$C,MATCH($B251,Pacientes!$B:$B,0)),"")</f>
      </c>
      <c r="E251" s="4"/>
      <c r="F251" s="4"/>
      <c r="G251" s="4"/>
      <c r="H251" s="4"/>
      <c r="I251" s="4"/>
      <c r="J251" s="4"/>
      <c r="K251" s="4">
        <f>IF(E251="","",IF(H251&lt;&gt;"",H251,"["&amp;E251&amp;"] "&amp;F251&amp;" → "&amp;G251)&amp;IF(I251&lt;&gt;""," ("&amp;I251&amp;")",""))</f>
      </c>
    </row>
    <row r="252" spans="1:11" x14ac:dyDescent="0.25">
      <c r="A252" s="5"/>
      <c r="B252" s="4"/>
      <c r="C252" s="6">
        <f>IFERROR(INDEX(Pacientes!$A:$A,MATCH($B252,Pacientes!$B:$B,0)),"")</f>
      </c>
      <c r="D252" s="6">
        <f>IFERROR(INDEX(Pacientes!$C:$C,MATCH($B252,Pacientes!$B:$B,0)),"")</f>
      </c>
      <c r="E252" s="4"/>
      <c r="F252" s="4"/>
      <c r="G252" s="4"/>
      <c r="H252" s="4"/>
      <c r="I252" s="4"/>
      <c r="J252" s="4"/>
      <c r="K252" s="4">
        <f>IF(E252="","",IF(H252&lt;&gt;"",H252,"["&amp;E252&amp;"] "&amp;F252&amp;" → "&amp;G252)&amp;IF(I252&lt;&gt;""," ("&amp;I252&amp;")",""))</f>
      </c>
    </row>
    <row r="253" spans="1:11" x14ac:dyDescent="0.25">
      <c r="A253" s="5"/>
      <c r="B253" s="4"/>
      <c r="C253" s="6">
        <f>IFERROR(INDEX(Pacientes!$A:$A,MATCH($B253,Pacientes!$B:$B,0)),"")</f>
      </c>
      <c r="D253" s="6">
        <f>IFERROR(INDEX(Pacientes!$C:$C,MATCH($B253,Pacientes!$B:$B,0)),"")</f>
      </c>
      <c r="E253" s="4"/>
      <c r="F253" s="4"/>
      <c r="G253" s="4"/>
      <c r="H253" s="4"/>
      <c r="I253" s="4"/>
      <c r="J253" s="4"/>
      <c r="K253" s="4">
        <f>IF(E253="","",IF(H253&lt;&gt;"",H253,"["&amp;E253&amp;"] "&amp;F253&amp;" → "&amp;G253)&amp;IF(I253&lt;&gt;""," ("&amp;I253&amp;")",""))</f>
      </c>
    </row>
    <row r="254" spans="1:11" x14ac:dyDescent="0.25">
      <c r="A254" s="5"/>
      <c r="B254" s="4"/>
      <c r="C254" s="6">
        <f>IFERROR(INDEX(Pacientes!$A:$A,MATCH($B254,Pacientes!$B:$B,0)),"")</f>
      </c>
      <c r="D254" s="6">
        <f>IFERROR(INDEX(Pacientes!$C:$C,MATCH($B254,Pacientes!$B:$B,0)),"")</f>
      </c>
      <c r="E254" s="4"/>
      <c r="F254" s="4"/>
      <c r="G254" s="4"/>
      <c r="H254" s="4"/>
      <c r="I254" s="4"/>
      <c r="J254" s="4"/>
      <c r="K254" s="4">
        <f>IF(E254="","",IF(H254&lt;&gt;"",H254,"["&amp;E254&amp;"] "&amp;F254&amp;" → "&amp;G254)&amp;IF(I254&lt;&gt;""," ("&amp;I254&amp;")",""))</f>
      </c>
    </row>
    <row r="255" spans="1:11" x14ac:dyDescent="0.25">
      <c r="A255" s="5"/>
      <c r="B255" s="4"/>
      <c r="C255" s="6">
        <f>IFERROR(INDEX(Pacientes!$A:$A,MATCH($B255,Pacientes!$B:$B,0)),"")</f>
      </c>
      <c r="D255" s="6">
        <f>IFERROR(INDEX(Pacientes!$C:$C,MATCH($B255,Pacientes!$B:$B,0)),"")</f>
      </c>
      <c r="E255" s="4"/>
      <c r="F255" s="4"/>
      <c r="G255" s="4"/>
      <c r="H255" s="4"/>
      <c r="I255" s="4"/>
      <c r="J255" s="4"/>
      <c r="K255" s="4">
        <f>IF(E255="","",IF(H255&lt;&gt;"",H255,"["&amp;E255&amp;"] "&amp;F255&amp;" → "&amp;G255)&amp;IF(I255&lt;&gt;""," ("&amp;I255&amp;")",""))</f>
      </c>
    </row>
    <row r="256" spans="1:11" x14ac:dyDescent="0.25">
      <c r="A256" s="5"/>
      <c r="B256" s="4"/>
      <c r="C256" s="6">
        <f>IFERROR(INDEX(Pacientes!$A:$A,MATCH($B256,Pacientes!$B:$B,0)),"")</f>
      </c>
      <c r="D256" s="6">
        <f>IFERROR(INDEX(Pacientes!$C:$C,MATCH($B256,Pacientes!$B:$B,0)),"")</f>
      </c>
      <c r="E256" s="4"/>
      <c r="F256" s="4"/>
      <c r="G256" s="4"/>
      <c r="H256" s="4"/>
      <c r="I256" s="4"/>
      <c r="J256" s="4"/>
      <c r="K256" s="4">
        <f>IF(E256="","",IF(H256&lt;&gt;"",H256,"["&amp;E256&amp;"] "&amp;F256&amp;" → "&amp;G256)&amp;IF(I256&lt;&gt;""," ("&amp;I256&amp;")",""))</f>
      </c>
    </row>
    <row r="257" spans="1:11" x14ac:dyDescent="0.25">
      <c r="A257" s="5"/>
      <c r="B257" s="4"/>
      <c r="C257" s="6">
        <f>IFERROR(INDEX(Pacientes!$A:$A,MATCH($B257,Pacientes!$B:$B,0)),"")</f>
      </c>
      <c r="D257" s="6">
        <f>IFERROR(INDEX(Pacientes!$C:$C,MATCH($B257,Pacientes!$B:$B,0)),"")</f>
      </c>
      <c r="E257" s="4"/>
      <c r="F257" s="4"/>
      <c r="G257" s="4"/>
      <c r="H257" s="4"/>
      <c r="I257" s="4"/>
      <c r="J257" s="4"/>
      <c r="K257" s="4">
        <f>IF(E257="","",IF(H257&lt;&gt;"",H257,"["&amp;E257&amp;"] "&amp;F257&amp;" → "&amp;G257)&amp;IF(I257&lt;&gt;""," ("&amp;I257&amp;")",""))</f>
      </c>
    </row>
    <row r="258" spans="1:11" x14ac:dyDescent="0.25">
      <c r="A258" s="5"/>
      <c r="B258" s="4"/>
      <c r="C258" s="6">
        <f>IFERROR(INDEX(Pacientes!$A:$A,MATCH($B258,Pacientes!$B:$B,0)),"")</f>
      </c>
      <c r="D258" s="6">
        <f>IFERROR(INDEX(Pacientes!$C:$C,MATCH($B258,Pacientes!$B:$B,0)),"")</f>
      </c>
      <c r="E258" s="4"/>
      <c r="F258" s="4"/>
      <c r="G258" s="4"/>
      <c r="H258" s="4"/>
      <c r="I258" s="4"/>
      <c r="J258" s="4"/>
      <c r="K258" s="4">
        <f>IF(E258="","",IF(H258&lt;&gt;"",H258,"["&amp;E258&amp;"] "&amp;F258&amp;" → "&amp;G258)&amp;IF(I258&lt;&gt;""," ("&amp;I258&amp;")",""))</f>
      </c>
    </row>
    <row r="259" spans="1:11" x14ac:dyDescent="0.25">
      <c r="A259" s="5"/>
      <c r="B259" s="4"/>
      <c r="C259" s="6">
        <f>IFERROR(INDEX(Pacientes!$A:$A,MATCH($B259,Pacientes!$B:$B,0)),"")</f>
      </c>
      <c r="D259" s="6">
        <f>IFERROR(INDEX(Pacientes!$C:$C,MATCH($B259,Pacientes!$B:$B,0)),"")</f>
      </c>
      <c r="E259" s="4"/>
      <c r="F259" s="4"/>
      <c r="G259" s="4"/>
      <c r="H259" s="4"/>
      <c r="I259" s="4"/>
      <c r="J259" s="4"/>
      <c r="K259" s="4">
        <f>IF(E259="","",IF(H259&lt;&gt;"",H259,"["&amp;E259&amp;"] "&amp;F259&amp;" → "&amp;G259)&amp;IF(I259&lt;&gt;""," ("&amp;I259&amp;")",""))</f>
      </c>
    </row>
    <row r="260" spans="1:11" x14ac:dyDescent="0.25">
      <c r="A260" s="5"/>
      <c r="B260" s="4"/>
      <c r="C260" s="6">
        <f>IFERROR(INDEX(Pacientes!$A:$A,MATCH($B260,Pacientes!$B:$B,0)),"")</f>
      </c>
      <c r="D260" s="6">
        <f>IFERROR(INDEX(Pacientes!$C:$C,MATCH($B260,Pacientes!$B:$B,0)),"")</f>
      </c>
      <c r="E260" s="4"/>
      <c r="F260" s="4"/>
      <c r="G260" s="4"/>
      <c r="H260" s="4"/>
      <c r="I260" s="4"/>
      <c r="J260" s="4"/>
      <c r="K260" s="4">
        <f>IF(E260="","",IF(H260&lt;&gt;"",H260,"["&amp;E260&amp;"] "&amp;F260&amp;" → "&amp;G260)&amp;IF(I260&lt;&gt;""," ("&amp;I260&amp;")",""))</f>
      </c>
    </row>
    <row r="261" spans="1:11" x14ac:dyDescent="0.25">
      <c r="A261" s="5"/>
      <c r="B261" s="4"/>
      <c r="C261" s="6">
        <f>IFERROR(INDEX(Pacientes!$A:$A,MATCH($B261,Pacientes!$B:$B,0)),"")</f>
      </c>
      <c r="D261" s="6">
        <f>IFERROR(INDEX(Pacientes!$C:$C,MATCH($B261,Pacientes!$B:$B,0)),"")</f>
      </c>
      <c r="E261" s="4"/>
      <c r="F261" s="4"/>
      <c r="G261" s="4"/>
      <c r="H261" s="4"/>
      <c r="I261" s="4"/>
      <c r="J261" s="4"/>
      <c r="K261" s="4">
        <f>IF(E261="","",IF(H261&lt;&gt;"",H261,"["&amp;E261&amp;"] "&amp;F261&amp;" → "&amp;G261)&amp;IF(I261&lt;&gt;""," ("&amp;I261&amp;")",""))</f>
      </c>
    </row>
    <row r="262" spans="1:11" x14ac:dyDescent="0.25">
      <c r="A262" s="5"/>
      <c r="B262" s="4"/>
      <c r="C262" s="6">
        <f>IFERROR(INDEX(Pacientes!$A:$A,MATCH($B262,Pacientes!$B:$B,0)),"")</f>
      </c>
      <c r="D262" s="6">
        <f>IFERROR(INDEX(Pacientes!$C:$C,MATCH($B262,Pacientes!$B:$B,0)),"")</f>
      </c>
      <c r="E262" s="4"/>
      <c r="F262" s="4"/>
      <c r="G262" s="4"/>
      <c r="H262" s="4"/>
      <c r="I262" s="4"/>
      <c r="J262" s="4"/>
      <c r="K262" s="4">
        <f>IF(E262="","",IF(H262&lt;&gt;"",H262,"["&amp;E262&amp;"] "&amp;F262&amp;" → "&amp;G262)&amp;IF(I262&lt;&gt;""," ("&amp;I262&amp;")",""))</f>
      </c>
    </row>
    <row r="263" spans="1:11" x14ac:dyDescent="0.25">
      <c r="A263" s="5"/>
      <c r="B263" s="4"/>
      <c r="C263" s="6">
        <f>IFERROR(INDEX(Pacientes!$A:$A,MATCH($B263,Pacientes!$B:$B,0)),"")</f>
      </c>
      <c r="D263" s="6">
        <f>IFERROR(INDEX(Pacientes!$C:$C,MATCH($B263,Pacientes!$B:$B,0)),"")</f>
      </c>
      <c r="E263" s="4"/>
      <c r="F263" s="4"/>
      <c r="G263" s="4"/>
      <c r="H263" s="4"/>
      <c r="I263" s="4"/>
      <c r="J263" s="4"/>
      <c r="K263" s="4">
        <f>IF(E263="","",IF(H263&lt;&gt;"",H263,"["&amp;E263&amp;"] "&amp;F263&amp;" → "&amp;G263)&amp;IF(I263&lt;&gt;""," ("&amp;I263&amp;")",""))</f>
      </c>
    </row>
    <row r="264" spans="1:11" x14ac:dyDescent="0.25">
      <c r="A264" s="5"/>
      <c r="B264" s="4"/>
      <c r="C264" s="6">
        <f>IFERROR(INDEX(Pacientes!$A:$A,MATCH($B264,Pacientes!$B:$B,0)),"")</f>
      </c>
      <c r="D264" s="6">
        <f>IFERROR(INDEX(Pacientes!$C:$C,MATCH($B264,Pacientes!$B:$B,0)),"")</f>
      </c>
      <c r="E264" s="4"/>
      <c r="F264" s="4"/>
      <c r="G264" s="4"/>
      <c r="H264" s="4"/>
      <c r="I264" s="4"/>
      <c r="J264" s="4"/>
      <c r="K264" s="4">
        <f>IF(E264="","",IF(H264&lt;&gt;"",H264,"["&amp;E264&amp;"] "&amp;F264&amp;" → "&amp;G264)&amp;IF(I264&lt;&gt;""," ("&amp;I264&amp;")",""))</f>
      </c>
    </row>
    <row r="265" spans="1:11" x14ac:dyDescent="0.25">
      <c r="A265" s="5"/>
      <c r="B265" s="4"/>
      <c r="C265" s="6">
        <f>IFERROR(INDEX(Pacientes!$A:$A,MATCH($B265,Pacientes!$B:$B,0)),"")</f>
      </c>
      <c r="D265" s="6">
        <f>IFERROR(INDEX(Pacientes!$C:$C,MATCH($B265,Pacientes!$B:$B,0)),"")</f>
      </c>
      <c r="E265" s="4"/>
      <c r="F265" s="4"/>
      <c r="G265" s="4"/>
      <c r="H265" s="4"/>
      <c r="I265" s="4"/>
      <c r="J265" s="4"/>
      <c r="K265" s="4">
        <f>IF(E265="","",IF(H265&lt;&gt;"",H265,"["&amp;E265&amp;"] "&amp;F265&amp;" → "&amp;G265)&amp;IF(I265&lt;&gt;""," ("&amp;I265&amp;")",""))</f>
      </c>
    </row>
    <row r="266" spans="1:11" x14ac:dyDescent="0.25">
      <c r="A266" s="5"/>
      <c r="B266" s="4"/>
      <c r="C266" s="6">
        <f>IFERROR(INDEX(Pacientes!$A:$A,MATCH($B266,Pacientes!$B:$B,0)),"")</f>
      </c>
      <c r="D266" s="6">
        <f>IFERROR(INDEX(Pacientes!$C:$C,MATCH($B266,Pacientes!$B:$B,0)),"")</f>
      </c>
      <c r="E266" s="4"/>
      <c r="F266" s="4"/>
      <c r="G266" s="4"/>
      <c r="H266" s="4"/>
      <c r="I266" s="4"/>
      <c r="J266" s="4"/>
      <c r="K266" s="4">
        <f>IF(E266="","",IF(H266&lt;&gt;"",H266,"["&amp;E266&amp;"] "&amp;F266&amp;" → "&amp;G266)&amp;IF(I266&lt;&gt;""," ("&amp;I266&amp;")",""))</f>
      </c>
    </row>
    <row r="267" spans="1:11" x14ac:dyDescent="0.25">
      <c r="A267" s="5"/>
      <c r="B267" s="4"/>
      <c r="C267" s="6">
        <f>IFERROR(INDEX(Pacientes!$A:$A,MATCH($B267,Pacientes!$B:$B,0)),"")</f>
      </c>
      <c r="D267" s="6">
        <f>IFERROR(INDEX(Pacientes!$C:$C,MATCH($B267,Pacientes!$B:$B,0)),"")</f>
      </c>
      <c r="E267" s="4"/>
      <c r="F267" s="4"/>
      <c r="G267" s="4"/>
      <c r="H267" s="4"/>
      <c r="I267" s="4"/>
      <c r="J267" s="4"/>
      <c r="K267" s="4">
        <f>IF(E267="","",IF(H267&lt;&gt;"",H267,"["&amp;E267&amp;"] "&amp;F267&amp;" → "&amp;G267)&amp;IF(I267&lt;&gt;""," ("&amp;I267&amp;")",""))</f>
      </c>
    </row>
    <row r="268" spans="1:11" x14ac:dyDescent="0.25">
      <c r="A268" s="5"/>
      <c r="B268" s="4"/>
      <c r="C268" s="6">
        <f>IFERROR(INDEX(Pacientes!$A:$A,MATCH($B268,Pacientes!$B:$B,0)),"")</f>
      </c>
      <c r="D268" s="6">
        <f>IFERROR(INDEX(Pacientes!$C:$C,MATCH($B268,Pacientes!$B:$B,0)),"")</f>
      </c>
      <c r="E268" s="4"/>
      <c r="F268" s="4"/>
      <c r="G268" s="4"/>
      <c r="H268" s="4"/>
      <c r="I268" s="4"/>
      <c r="J268" s="4"/>
      <c r="K268" s="4">
        <f>IF(E268="","",IF(H268&lt;&gt;"",H268,"["&amp;E268&amp;"] "&amp;F268&amp;" → "&amp;G268)&amp;IF(I268&lt;&gt;""," ("&amp;I268&amp;")",""))</f>
      </c>
    </row>
    <row r="269" spans="1:11" x14ac:dyDescent="0.25">
      <c r="A269" s="5"/>
      <c r="B269" s="4"/>
      <c r="C269" s="6">
        <f>IFERROR(INDEX(Pacientes!$A:$A,MATCH($B269,Pacientes!$B:$B,0)),"")</f>
      </c>
      <c r="D269" s="6">
        <f>IFERROR(INDEX(Pacientes!$C:$C,MATCH($B269,Pacientes!$B:$B,0)),"")</f>
      </c>
      <c r="E269" s="4"/>
      <c r="F269" s="4"/>
      <c r="G269" s="4"/>
      <c r="H269" s="4"/>
      <c r="I269" s="4"/>
      <c r="J269" s="4"/>
      <c r="K269" s="4">
        <f>IF(E269="","",IF(H269&lt;&gt;"",H269,"["&amp;E269&amp;"] "&amp;F269&amp;" → "&amp;G269)&amp;IF(I269&lt;&gt;""," ("&amp;I269&amp;")",""))</f>
      </c>
    </row>
    <row r="270" spans="1:11" x14ac:dyDescent="0.25">
      <c r="A270" s="5"/>
      <c r="B270" s="4"/>
      <c r="C270" s="6">
        <f>IFERROR(INDEX(Pacientes!$A:$A,MATCH($B270,Pacientes!$B:$B,0)),"")</f>
      </c>
      <c r="D270" s="6">
        <f>IFERROR(INDEX(Pacientes!$C:$C,MATCH($B270,Pacientes!$B:$B,0)),"")</f>
      </c>
      <c r="E270" s="4"/>
      <c r="F270" s="4"/>
      <c r="G270" s="4"/>
      <c r="H270" s="4"/>
      <c r="I270" s="4"/>
      <c r="J270" s="4"/>
      <c r="K270" s="4">
        <f>IF(E270="","",IF(H270&lt;&gt;"",H270,"["&amp;E270&amp;"] "&amp;F270&amp;" → "&amp;G270)&amp;IF(I270&lt;&gt;""," ("&amp;I270&amp;")",""))</f>
      </c>
    </row>
    <row r="271" spans="1:11" x14ac:dyDescent="0.25">
      <c r="A271" s="5"/>
      <c r="B271" s="4"/>
      <c r="C271" s="6">
        <f>IFERROR(INDEX(Pacientes!$A:$A,MATCH($B271,Pacientes!$B:$B,0)),"")</f>
      </c>
      <c r="D271" s="6">
        <f>IFERROR(INDEX(Pacientes!$C:$C,MATCH($B271,Pacientes!$B:$B,0)),"")</f>
      </c>
      <c r="E271" s="4"/>
      <c r="F271" s="4"/>
      <c r="G271" s="4"/>
      <c r="H271" s="4"/>
      <c r="I271" s="4"/>
      <c r="J271" s="4"/>
      <c r="K271" s="4">
        <f>IF(E271="","",IF(H271&lt;&gt;"",H271,"["&amp;E271&amp;"] "&amp;F271&amp;" → "&amp;G271)&amp;IF(I271&lt;&gt;""," ("&amp;I271&amp;")",""))</f>
      </c>
    </row>
    <row r="272" spans="1:11" x14ac:dyDescent="0.25">
      <c r="A272" s="5"/>
      <c r="B272" s="4"/>
      <c r="C272" s="6">
        <f>IFERROR(INDEX(Pacientes!$A:$A,MATCH($B272,Pacientes!$B:$B,0)),"")</f>
      </c>
      <c r="D272" s="6">
        <f>IFERROR(INDEX(Pacientes!$C:$C,MATCH($B272,Pacientes!$B:$B,0)),"")</f>
      </c>
      <c r="E272" s="4"/>
      <c r="F272" s="4"/>
      <c r="G272" s="4"/>
      <c r="H272" s="4"/>
      <c r="I272" s="4"/>
      <c r="J272" s="4"/>
      <c r="K272" s="4">
        <f>IF(E272="","",IF(H272&lt;&gt;"",H272,"["&amp;E272&amp;"] "&amp;F272&amp;" → "&amp;G272)&amp;IF(I272&lt;&gt;""," ("&amp;I272&amp;")",""))</f>
      </c>
    </row>
    <row r="273" spans="1:11" x14ac:dyDescent="0.25">
      <c r="A273" s="5"/>
      <c r="B273" s="4"/>
      <c r="C273" s="6">
        <f>IFERROR(INDEX(Pacientes!$A:$A,MATCH($B273,Pacientes!$B:$B,0)),"")</f>
      </c>
      <c r="D273" s="6">
        <f>IFERROR(INDEX(Pacientes!$C:$C,MATCH($B273,Pacientes!$B:$B,0)),"")</f>
      </c>
      <c r="E273" s="4"/>
      <c r="F273" s="4"/>
      <c r="G273" s="4"/>
      <c r="H273" s="4"/>
      <c r="I273" s="4"/>
      <c r="J273" s="4"/>
      <c r="K273" s="4">
        <f>IF(E273="","",IF(H273&lt;&gt;"",H273,"["&amp;E273&amp;"] "&amp;F273&amp;" → "&amp;G273)&amp;IF(I273&lt;&gt;""," ("&amp;I273&amp;")",""))</f>
      </c>
    </row>
    <row r="274" spans="1:11" x14ac:dyDescent="0.25">
      <c r="A274" s="5"/>
      <c r="B274" s="4"/>
      <c r="C274" s="6">
        <f>IFERROR(INDEX(Pacientes!$A:$A,MATCH($B274,Pacientes!$B:$B,0)),"")</f>
      </c>
      <c r="D274" s="6">
        <f>IFERROR(INDEX(Pacientes!$C:$C,MATCH($B274,Pacientes!$B:$B,0)),"")</f>
      </c>
      <c r="E274" s="4"/>
      <c r="F274" s="4"/>
      <c r="G274" s="4"/>
      <c r="H274" s="4"/>
      <c r="I274" s="4"/>
      <c r="J274" s="4"/>
      <c r="K274" s="4">
        <f>IF(E274="","",IF(H274&lt;&gt;"",H274,"["&amp;E274&amp;"] "&amp;F274&amp;" → "&amp;G274)&amp;IF(I274&lt;&gt;""," ("&amp;I274&amp;")",""))</f>
      </c>
    </row>
    <row r="275" spans="1:11" x14ac:dyDescent="0.25">
      <c r="A275" s="5"/>
      <c r="B275" s="4"/>
      <c r="C275" s="6">
        <f>IFERROR(INDEX(Pacientes!$A:$A,MATCH($B275,Pacientes!$B:$B,0)),"")</f>
      </c>
      <c r="D275" s="6">
        <f>IFERROR(INDEX(Pacientes!$C:$C,MATCH($B275,Pacientes!$B:$B,0)),"")</f>
      </c>
      <c r="E275" s="4"/>
      <c r="F275" s="4"/>
      <c r="G275" s="4"/>
      <c r="H275" s="4"/>
      <c r="I275" s="4"/>
      <c r="J275" s="4"/>
      <c r="K275" s="4">
        <f>IF(E275="","",IF(H275&lt;&gt;"",H275,"["&amp;E275&amp;"] "&amp;F275&amp;" → "&amp;G275)&amp;IF(I275&lt;&gt;""," ("&amp;I275&amp;")",""))</f>
      </c>
    </row>
    <row r="276" spans="1:11" x14ac:dyDescent="0.25">
      <c r="A276" s="5"/>
      <c r="B276" s="4"/>
      <c r="C276" s="6">
        <f>IFERROR(INDEX(Pacientes!$A:$A,MATCH($B276,Pacientes!$B:$B,0)),"")</f>
      </c>
      <c r="D276" s="6">
        <f>IFERROR(INDEX(Pacientes!$C:$C,MATCH($B276,Pacientes!$B:$B,0)),"")</f>
      </c>
      <c r="E276" s="4"/>
      <c r="F276" s="4"/>
      <c r="G276" s="4"/>
      <c r="H276" s="4"/>
      <c r="I276" s="4"/>
      <c r="J276" s="4"/>
      <c r="K276" s="4">
        <f>IF(E276="","",IF(H276&lt;&gt;"",H276,"["&amp;E276&amp;"] "&amp;F276&amp;" → "&amp;G276)&amp;IF(I276&lt;&gt;""," ("&amp;I276&amp;")",""))</f>
      </c>
    </row>
    <row r="277" spans="1:11" x14ac:dyDescent="0.25">
      <c r="A277" s="5"/>
      <c r="B277" s="4"/>
      <c r="C277" s="6">
        <f>IFERROR(INDEX(Pacientes!$A:$A,MATCH($B277,Pacientes!$B:$B,0)),"")</f>
      </c>
      <c r="D277" s="6">
        <f>IFERROR(INDEX(Pacientes!$C:$C,MATCH($B277,Pacientes!$B:$B,0)),"")</f>
      </c>
      <c r="E277" s="4"/>
      <c r="F277" s="4"/>
      <c r="G277" s="4"/>
      <c r="H277" s="4"/>
      <c r="I277" s="4"/>
      <c r="J277" s="4"/>
      <c r="K277" s="4">
        <f>IF(E277="","",IF(H277&lt;&gt;"",H277,"["&amp;E277&amp;"] "&amp;F277&amp;" → "&amp;G277)&amp;IF(I277&lt;&gt;""," ("&amp;I277&amp;")",""))</f>
      </c>
    </row>
    <row r="278" spans="1:11" x14ac:dyDescent="0.25">
      <c r="A278" s="5"/>
      <c r="B278" s="4"/>
      <c r="C278" s="6">
        <f>IFERROR(INDEX(Pacientes!$A:$A,MATCH($B278,Pacientes!$B:$B,0)),"")</f>
      </c>
      <c r="D278" s="6">
        <f>IFERROR(INDEX(Pacientes!$C:$C,MATCH($B278,Pacientes!$B:$B,0)),"")</f>
      </c>
      <c r="E278" s="4"/>
      <c r="F278" s="4"/>
      <c r="G278" s="4"/>
      <c r="H278" s="4"/>
      <c r="I278" s="4"/>
      <c r="J278" s="4"/>
      <c r="K278" s="4">
        <f>IF(E278="","",IF(H278&lt;&gt;"",H278,"["&amp;E278&amp;"] "&amp;F278&amp;" → "&amp;G278)&amp;IF(I278&lt;&gt;""," ("&amp;I278&amp;")",""))</f>
      </c>
    </row>
    <row r="279" spans="1:11" x14ac:dyDescent="0.25">
      <c r="A279" s="5"/>
      <c r="B279" s="4"/>
      <c r="C279" s="6">
        <f>IFERROR(INDEX(Pacientes!$A:$A,MATCH($B279,Pacientes!$B:$B,0)),"")</f>
      </c>
      <c r="D279" s="6">
        <f>IFERROR(INDEX(Pacientes!$C:$C,MATCH($B279,Pacientes!$B:$B,0)),"")</f>
      </c>
      <c r="E279" s="4"/>
      <c r="F279" s="4"/>
      <c r="G279" s="4"/>
      <c r="H279" s="4"/>
      <c r="I279" s="4"/>
      <c r="J279" s="4"/>
      <c r="K279" s="4">
        <f>IF(E279="","",IF(H279&lt;&gt;"",H279,"["&amp;E279&amp;"] "&amp;F279&amp;" → "&amp;G279)&amp;IF(I279&lt;&gt;""," ("&amp;I279&amp;")",""))</f>
      </c>
    </row>
    <row r="280" spans="1:11" x14ac:dyDescent="0.25">
      <c r="A280" s="5"/>
      <c r="B280" s="4"/>
      <c r="C280" s="6">
        <f>IFERROR(INDEX(Pacientes!$A:$A,MATCH($B280,Pacientes!$B:$B,0)),"")</f>
      </c>
      <c r="D280" s="6">
        <f>IFERROR(INDEX(Pacientes!$C:$C,MATCH($B280,Pacientes!$B:$B,0)),"")</f>
      </c>
      <c r="E280" s="4"/>
      <c r="F280" s="4"/>
      <c r="G280" s="4"/>
      <c r="H280" s="4"/>
      <c r="I280" s="4"/>
      <c r="J280" s="4"/>
      <c r="K280" s="4">
        <f>IF(E280="","",IF(H280&lt;&gt;"",H280,"["&amp;E280&amp;"] "&amp;F280&amp;" → "&amp;G280)&amp;IF(I280&lt;&gt;""," ("&amp;I280&amp;")",""))</f>
      </c>
    </row>
    <row r="281" spans="1:11" x14ac:dyDescent="0.25">
      <c r="A281" s="5"/>
      <c r="B281" s="4"/>
      <c r="C281" s="6">
        <f>IFERROR(INDEX(Pacientes!$A:$A,MATCH($B281,Pacientes!$B:$B,0)),"")</f>
      </c>
      <c r="D281" s="6">
        <f>IFERROR(INDEX(Pacientes!$C:$C,MATCH($B281,Pacientes!$B:$B,0)),"")</f>
      </c>
      <c r="E281" s="4"/>
      <c r="F281" s="4"/>
      <c r="G281" s="4"/>
      <c r="H281" s="4"/>
      <c r="I281" s="4"/>
      <c r="J281" s="4"/>
      <c r="K281" s="4">
        <f>IF(E281="","",IF(H281&lt;&gt;"",H281,"["&amp;E281&amp;"] "&amp;F281&amp;" → "&amp;G281)&amp;IF(I281&lt;&gt;""," ("&amp;I281&amp;")",""))</f>
      </c>
    </row>
    <row r="282" spans="1:11" x14ac:dyDescent="0.25">
      <c r="A282" s="5"/>
      <c r="B282" s="4"/>
      <c r="C282" s="6">
        <f>IFERROR(INDEX(Pacientes!$A:$A,MATCH($B282,Pacientes!$B:$B,0)),"")</f>
      </c>
      <c r="D282" s="6">
        <f>IFERROR(INDEX(Pacientes!$C:$C,MATCH($B282,Pacientes!$B:$B,0)),"")</f>
      </c>
      <c r="E282" s="4"/>
      <c r="F282" s="4"/>
      <c r="G282" s="4"/>
      <c r="H282" s="4"/>
      <c r="I282" s="4"/>
      <c r="J282" s="4"/>
      <c r="K282" s="4">
        <f>IF(E282="","",IF(H282&lt;&gt;"",H282,"["&amp;E282&amp;"] "&amp;F282&amp;" → "&amp;G282)&amp;IF(I282&lt;&gt;""," ("&amp;I282&amp;")",""))</f>
      </c>
    </row>
    <row r="283" spans="1:11" x14ac:dyDescent="0.25">
      <c r="A283" s="5"/>
      <c r="B283" s="4"/>
      <c r="C283" s="6">
        <f>IFERROR(INDEX(Pacientes!$A:$A,MATCH($B283,Pacientes!$B:$B,0)),"")</f>
      </c>
      <c r="D283" s="6">
        <f>IFERROR(INDEX(Pacientes!$C:$C,MATCH($B283,Pacientes!$B:$B,0)),"")</f>
      </c>
      <c r="E283" s="4"/>
      <c r="F283" s="4"/>
      <c r="G283" s="4"/>
      <c r="H283" s="4"/>
      <c r="I283" s="4"/>
      <c r="J283" s="4"/>
      <c r="K283" s="4">
        <f>IF(E283="","",IF(H283&lt;&gt;"",H283,"["&amp;E283&amp;"] "&amp;F283&amp;" → "&amp;G283)&amp;IF(I283&lt;&gt;""," ("&amp;I283&amp;")",""))</f>
      </c>
    </row>
    <row r="284" spans="1:11" x14ac:dyDescent="0.25">
      <c r="A284" s="5"/>
      <c r="B284" s="4"/>
      <c r="C284" s="6">
        <f>IFERROR(INDEX(Pacientes!$A:$A,MATCH($B284,Pacientes!$B:$B,0)),"")</f>
      </c>
      <c r="D284" s="6">
        <f>IFERROR(INDEX(Pacientes!$C:$C,MATCH($B284,Pacientes!$B:$B,0)),"")</f>
      </c>
      <c r="E284" s="4"/>
      <c r="F284" s="4"/>
      <c r="G284" s="4"/>
      <c r="H284" s="4"/>
      <c r="I284" s="4"/>
      <c r="J284" s="4"/>
      <c r="K284" s="4">
        <f>IF(E284="","",IF(H284&lt;&gt;"",H284,"["&amp;E284&amp;"] "&amp;F284&amp;" → "&amp;G284)&amp;IF(I284&lt;&gt;""," ("&amp;I284&amp;")",""))</f>
      </c>
    </row>
    <row r="285" spans="1:11" x14ac:dyDescent="0.25">
      <c r="A285" s="5"/>
      <c r="B285" s="4"/>
      <c r="C285" s="6">
        <f>IFERROR(INDEX(Pacientes!$A:$A,MATCH($B285,Pacientes!$B:$B,0)),"")</f>
      </c>
      <c r="D285" s="6">
        <f>IFERROR(INDEX(Pacientes!$C:$C,MATCH($B285,Pacientes!$B:$B,0)),"")</f>
      </c>
      <c r="E285" s="4"/>
      <c r="F285" s="4"/>
      <c r="G285" s="4"/>
      <c r="H285" s="4"/>
      <c r="I285" s="4"/>
      <c r="J285" s="4"/>
      <c r="K285" s="4">
        <f>IF(E285="","",IF(H285&lt;&gt;"",H285,"["&amp;E285&amp;"] "&amp;F285&amp;" → "&amp;G285)&amp;IF(I285&lt;&gt;""," ("&amp;I285&amp;")",""))</f>
      </c>
    </row>
    <row r="286" spans="1:11" x14ac:dyDescent="0.25">
      <c r="A286" s="5"/>
      <c r="B286" s="4"/>
      <c r="C286" s="6">
        <f>IFERROR(INDEX(Pacientes!$A:$A,MATCH($B286,Pacientes!$B:$B,0)),"")</f>
      </c>
      <c r="D286" s="6">
        <f>IFERROR(INDEX(Pacientes!$C:$C,MATCH($B286,Pacientes!$B:$B,0)),"")</f>
      </c>
      <c r="E286" s="4"/>
      <c r="F286" s="4"/>
      <c r="G286" s="4"/>
      <c r="H286" s="4"/>
      <c r="I286" s="4"/>
      <c r="J286" s="4"/>
      <c r="K286" s="4">
        <f>IF(E286="","",IF(H286&lt;&gt;"",H286,"["&amp;E286&amp;"] "&amp;F286&amp;" → "&amp;G286)&amp;IF(I286&lt;&gt;""," ("&amp;I286&amp;")",""))</f>
      </c>
    </row>
    <row r="287" spans="1:11" x14ac:dyDescent="0.25">
      <c r="A287" s="5"/>
      <c r="B287" s="4"/>
      <c r="C287" s="6">
        <f>IFERROR(INDEX(Pacientes!$A:$A,MATCH($B287,Pacientes!$B:$B,0)),"")</f>
      </c>
      <c r="D287" s="6">
        <f>IFERROR(INDEX(Pacientes!$C:$C,MATCH($B287,Pacientes!$B:$B,0)),"")</f>
      </c>
      <c r="E287" s="4"/>
      <c r="F287" s="4"/>
      <c r="G287" s="4"/>
      <c r="H287" s="4"/>
      <c r="I287" s="4"/>
      <c r="J287" s="4"/>
      <c r="K287" s="4">
        <f>IF(E287="","",IF(H287&lt;&gt;"",H287,"["&amp;E287&amp;"] "&amp;F287&amp;" → "&amp;G287)&amp;IF(I287&lt;&gt;""," ("&amp;I287&amp;")",""))</f>
      </c>
    </row>
    <row r="288" spans="1:11" x14ac:dyDescent="0.25">
      <c r="A288" s="5"/>
      <c r="B288" s="4"/>
      <c r="C288" s="6">
        <f>IFERROR(INDEX(Pacientes!$A:$A,MATCH($B288,Pacientes!$B:$B,0)),"")</f>
      </c>
      <c r="D288" s="6">
        <f>IFERROR(INDEX(Pacientes!$C:$C,MATCH($B288,Pacientes!$B:$B,0)),"")</f>
      </c>
      <c r="E288" s="4"/>
      <c r="F288" s="4"/>
      <c r="G288" s="4"/>
      <c r="H288" s="4"/>
      <c r="I288" s="4"/>
      <c r="J288" s="4"/>
      <c r="K288" s="4">
        <f>IF(E288="","",IF(H288&lt;&gt;"",H288,"["&amp;E288&amp;"] "&amp;F288&amp;" → "&amp;G288)&amp;IF(I288&lt;&gt;""," ("&amp;I288&amp;")",""))</f>
      </c>
    </row>
    <row r="289" spans="1:11" x14ac:dyDescent="0.25">
      <c r="A289" s="5"/>
      <c r="B289" s="4"/>
      <c r="C289" s="6">
        <f>IFERROR(INDEX(Pacientes!$A:$A,MATCH($B289,Pacientes!$B:$B,0)),"")</f>
      </c>
      <c r="D289" s="6">
        <f>IFERROR(INDEX(Pacientes!$C:$C,MATCH($B289,Pacientes!$B:$B,0)),"")</f>
      </c>
      <c r="E289" s="4"/>
      <c r="F289" s="4"/>
      <c r="G289" s="4"/>
      <c r="H289" s="4"/>
      <c r="I289" s="4"/>
      <c r="J289" s="4"/>
      <c r="K289" s="4">
        <f>IF(E289="","",IF(H289&lt;&gt;"",H289,"["&amp;E289&amp;"] "&amp;F289&amp;" → "&amp;G289)&amp;IF(I289&lt;&gt;""," ("&amp;I289&amp;")",""))</f>
      </c>
    </row>
    <row r="290" spans="1:11" x14ac:dyDescent="0.25">
      <c r="A290" s="5"/>
      <c r="B290" s="4"/>
      <c r="C290" s="6">
        <f>IFERROR(INDEX(Pacientes!$A:$A,MATCH($B290,Pacientes!$B:$B,0)),"")</f>
      </c>
      <c r="D290" s="6">
        <f>IFERROR(INDEX(Pacientes!$C:$C,MATCH($B290,Pacientes!$B:$B,0)),"")</f>
      </c>
      <c r="E290" s="4"/>
      <c r="F290" s="4"/>
      <c r="G290" s="4"/>
      <c r="H290" s="4"/>
      <c r="I290" s="4"/>
      <c r="J290" s="4"/>
      <c r="K290" s="4">
        <f>IF(E290="","",IF(H290&lt;&gt;"",H290,"["&amp;E290&amp;"] "&amp;F290&amp;" → "&amp;G290)&amp;IF(I290&lt;&gt;""," ("&amp;I290&amp;")",""))</f>
      </c>
    </row>
    <row r="291" spans="1:11" x14ac:dyDescent="0.25">
      <c r="A291" s="5"/>
      <c r="B291" s="4"/>
      <c r="C291" s="6">
        <f>IFERROR(INDEX(Pacientes!$A:$A,MATCH($B291,Pacientes!$B:$B,0)),"")</f>
      </c>
      <c r="D291" s="6">
        <f>IFERROR(INDEX(Pacientes!$C:$C,MATCH($B291,Pacientes!$B:$B,0)),"")</f>
      </c>
      <c r="E291" s="4"/>
      <c r="F291" s="4"/>
      <c r="G291" s="4"/>
      <c r="H291" s="4"/>
      <c r="I291" s="4"/>
      <c r="J291" s="4"/>
      <c r="K291" s="4">
        <f>IF(E291="","",IF(H291&lt;&gt;"",H291,"["&amp;E291&amp;"] "&amp;F291&amp;" → "&amp;G291)&amp;IF(I291&lt;&gt;""," ("&amp;I291&amp;")",""))</f>
      </c>
    </row>
    <row r="292" spans="1:11" x14ac:dyDescent="0.25">
      <c r="A292" s="5"/>
      <c r="B292" s="4"/>
      <c r="C292" s="6">
        <f>IFERROR(INDEX(Pacientes!$A:$A,MATCH($B292,Pacientes!$B:$B,0)),"")</f>
      </c>
      <c r="D292" s="6">
        <f>IFERROR(INDEX(Pacientes!$C:$C,MATCH($B292,Pacientes!$B:$B,0)),"")</f>
      </c>
      <c r="E292" s="4"/>
      <c r="F292" s="4"/>
      <c r="G292" s="4"/>
      <c r="H292" s="4"/>
      <c r="I292" s="4"/>
      <c r="J292" s="4"/>
      <c r="K292" s="4">
        <f>IF(E292="","",IF(H292&lt;&gt;"",H292,"["&amp;E292&amp;"] "&amp;F292&amp;" → "&amp;G292)&amp;IF(I292&lt;&gt;""," ("&amp;I292&amp;")",""))</f>
      </c>
    </row>
    <row r="293" spans="1:11" x14ac:dyDescent="0.25">
      <c r="A293" s="5"/>
      <c r="B293" s="4"/>
      <c r="C293" s="6">
        <f>IFERROR(INDEX(Pacientes!$A:$A,MATCH($B293,Pacientes!$B:$B,0)),"")</f>
      </c>
      <c r="D293" s="6">
        <f>IFERROR(INDEX(Pacientes!$C:$C,MATCH($B293,Pacientes!$B:$B,0)),"")</f>
      </c>
      <c r="E293" s="4"/>
      <c r="F293" s="4"/>
      <c r="G293" s="4"/>
      <c r="H293" s="4"/>
      <c r="I293" s="4"/>
      <c r="J293" s="4"/>
      <c r="K293" s="4">
        <f>IF(E293="","",IF(H293&lt;&gt;"",H293,"["&amp;E293&amp;"] "&amp;F293&amp;" → "&amp;G293)&amp;IF(I293&lt;&gt;""," ("&amp;I293&amp;")",""))</f>
      </c>
    </row>
    <row r="294" spans="1:11" x14ac:dyDescent="0.25">
      <c r="A294" s="5"/>
      <c r="B294" s="4"/>
      <c r="C294" s="6">
        <f>IFERROR(INDEX(Pacientes!$A:$A,MATCH($B294,Pacientes!$B:$B,0)),"")</f>
      </c>
      <c r="D294" s="6">
        <f>IFERROR(INDEX(Pacientes!$C:$C,MATCH($B294,Pacientes!$B:$B,0)),"")</f>
      </c>
      <c r="E294" s="4"/>
      <c r="F294" s="4"/>
      <c r="G294" s="4"/>
      <c r="H294" s="4"/>
      <c r="I294" s="4"/>
      <c r="J294" s="4"/>
      <c r="K294" s="4">
        <f>IF(E294="","",IF(H294&lt;&gt;"",H294,"["&amp;E294&amp;"] "&amp;F294&amp;" → "&amp;G294)&amp;IF(I294&lt;&gt;""," ("&amp;I294&amp;")",""))</f>
      </c>
    </row>
    <row r="295" spans="1:11" x14ac:dyDescent="0.25">
      <c r="A295" s="5"/>
      <c r="B295" s="4"/>
      <c r="C295" s="6">
        <f>IFERROR(INDEX(Pacientes!$A:$A,MATCH($B295,Pacientes!$B:$B,0)),"")</f>
      </c>
      <c r="D295" s="6">
        <f>IFERROR(INDEX(Pacientes!$C:$C,MATCH($B295,Pacientes!$B:$B,0)),"")</f>
      </c>
      <c r="E295" s="4"/>
      <c r="F295" s="4"/>
      <c r="G295" s="4"/>
      <c r="H295" s="4"/>
      <c r="I295" s="4"/>
      <c r="J295" s="4"/>
      <c r="K295" s="4">
        <f>IF(E295="","",IF(H295&lt;&gt;"",H295,"["&amp;E295&amp;"] "&amp;F295&amp;" → "&amp;G295)&amp;IF(I295&lt;&gt;""," ("&amp;I295&amp;")",""))</f>
      </c>
    </row>
    <row r="296" spans="1:11" x14ac:dyDescent="0.25">
      <c r="A296" s="5"/>
      <c r="B296" s="4"/>
      <c r="C296" s="6">
        <f>IFERROR(INDEX(Pacientes!$A:$A,MATCH($B296,Pacientes!$B:$B,0)),"")</f>
      </c>
      <c r="D296" s="6">
        <f>IFERROR(INDEX(Pacientes!$C:$C,MATCH($B296,Pacientes!$B:$B,0)),"")</f>
      </c>
      <c r="E296" s="4"/>
      <c r="F296" s="4"/>
      <c r="G296" s="4"/>
      <c r="H296" s="4"/>
      <c r="I296" s="4"/>
      <c r="J296" s="4"/>
      <c r="K296" s="4">
        <f>IF(E296="","",IF(H296&lt;&gt;"",H296,"["&amp;E296&amp;"] "&amp;F296&amp;" → "&amp;G296)&amp;IF(I296&lt;&gt;""," ("&amp;I296&amp;")",""))</f>
      </c>
    </row>
    <row r="297" spans="1:11" x14ac:dyDescent="0.25">
      <c r="A297" s="5"/>
      <c r="B297" s="4"/>
      <c r="C297" s="6">
        <f>IFERROR(INDEX(Pacientes!$A:$A,MATCH($B297,Pacientes!$B:$B,0)),"")</f>
      </c>
      <c r="D297" s="6">
        <f>IFERROR(INDEX(Pacientes!$C:$C,MATCH($B297,Pacientes!$B:$B,0)),"")</f>
      </c>
      <c r="E297" s="4"/>
      <c r="F297" s="4"/>
      <c r="G297" s="4"/>
      <c r="H297" s="4"/>
      <c r="I297" s="4"/>
      <c r="J297" s="4"/>
      <c r="K297" s="4">
        <f>IF(E297="","",IF(H297&lt;&gt;"",H297,"["&amp;E297&amp;"] "&amp;F297&amp;" → "&amp;G297)&amp;IF(I297&lt;&gt;""," ("&amp;I297&amp;")",""))</f>
      </c>
    </row>
    <row r="298" spans="1:11" x14ac:dyDescent="0.25">
      <c r="A298" s="5"/>
      <c r="B298" s="4"/>
      <c r="C298" s="6">
        <f>IFERROR(INDEX(Pacientes!$A:$A,MATCH($B298,Pacientes!$B:$B,0)),"")</f>
      </c>
      <c r="D298" s="6">
        <f>IFERROR(INDEX(Pacientes!$C:$C,MATCH($B298,Pacientes!$B:$B,0)),"")</f>
      </c>
      <c r="E298" s="4"/>
      <c r="F298" s="4"/>
      <c r="G298" s="4"/>
      <c r="H298" s="4"/>
      <c r="I298" s="4"/>
      <c r="J298" s="4"/>
      <c r="K298" s="4">
        <f>IF(E298="","",IF(H298&lt;&gt;"",H298,"["&amp;E298&amp;"] "&amp;F298&amp;" → "&amp;G298)&amp;IF(I298&lt;&gt;""," ("&amp;I298&amp;")",""))</f>
      </c>
    </row>
    <row r="299" spans="1:11" x14ac:dyDescent="0.25">
      <c r="A299" s="5"/>
      <c r="B299" s="4"/>
      <c r="C299" s="6">
        <f>IFERROR(INDEX(Pacientes!$A:$A,MATCH($B299,Pacientes!$B:$B,0)),"")</f>
      </c>
      <c r="D299" s="6">
        <f>IFERROR(INDEX(Pacientes!$C:$C,MATCH($B299,Pacientes!$B:$B,0)),"")</f>
      </c>
      <c r="E299" s="4"/>
      <c r="F299" s="4"/>
      <c r="G299" s="4"/>
      <c r="H299" s="4"/>
      <c r="I299" s="4"/>
      <c r="J299" s="4"/>
      <c r="K299" s="4">
        <f>IF(E299="","",IF(H299&lt;&gt;"",H299,"["&amp;E299&amp;"] "&amp;F299&amp;" → "&amp;G299)&amp;IF(I299&lt;&gt;""," ("&amp;I299&amp;")",""))</f>
      </c>
    </row>
    <row r="300" spans="1:11" x14ac:dyDescent="0.25">
      <c r="A300" s="5"/>
      <c r="B300" s="4"/>
      <c r="C300" s="6">
        <f>IFERROR(INDEX(Pacientes!$A:$A,MATCH($B300,Pacientes!$B:$B,0)),"")</f>
      </c>
      <c r="D300" s="6">
        <f>IFERROR(INDEX(Pacientes!$C:$C,MATCH($B300,Pacientes!$B:$B,0)),"")</f>
      </c>
      <c r="E300" s="4"/>
      <c r="F300" s="4"/>
      <c r="G300" s="4"/>
      <c r="H300" s="4"/>
      <c r="I300" s="4"/>
      <c r="J300" s="4"/>
      <c r="K300" s="4">
        <f>IF(E300="","",IF(H300&lt;&gt;"",H300,"["&amp;E300&amp;"] "&amp;F300&amp;" → "&amp;G300)&amp;IF(I300&lt;&gt;""," ("&amp;I300&amp;")",""))</f>
      </c>
    </row>
  </sheetData>
  <conditionalFormatting sqref="A2:K300">
    <cfRule type="expression" dxfId="3" priority="10">
      <formula>MOD(ROW(),2)=0</formula>
    </cfRule>
  </conditionalFormatting>
  <conditionalFormatting sqref="I2:I300">
    <cfRule type="containsText" dxfId="4" priority="1">
      <formula>NOT(ISERROR(SEARCH("Aceita",I2)))</formula>
    </cfRule>
    <cfRule type="containsText" dxfId="5" priority="2">
      <formula>NOT(ISERROR(SEARCH("Pendente",I2)))</formula>
    </cfRule>
    <cfRule type="containsText" dxfId="6" priority="3">
      <formula>NOT(ISERROR(SEARCH("Não aceita",I2)))</formula>
    </cfRule>
  </conditionalFormatting>
  <dataValidations count="606">
    <dataValidation type="list" allowBlank="1" sqref="B10:B300">
      <formula1>Pacientes!$B$2:$B$300</formula1>
    </dataValidation>
    <dataValidation type="list" allowBlank="1" sqref="B2:B300">
      <formula1>Pacientes!$B$2:$B$300</formula1>
    </dataValidation>
    <dataValidation type="list" allowBlank="1" sqref="E10:E300">
      <formula1>Listas!$J$2:$J$13</formula1>
    </dataValidation>
    <dataValidation type="list" allowBlank="1" sqref="E2:E300">
      <formula1>Listas!$J$2:$J$13</formula1>
    </dataValidation>
    <dataValidation type="list" allowBlank="1" sqref="F10">
      <formula1>INDIRECT("Cat"&amp;MATCH($E10,Listas!$J$2:$J$13,0)&amp;"_Motivos")</formula1>
    </dataValidation>
    <dataValidation type="list" allowBlank="1" sqref="F100">
      <formula1>INDIRECT("Cat"&amp;MATCH($E100,Listas!$J$2:$J$13,0)&amp;"_Motivos")</formula1>
    </dataValidation>
    <dataValidation type="list" allowBlank="1" sqref="F101">
      <formula1>INDIRECT("Cat"&amp;MATCH($E101,Listas!$J$2:$J$13,0)&amp;"_Motivos")</formula1>
    </dataValidation>
    <dataValidation type="list" allowBlank="1" sqref="F102">
      <formula1>INDIRECT("Cat"&amp;MATCH($E102,Listas!$J$2:$J$13,0)&amp;"_Motivos")</formula1>
    </dataValidation>
    <dataValidation type="list" allowBlank="1" sqref="F103">
      <formula1>INDIRECT("Cat"&amp;MATCH($E103,Listas!$J$2:$J$13,0)&amp;"_Motivos")</formula1>
    </dataValidation>
    <dataValidation type="list" allowBlank="1" sqref="F104">
      <formula1>INDIRECT("Cat"&amp;MATCH($E104,Listas!$J$2:$J$13,0)&amp;"_Motivos")</formula1>
    </dataValidation>
    <dataValidation type="list" allowBlank="1" sqref="F105">
      <formula1>INDIRECT("Cat"&amp;MATCH($E105,Listas!$J$2:$J$13,0)&amp;"_Motivos")</formula1>
    </dataValidation>
    <dataValidation type="list" allowBlank="1" sqref="F106">
      <formula1>INDIRECT("Cat"&amp;MATCH($E106,Listas!$J$2:$J$13,0)&amp;"_Motivos")</formula1>
    </dataValidation>
    <dataValidation type="list" allowBlank="1" sqref="F107">
      <formula1>INDIRECT("Cat"&amp;MATCH($E107,Listas!$J$2:$J$13,0)&amp;"_Motivos")</formula1>
    </dataValidation>
    <dataValidation type="list" allowBlank="1" sqref="F108">
      <formula1>INDIRECT("Cat"&amp;MATCH($E108,Listas!$J$2:$J$13,0)&amp;"_Motivos")</formula1>
    </dataValidation>
    <dataValidation type="list" allowBlank="1" sqref="F109">
      <formula1>INDIRECT("Cat"&amp;MATCH($E109,Listas!$J$2:$J$13,0)&amp;"_Motivos")</formula1>
    </dataValidation>
    <dataValidation type="list" allowBlank="1" sqref="F11">
      <formula1>INDIRECT("Cat"&amp;MATCH($E11,Listas!$J$2:$J$13,0)&amp;"_Motivos")</formula1>
    </dataValidation>
    <dataValidation type="list" allowBlank="1" sqref="F110">
      <formula1>INDIRECT("Cat"&amp;MATCH($E110,Listas!$J$2:$J$13,0)&amp;"_Motivos")</formula1>
    </dataValidation>
    <dataValidation type="list" allowBlank="1" sqref="F111">
      <formula1>INDIRECT("Cat"&amp;MATCH($E111,Listas!$J$2:$J$13,0)&amp;"_Motivos")</formula1>
    </dataValidation>
    <dataValidation type="list" allowBlank="1" sqref="F112">
      <formula1>INDIRECT("Cat"&amp;MATCH($E112,Listas!$J$2:$J$13,0)&amp;"_Motivos")</formula1>
    </dataValidation>
    <dataValidation type="list" allowBlank="1" sqref="F113">
      <formula1>INDIRECT("Cat"&amp;MATCH($E113,Listas!$J$2:$J$13,0)&amp;"_Motivos")</formula1>
    </dataValidation>
    <dataValidation type="list" allowBlank="1" sqref="F114">
      <formula1>INDIRECT("Cat"&amp;MATCH($E114,Listas!$J$2:$J$13,0)&amp;"_Motivos")</formula1>
    </dataValidation>
    <dataValidation type="list" allowBlank="1" sqref="F115">
      <formula1>INDIRECT("Cat"&amp;MATCH($E115,Listas!$J$2:$J$13,0)&amp;"_Motivos")</formula1>
    </dataValidation>
    <dataValidation type="list" allowBlank="1" sqref="F116">
      <formula1>INDIRECT("Cat"&amp;MATCH($E116,Listas!$J$2:$J$13,0)&amp;"_Motivos")</formula1>
    </dataValidation>
    <dataValidation type="list" allowBlank="1" sqref="F117">
      <formula1>INDIRECT("Cat"&amp;MATCH($E117,Listas!$J$2:$J$13,0)&amp;"_Motivos")</formula1>
    </dataValidation>
    <dataValidation type="list" allowBlank="1" sqref="F118">
      <formula1>INDIRECT("Cat"&amp;MATCH($E118,Listas!$J$2:$J$13,0)&amp;"_Motivos")</formula1>
    </dataValidation>
    <dataValidation type="list" allowBlank="1" sqref="F119">
      <formula1>INDIRECT("Cat"&amp;MATCH($E119,Listas!$J$2:$J$13,0)&amp;"_Motivos")</formula1>
    </dataValidation>
    <dataValidation type="list" allowBlank="1" sqref="F12">
      <formula1>INDIRECT("Cat"&amp;MATCH($E12,Listas!$J$2:$J$13,0)&amp;"_Motivos")</formula1>
    </dataValidation>
    <dataValidation type="list" allowBlank="1" sqref="F120">
      <formula1>INDIRECT("Cat"&amp;MATCH($E120,Listas!$J$2:$J$13,0)&amp;"_Motivos")</formula1>
    </dataValidation>
    <dataValidation type="list" allowBlank="1" sqref="F121">
      <formula1>INDIRECT("Cat"&amp;MATCH($E121,Listas!$J$2:$J$13,0)&amp;"_Motivos")</formula1>
    </dataValidation>
    <dataValidation type="list" allowBlank="1" sqref="F122">
      <formula1>INDIRECT("Cat"&amp;MATCH($E122,Listas!$J$2:$J$13,0)&amp;"_Motivos")</formula1>
    </dataValidation>
    <dataValidation type="list" allowBlank="1" sqref="F123">
      <formula1>INDIRECT("Cat"&amp;MATCH($E123,Listas!$J$2:$J$13,0)&amp;"_Motivos")</formula1>
    </dataValidation>
    <dataValidation type="list" allowBlank="1" sqref="F124">
      <formula1>INDIRECT("Cat"&amp;MATCH($E124,Listas!$J$2:$J$13,0)&amp;"_Motivos")</formula1>
    </dataValidation>
    <dataValidation type="list" allowBlank="1" sqref="F125">
      <formula1>INDIRECT("Cat"&amp;MATCH($E125,Listas!$J$2:$J$13,0)&amp;"_Motivos")</formula1>
    </dataValidation>
    <dataValidation type="list" allowBlank="1" sqref="F126">
      <formula1>INDIRECT("Cat"&amp;MATCH($E126,Listas!$J$2:$J$13,0)&amp;"_Motivos")</formula1>
    </dataValidation>
    <dataValidation type="list" allowBlank="1" sqref="F127">
      <formula1>INDIRECT("Cat"&amp;MATCH($E127,Listas!$J$2:$J$13,0)&amp;"_Motivos")</formula1>
    </dataValidation>
    <dataValidation type="list" allowBlank="1" sqref="F128">
      <formula1>INDIRECT("Cat"&amp;MATCH($E128,Listas!$J$2:$J$13,0)&amp;"_Motivos")</formula1>
    </dataValidation>
    <dataValidation type="list" allowBlank="1" sqref="F129">
      <formula1>INDIRECT("Cat"&amp;MATCH($E129,Listas!$J$2:$J$13,0)&amp;"_Motivos")</formula1>
    </dataValidation>
    <dataValidation type="list" allowBlank="1" sqref="F13">
      <formula1>INDIRECT("Cat"&amp;MATCH($E13,Listas!$J$2:$J$13,0)&amp;"_Motivos")</formula1>
    </dataValidation>
    <dataValidation type="list" allowBlank="1" sqref="F130">
      <formula1>INDIRECT("Cat"&amp;MATCH($E130,Listas!$J$2:$J$13,0)&amp;"_Motivos")</formula1>
    </dataValidation>
    <dataValidation type="list" allowBlank="1" sqref="F131">
      <formula1>INDIRECT("Cat"&amp;MATCH($E131,Listas!$J$2:$J$13,0)&amp;"_Motivos")</formula1>
    </dataValidation>
    <dataValidation type="list" allowBlank="1" sqref="F132">
      <formula1>INDIRECT("Cat"&amp;MATCH($E132,Listas!$J$2:$J$13,0)&amp;"_Motivos")</formula1>
    </dataValidation>
    <dataValidation type="list" allowBlank="1" sqref="F133">
      <formula1>INDIRECT("Cat"&amp;MATCH($E133,Listas!$J$2:$J$13,0)&amp;"_Motivos")</formula1>
    </dataValidation>
    <dataValidation type="list" allowBlank="1" sqref="F134">
      <formula1>INDIRECT("Cat"&amp;MATCH($E134,Listas!$J$2:$J$13,0)&amp;"_Motivos")</formula1>
    </dataValidation>
    <dataValidation type="list" allowBlank="1" sqref="F135">
      <formula1>INDIRECT("Cat"&amp;MATCH($E135,Listas!$J$2:$J$13,0)&amp;"_Motivos")</formula1>
    </dataValidation>
    <dataValidation type="list" allowBlank="1" sqref="F136">
      <formula1>INDIRECT("Cat"&amp;MATCH($E136,Listas!$J$2:$J$13,0)&amp;"_Motivos")</formula1>
    </dataValidation>
    <dataValidation type="list" allowBlank="1" sqref="F137">
      <formula1>INDIRECT("Cat"&amp;MATCH($E137,Listas!$J$2:$J$13,0)&amp;"_Motivos")</formula1>
    </dataValidation>
    <dataValidation type="list" allowBlank="1" sqref="F138">
      <formula1>INDIRECT("Cat"&amp;MATCH($E138,Listas!$J$2:$J$13,0)&amp;"_Motivos")</formula1>
    </dataValidation>
    <dataValidation type="list" allowBlank="1" sqref="F139">
      <formula1>INDIRECT("Cat"&amp;MATCH($E139,Listas!$J$2:$J$13,0)&amp;"_Motivos")</formula1>
    </dataValidation>
    <dataValidation type="list" allowBlank="1" sqref="F14">
      <formula1>INDIRECT("Cat"&amp;MATCH($E14,Listas!$J$2:$J$13,0)&amp;"_Motivos")</formula1>
    </dataValidation>
    <dataValidation type="list" allowBlank="1" sqref="F140">
      <formula1>INDIRECT("Cat"&amp;MATCH($E140,Listas!$J$2:$J$13,0)&amp;"_Motivos")</formula1>
    </dataValidation>
    <dataValidation type="list" allowBlank="1" sqref="F141">
      <formula1>INDIRECT("Cat"&amp;MATCH($E141,Listas!$J$2:$J$13,0)&amp;"_Motivos")</formula1>
    </dataValidation>
    <dataValidation type="list" allowBlank="1" sqref="F142">
      <formula1>INDIRECT("Cat"&amp;MATCH($E142,Listas!$J$2:$J$13,0)&amp;"_Motivos")</formula1>
    </dataValidation>
    <dataValidation type="list" allowBlank="1" sqref="F143">
      <formula1>INDIRECT("Cat"&amp;MATCH($E143,Listas!$J$2:$J$13,0)&amp;"_Motivos")</formula1>
    </dataValidation>
    <dataValidation type="list" allowBlank="1" sqref="F144">
      <formula1>INDIRECT("Cat"&amp;MATCH($E144,Listas!$J$2:$J$13,0)&amp;"_Motivos")</formula1>
    </dataValidation>
    <dataValidation type="list" allowBlank="1" sqref="F145">
      <formula1>INDIRECT("Cat"&amp;MATCH($E145,Listas!$J$2:$J$13,0)&amp;"_Motivos")</formula1>
    </dataValidation>
    <dataValidation type="list" allowBlank="1" sqref="F146">
      <formula1>INDIRECT("Cat"&amp;MATCH($E146,Listas!$J$2:$J$13,0)&amp;"_Motivos")</formula1>
    </dataValidation>
    <dataValidation type="list" allowBlank="1" sqref="F147">
      <formula1>INDIRECT("Cat"&amp;MATCH($E147,Listas!$J$2:$J$13,0)&amp;"_Motivos")</formula1>
    </dataValidation>
    <dataValidation type="list" allowBlank="1" sqref="F148">
      <formula1>INDIRECT("Cat"&amp;MATCH($E148,Listas!$J$2:$J$13,0)&amp;"_Motivos")</formula1>
    </dataValidation>
    <dataValidation type="list" allowBlank="1" sqref="F149">
      <formula1>INDIRECT("Cat"&amp;MATCH($E149,Listas!$J$2:$J$13,0)&amp;"_Motivos")</formula1>
    </dataValidation>
    <dataValidation type="list" allowBlank="1" sqref="F15">
      <formula1>INDIRECT("Cat"&amp;MATCH($E15,Listas!$J$2:$J$13,0)&amp;"_Motivos")</formula1>
    </dataValidation>
    <dataValidation type="list" allowBlank="1" sqref="F150">
      <formula1>INDIRECT("Cat"&amp;MATCH($E150,Listas!$J$2:$J$13,0)&amp;"_Motivos")</formula1>
    </dataValidation>
    <dataValidation type="list" allowBlank="1" sqref="F151">
      <formula1>INDIRECT("Cat"&amp;MATCH($E151,Listas!$J$2:$J$13,0)&amp;"_Motivos")</formula1>
    </dataValidation>
    <dataValidation type="list" allowBlank="1" sqref="F152">
      <formula1>INDIRECT("Cat"&amp;MATCH($E152,Listas!$J$2:$J$13,0)&amp;"_Motivos")</formula1>
    </dataValidation>
    <dataValidation type="list" allowBlank="1" sqref="F153">
      <formula1>INDIRECT("Cat"&amp;MATCH($E153,Listas!$J$2:$J$13,0)&amp;"_Motivos")</formula1>
    </dataValidation>
    <dataValidation type="list" allowBlank="1" sqref="F154">
      <formula1>INDIRECT("Cat"&amp;MATCH($E154,Listas!$J$2:$J$13,0)&amp;"_Motivos")</formula1>
    </dataValidation>
    <dataValidation type="list" allowBlank="1" sqref="F155">
      <formula1>INDIRECT("Cat"&amp;MATCH($E155,Listas!$J$2:$J$13,0)&amp;"_Motivos")</formula1>
    </dataValidation>
    <dataValidation type="list" allowBlank="1" sqref="F156">
      <formula1>INDIRECT("Cat"&amp;MATCH($E156,Listas!$J$2:$J$13,0)&amp;"_Motivos")</formula1>
    </dataValidation>
    <dataValidation type="list" allowBlank="1" sqref="F157">
      <formula1>INDIRECT("Cat"&amp;MATCH($E157,Listas!$J$2:$J$13,0)&amp;"_Motivos")</formula1>
    </dataValidation>
    <dataValidation type="list" allowBlank="1" sqref="F158">
      <formula1>INDIRECT("Cat"&amp;MATCH($E158,Listas!$J$2:$J$13,0)&amp;"_Motivos")</formula1>
    </dataValidation>
    <dataValidation type="list" allowBlank="1" sqref="F159">
      <formula1>INDIRECT("Cat"&amp;MATCH($E159,Listas!$J$2:$J$13,0)&amp;"_Motivos")</formula1>
    </dataValidation>
    <dataValidation type="list" allowBlank="1" sqref="F16">
      <formula1>INDIRECT("Cat"&amp;MATCH($E16,Listas!$J$2:$J$13,0)&amp;"_Motivos")</formula1>
    </dataValidation>
    <dataValidation type="list" allowBlank="1" sqref="F160">
      <formula1>INDIRECT("Cat"&amp;MATCH($E160,Listas!$J$2:$J$13,0)&amp;"_Motivos")</formula1>
    </dataValidation>
    <dataValidation type="list" allowBlank="1" sqref="F161">
      <formula1>INDIRECT("Cat"&amp;MATCH($E161,Listas!$J$2:$J$13,0)&amp;"_Motivos")</formula1>
    </dataValidation>
    <dataValidation type="list" allowBlank="1" sqref="F162">
      <formula1>INDIRECT("Cat"&amp;MATCH($E162,Listas!$J$2:$J$13,0)&amp;"_Motivos")</formula1>
    </dataValidation>
    <dataValidation type="list" allowBlank="1" sqref="F163">
      <formula1>INDIRECT("Cat"&amp;MATCH($E163,Listas!$J$2:$J$13,0)&amp;"_Motivos")</formula1>
    </dataValidation>
    <dataValidation type="list" allowBlank="1" sqref="F164">
      <formula1>INDIRECT("Cat"&amp;MATCH($E164,Listas!$J$2:$J$13,0)&amp;"_Motivos")</formula1>
    </dataValidation>
    <dataValidation type="list" allowBlank="1" sqref="F165">
      <formula1>INDIRECT("Cat"&amp;MATCH($E165,Listas!$J$2:$J$13,0)&amp;"_Motivos")</formula1>
    </dataValidation>
    <dataValidation type="list" allowBlank="1" sqref="F166">
      <formula1>INDIRECT("Cat"&amp;MATCH($E166,Listas!$J$2:$J$13,0)&amp;"_Motivos")</formula1>
    </dataValidation>
    <dataValidation type="list" allowBlank="1" sqref="F167">
      <formula1>INDIRECT("Cat"&amp;MATCH($E167,Listas!$J$2:$J$13,0)&amp;"_Motivos")</formula1>
    </dataValidation>
    <dataValidation type="list" allowBlank="1" sqref="F168">
      <formula1>INDIRECT("Cat"&amp;MATCH($E168,Listas!$J$2:$J$13,0)&amp;"_Motivos")</formula1>
    </dataValidation>
    <dataValidation type="list" allowBlank="1" sqref="F169">
      <formula1>INDIRECT("Cat"&amp;MATCH($E169,Listas!$J$2:$J$13,0)&amp;"_Motivos")</formula1>
    </dataValidation>
    <dataValidation type="list" allowBlank="1" sqref="F17">
      <formula1>INDIRECT("Cat"&amp;MATCH($E17,Listas!$J$2:$J$13,0)&amp;"_Motivos")</formula1>
    </dataValidation>
    <dataValidation type="list" allowBlank="1" sqref="F170">
      <formula1>INDIRECT("Cat"&amp;MATCH($E170,Listas!$J$2:$J$13,0)&amp;"_Motivos")</formula1>
    </dataValidation>
    <dataValidation type="list" allowBlank="1" sqref="F171">
      <formula1>INDIRECT("Cat"&amp;MATCH($E171,Listas!$J$2:$J$13,0)&amp;"_Motivos")</formula1>
    </dataValidation>
    <dataValidation type="list" allowBlank="1" sqref="F172">
      <formula1>INDIRECT("Cat"&amp;MATCH($E172,Listas!$J$2:$J$13,0)&amp;"_Motivos")</formula1>
    </dataValidation>
    <dataValidation type="list" allowBlank="1" sqref="F173">
      <formula1>INDIRECT("Cat"&amp;MATCH($E173,Listas!$J$2:$J$13,0)&amp;"_Motivos")</formula1>
    </dataValidation>
    <dataValidation type="list" allowBlank="1" sqref="F174">
      <formula1>INDIRECT("Cat"&amp;MATCH($E174,Listas!$J$2:$J$13,0)&amp;"_Motivos")</formula1>
    </dataValidation>
    <dataValidation type="list" allowBlank="1" sqref="F175">
      <formula1>INDIRECT("Cat"&amp;MATCH($E175,Listas!$J$2:$J$13,0)&amp;"_Motivos")</formula1>
    </dataValidation>
    <dataValidation type="list" allowBlank="1" sqref="F176">
      <formula1>INDIRECT("Cat"&amp;MATCH($E176,Listas!$J$2:$J$13,0)&amp;"_Motivos")</formula1>
    </dataValidation>
    <dataValidation type="list" allowBlank="1" sqref="F177">
      <formula1>INDIRECT("Cat"&amp;MATCH($E177,Listas!$J$2:$J$13,0)&amp;"_Motivos")</formula1>
    </dataValidation>
    <dataValidation type="list" allowBlank="1" sqref="F178">
      <formula1>INDIRECT("Cat"&amp;MATCH($E178,Listas!$J$2:$J$13,0)&amp;"_Motivos")</formula1>
    </dataValidation>
    <dataValidation type="list" allowBlank="1" sqref="F179">
      <formula1>INDIRECT("Cat"&amp;MATCH($E179,Listas!$J$2:$J$13,0)&amp;"_Motivos")</formula1>
    </dataValidation>
    <dataValidation type="list" allowBlank="1" sqref="F18">
      <formula1>INDIRECT("Cat"&amp;MATCH($E18,Listas!$J$2:$J$13,0)&amp;"_Motivos")</formula1>
    </dataValidation>
    <dataValidation type="list" allowBlank="1" sqref="F180">
      <formula1>INDIRECT("Cat"&amp;MATCH($E180,Listas!$J$2:$J$13,0)&amp;"_Motivos")</formula1>
    </dataValidation>
    <dataValidation type="list" allowBlank="1" sqref="F181">
      <formula1>INDIRECT("Cat"&amp;MATCH($E181,Listas!$J$2:$J$13,0)&amp;"_Motivos")</formula1>
    </dataValidation>
    <dataValidation type="list" allowBlank="1" sqref="F182">
      <formula1>INDIRECT("Cat"&amp;MATCH($E182,Listas!$J$2:$J$13,0)&amp;"_Motivos")</formula1>
    </dataValidation>
    <dataValidation type="list" allowBlank="1" sqref="F183">
      <formula1>INDIRECT("Cat"&amp;MATCH($E183,Listas!$J$2:$J$13,0)&amp;"_Motivos")</formula1>
    </dataValidation>
    <dataValidation type="list" allowBlank="1" sqref="F184">
      <formula1>INDIRECT("Cat"&amp;MATCH($E184,Listas!$J$2:$J$13,0)&amp;"_Motivos")</formula1>
    </dataValidation>
    <dataValidation type="list" allowBlank="1" sqref="F185">
      <formula1>INDIRECT("Cat"&amp;MATCH($E185,Listas!$J$2:$J$13,0)&amp;"_Motivos")</formula1>
    </dataValidation>
    <dataValidation type="list" allowBlank="1" sqref="F186">
      <formula1>INDIRECT("Cat"&amp;MATCH($E186,Listas!$J$2:$J$13,0)&amp;"_Motivos")</formula1>
    </dataValidation>
    <dataValidation type="list" allowBlank="1" sqref="F187">
      <formula1>INDIRECT("Cat"&amp;MATCH($E187,Listas!$J$2:$J$13,0)&amp;"_Motivos")</formula1>
    </dataValidation>
    <dataValidation type="list" allowBlank="1" sqref="F188">
      <formula1>INDIRECT("Cat"&amp;MATCH($E188,Listas!$J$2:$J$13,0)&amp;"_Motivos")</formula1>
    </dataValidation>
    <dataValidation type="list" allowBlank="1" sqref="F189">
      <formula1>INDIRECT("Cat"&amp;MATCH($E189,Listas!$J$2:$J$13,0)&amp;"_Motivos")</formula1>
    </dataValidation>
    <dataValidation type="list" allowBlank="1" sqref="F19">
      <formula1>INDIRECT("Cat"&amp;MATCH($E19,Listas!$J$2:$J$13,0)&amp;"_Motivos")</formula1>
    </dataValidation>
    <dataValidation type="list" allowBlank="1" sqref="F190">
      <formula1>INDIRECT("Cat"&amp;MATCH($E190,Listas!$J$2:$J$13,0)&amp;"_Motivos")</formula1>
    </dataValidation>
    <dataValidation type="list" allowBlank="1" sqref="F191">
      <formula1>INDIRECT("Cat"&amp;MATCH($E191,Listas!$J$2:$J$13,0)&amp;"_Motivos")</formula1>
    </dataValidation>
    <dataValidation type="list" allowBlank="1" sqref="F192">
      <formula1>INDIRECT("Cat"&amp;MATCH($E192,Listas!$J$2:$J$13,0)&amp;"_Motivos")</formula1>
    </dataValidation>
    <dataValidation type="list" allowBlank="1" sqref="F193">
      <formula1>INDIRECT("Cat"&amp;MATCH($E193,Listas!$J$2:$J$13,0)&amp;"_Motivos")</formula1>
    </dataValidation>
    <dataValidation type="list" allowBlank="1" sqref="F194">
      <formula1>INDIRECT("Cat"&amp;MATCH($E194,Listas!$J$2:$J$13,0)&amp;"_Motivos")</formula1>
    </dataValidation>
    <dataValidation type="list" allowBlank="1" sqref="F195">
      <formula1>INDIRECT("Cat"&amp;MATCH($E195,Listas!$J$2:$J$13,0)&amp;"_Motivos")</formula1>
    </dataValidation>
    <dataValidation type="list" allowBlank="1" sqref="F196">
      <formula1>INDIRECT("Cat"&amp;MATCH($E196,Listas!$J$2:$J$13,0)&amp;"_Motivos")</formula1>
    </dataValidation>
    <dataValidation type="list" allowBlank="1" sqref="F197">
      <formula1>INDIRECT("Cat"&amp;MATCH($E197,Listas!$J$2:$J$13,0)&amp;"_Motivos")</formula1>
    </dataValidation>
    <dataValidation type="list" allowBlank="1" sqref="F198">
      <formula1>INDIRECT("Cat"&amp;MATCH($E198,Listas!$J$2:$J$13,0)&amp;"_Motivos")</formula1>
    </dataValidation>
    <dataValidation type="list" allowBlank="1" sqref="F199">
      <formula1>INDIRECT("Cat"&amp;MATCH($E199,Listas!$J$2:$J$13,0)&amp;"_Motivos")</formula1>
    </dataValidation>
    <dataValidation type="list" allowBlank="1" sqref="F2">
      <formula1>INDIRECT("Cat"&amp;MATCH($E2,Listas!$J$2:$J$13,0)&amp;"_Motivos")</formula1>
    </dataValidation>
    <dataValidation type="list" allowBlank="1" sqref="F20">
      <formula1>INDIRECT("Cat"&amp;MATCH($E20,Listas!$J$2:$J$13,0)&amp;"_Motivos")</formula1>
    </dataValidation>
    <dataValidation type="list" allowBlank="1" sqref="F200">
      <formula1>INDIRECT("Cat"&amp;MATCH($E200,Listas!$J$2:$J$13,0)&amp;"_Motivos")</formula1>
    </dataValidation>
    <dataValidation type="list" allowBlank="1" sqref="F201">
      <formula1>INDIRECT("Cat"&amp;MATCH($E201,Listas!$J$2:$J$13,0)&amp;"_Motivos")</formula1>
    </dataValidation>
    <dataValidation type="list" allowBlank="1" sqref="F202">
      <formula1>INDIRECT("Cat"&amp;MATCH($E202,Listas!$J$2:$J$13,0)&amp;"_Motivos")</formula1>
    </dataValidation>
    <dataValidation type="list" allowBlank="1" sqref="F203">
      <formula1>INDIRECT("Cat"&amp;MATCH($E203,Listas!$J$2:$J$13,0)&amp;"_Motivos")</formula1>
    </dataValidation>
    <dataValidation type="list" allowBlank="1" sqref="F204">
      <formula1>INDIRECT("Cat"&amp;MATCH($E204,Listas!$J$2:$J$13,0)&amp;"_Motivos")</formula1>
    </dataValidation>
    <dataValidation type="list" allowBlank="1" sqref="F205">
      <formula1>INDIRECT("Cat"&amp;MATCH($E205,Listas!$J$2:$J$13,0)&amp;"_Motivos")</formula1>
    </dataValidation>
    <dataValidation type="list" allowBlank="1" sqref="F206">
      <formula1>INDIRECT("Cat"&amp;MATCH($E206,Listas!$J$2:$J$13,0)&amp;"_Motivos")</formula1>
    </dataValidation>
    <dataValidation type="list" allowBlank="1" sqref="F207">
      <formula1>INDIRECT("Cat"&amp;MATCH($E207,Listas!$J$2:$J$13,0)&amp;"_Motivos")</formula1>
    </dataValidation>
    <dataValidation type="list" allowBlank="1" sqref="F208">
      <formula1>INDIRECT("Cat"&amp;MATCH($E208,Listas!$J$2:$J$13,0)&amp;"_Motivos")</formula1>
    </dataValidation>
    <dataValidation type="list" allowBlank="1" sqref="F209">
      <formula1>INDIRECT("Cat"&amp;MATCH($E209,Listas!$J$2:$J$13,0)&amp;"_Motivos")</formula1>
    </dataValidation>
    <dataValidation type="list" allowBlank="1" sqref="F21">
      <formula1>INDIRECT("Cat"&amp;MATCH($E21,Listas!$J$2:$J$13,0)&amp;"_Motivos")</formula1>
    </dataValidation>
    <dataValidation type="list" allowBlank="1" sqref="F210">
      <formula1>INDIRECT("Cat"&amp;MATCH($E210,Listas!$J$2:$J$13,0)&amp;"_Motivos")</formula1>
    </dataValidation>
    <dataValidation type="list" allowBlank="1" sqref="F211">
      <formula1>INDIRECT("Cat"&amp;MATCH($E211,Listas!$J$2:$J$13,0)&amp;"_Motivos")</formula1>
    </dataValidation>
    <dataValidation type="list" allowBlank="1" sqref="F212">
      <formula1>INDIRECT("Cat"&amp;MATCH($E212,Listas!$J$2:$J$13,0)&amp;"_Motivos")</formula1>
    </dataValidation>
    <dataValidation type="list" allowBlank="1" sqref="F213">
      <formula1>INDIRECT("Cat"&amp;MATCH($E213,Listas!$J$2:$J$13,0)&amp;"_Motivos")</formula1>
    </dataValidation>
    <dataValidation type="list" allowBlank="1" sqref="F214">
      <formula1>INDIRECT("Cat"&amp;MATCH($E214,Listas!$J$2:$J$13,0)&amp;"_Motivos")</formula1>
    </dataValidation>
    <dataValidation type="list" allowBlank="1" sqref="F215">
      <formula1>INDIRECT("Cat"&amp;MATCH($E215,Listas!$J$2:$J$13,0)&amp;"_Motivos")</formula1>
    </dataValidation>
    <dataValidation type="list" allowBlank="1" sqref="F216">
      <formula1>INDIRECT("Cat"&amp;MATCH($E216,Listas!$J$2:$J$13,0)&amp;"_Motivos")</formula1>
    </dataValidation>
    <dataValidation type="list" allowBlank="1" sqref="F217">
      <formula1>INDIRECT("Cat"&amp;MATCH($E217,Listas!$J$2:$J$13,0)&amp;"_Motivos")</formula1>
    </dataValidation>
    <dataValidation type="list" allowBlank="1" sqref="F218">
      <formula1>INDIRECT("Cat"&amp;MATCH($E218,Listas!$J$2:$J$13,0)&amp;"_Motivos")</formula1>
    </dataValidation>
    <dataValidation type="list" allowBlank="1" sqref="F219">
      <formula1>INDIRECT("Cat"&amp;MATCH($E219,Listas!$J$2:$J$13,0)&amp;"_Motivos")</formula1>
    </dataValidation>
    <dataValidation type="list" allowBlank="1" sqref="F22">
      <formula1>INDIRECT("Cat"&amp;MATCH($E22,Listas!$J$2:$J$13,0)&amp;"_Motivos")</formula1>
    </dataValidation>
    <dataValidation type="list" allowBlank="1" sqref="F220">
      <formula1>INDIRECT("Cat"&amp;MATCH($E220,Listas!$J$2:$J$13,0)&amp;"_Motivos")</formula1>
    </dataValidation>
    <dataValidation type="list" allowBlank="1" sqref="F221">
      <formula1>INDIRECT("Cat"&amp;MATCH($E221,Listas!$J$2:$J$13,0)&amp;"_Motivos")</formula1>
    </dataValidation>
    <dataValidation type="list" allowBlank="1" sqref="F222">
      <formula1>INDIRECT("Cat"&amp;MATCH($E222,Listas!$J$2:$J$13,0)&amp;"_Motivos")</formula1>
    </dataValidation>
    <dataValidation type="list" allowBlank="1" sqref="F223">
      <formula1>INDIRECT("Cat"&amp;MATCH($E223,Listas!$J$2:$J$13,0)&amp;"_Motivos")</formula1>
    </dataValidation>
    <dataValidation type="list" allowBlank="1" sqref="F224">
      <formula1>INDIRECT("Cat"&amp;MATCH($E224,Listas!$J$2:$J$13,0)&amp;"_Motivos")</formula1>
    </dataValidation>
    <dataValidation type="list" allowBlank="1" sqref="F225">
      <formula1>INDIRECT("Cat"&amp;MATCH($E225,Listas!$J$2:$J$13,0)&amp;"_Motivos")</formula1>
    </dataValidation>
    <dataValidation type="list" allowBlank="1" sqref="F226">
      <formula1>INDIRECT("Cat"&amp;MATCH($E226,Listas!$J$2:$J$13,0)&amp;"_Motivos")</formula1>
    </dataValidation>
    <dataValidation type="list" allowBlank="1" sqref="F227">
      <formula1>INDIRECT("Cat"&amp;MATCH($E227,Listas!$J$2:$J$13,0)&amp;"_Motivos")</formula1>
    </dataValidation>
    <dataValidation type="list" allowBlank="1" sqref="F228">
      <formula1>INDIRECT("Cat"&amp;MATCH($E228,Listas!$J$2:$J$13,0)&amp;"_Motivos")</formula1>
    </dataValidation>
    <dataValidation type="list" allowBlank="1" sqref="F229">
      <formula1>INDIRECT("Cat"&amp;MATCH($E229,Listas!$J$2:$J$13,0)&amp;"_Motivos")</formula1>
    </dataValidation>
    <dataValidation type="list" allowBlank="1" sqref="F23">
      <formula1>INDIRECT("Cat"&amp;MATCH($E23,Listas!$J$2:$J$13,0)&amp;"_Motivos")</formula1>
    </dataValidation>
    <dataValidation type="list" allowBlank="1" sqref="F230">
      <formula1>INDIRECT("Cat"&amp;MATCH($E230,Listas!$J$2:$J$13,0)&amp;"_Motivos")</formula1>
    </dataValidation>
    <dataValidation type="list" allowBlank="1" sqref="F231">
      <formula1>INDIRECT("Cat"&amp;MATCH($E231,Listas!$J$2:$J$13,0)&amp;"_Motivos")</formula1>
    </dataValidation>
    <dataValidation type="list" allowBlank="1" sqref="F232">
      <formula1>INDIRECT("Cat"&amp;MATCH($E232,Listas!$J$2:$J$13,0)&amp;"_Motivos")</formula1>
    </dataValidation>
    <dataValidation type="list" allowBlank="1" sqref="F233">
      <formula1>INDIRECT("Cat"&amp;MATCH($E233,Listas!$J$2:$J$13,0)&amp;"_Motivos")</formula1>
    </dataValidation>
    <dataValidation type="list" allowBlank="1" sqref="F234">
      <formula1>INDIRECT("Cat"&amp;MATCH($E234,Listas!$J$2:$J$13,0)&amp;"_Motivos")</formula1>
    </dataValidation>
    <dataValidation type="list" allowBlank="1" sqref="F235">
      <formula1>INDIRECT("Cat"&amp;MATCH($E235,Listas!$J$2:$J$13,0)&amp;"_Motivos")</formula1>
    </dataValidation>
    <dataValidation type="list" allowBlank="1" sqref="F236">
      <formula1>INDIRECT("Cat"&amp;MATCH($E236,Listas!$J$2:$J$13,0)&amp;"_Motivos")</formula1>
    </dataValidation>
    <dataValidation type="list" allowBlank="1" sqref="F237">
      <formula1>INDIRECT("Cat"&amp;MATCH($E237,Listas!$J$2:$J$13,0)&amp;"_Motivos")</formula1>
    </dataValidation>
    <dataValidation type="list" allowBlank="1" sqref="F238">
      <formula1>INDIRECT("Cat"&amp;MATCH($E238,Listas!$J$2:$J$13,0)&amp;"_Motivos")</formula1>
    </dataValidation>
    <dataValidation type="list" allowBlank="1" sqref="F239">
      <formula1>INDIRECT("Cat"&amp;MATCH($E239,Listas!$J$2:$J$13,0)&amp;"_Motivos")</formula1>
    </dataValidation>
    <dataValidation type="list" allowBlank="1" sqref="F24">
      <formula1>INDIRECT("Cat"&amp;MATCH($E24,Listas!$J$2:$J$13,0)&amp;"_Motivos")</formula1>
    </dataValidation>
    <dataValidation type="list" allowBlank="1" sqref="F240">
      <formula1>INDIRECT("Cat"&amp;MATCH($E240,Listas!$J$2:$J$13,0)&amp;"_Motivos")</formula1>
    </dataValidation>
    <dataValidation type="list" allowBlank="1" sqref="F241">
      <formula1>INDIRECT("Cat"&amp;MATCH($E241,Listas!$J$2:$J$13,0)&amp;"_Motivos")</formula1>
    </dataValidation>
    <dataValidation type="list" allowBlank="1" sqref="F242">
      <formula1>INDIRECT("Cat"&amp;MATCH($E242,Listas!$J$2:$J$13,0)&amp;"_Motivos")</formula1>
    </dataValidation>
    <dataValidation type="list" allowBlank="1" sqref="F243">
      <formula1>INDIRECT("Cat"&amp;MATCH($E243,Listas!$J$2:$J$13,0)&amp;"_Motivos")</formula1>
    </dataValidation>
    <dataValidation type="list" allowBlank="1" sqref="F244">
      <formula1>INDIRECT("Cat"&amp;MATCH($E244,Listas!$J$2:$J$13,0)&amp;"_Motivos")</formula1>
    </dataValidation>
    <dataValidation type="list" allowBlank="1" sqref="F245">
      <formula1>INDIRECT("Cat"&amp;MATCH($E245,Listas!$J$2:$J$13,0)&amp;"_Motivos")</formula1>
    </dataValidation>
    <dataValidation type="list" allowBlank="1" sqref="F246">
      <formula1>INDIRECT("Cat"&amp;MATCH($E246,Listas!$J$2:$J$13,0)&amp;"_Motivos")</formula1>
    </dataValidation>
    <dataValidation type="list" allowBlank="1" sqref="F247">
      <formula1>INDIRECT("Cat"&amp;MATCH($E247,Listas!$J$2:$J$13,0)&amp;"_Motivos")</formula1>
    </dataValidation>
    <dataValidation type="list" allowBlank="1" sqref="F248">
      <formula1>INDIRECT("Cat"&amp;MATCH($E248,Listas!$J$2:$J$13,0)&amp;"_Motivos")</formula1>
    </dataValidation>
    <dataValidation type="list" allowBlank="1" sqref="F249">
      <formula1>INDIRECT("Cat"&amp;MATCH($E249,Listas!$J$2:$J$13,0)&amp;"_Motivos")</formula1>
    </dataValidation>
    <dataValidation type="list" allowBlank="1" sqref="F25">
      <formula1>INDIRECT("Cat"&amp;MATCH($E25,Listas!$J$2:$J$13,0)&amp;"_Motivos")</formula1>
    </dataValidation>
    <dataValidation type="list" allowBlank="1" sqref="F250">
      <formula1>INDIRECT("Cat"&amp;MATCH($E250,Listas!$J$2:$J$13,0)&amp;"_Motivos")</formula1>
    </dataValidation>
    <dataValidation type="list" allowBlank="1" sqref="F251">
      <formula1>INDIRECT("Cat"&amp;MATCH($E251,Listas!$J$2:$J$13,0)&amp;"_Motivos")</formula1>
    </dataValidation>
    <dataValidation type="list" allowBlank="1" sqref="F252">
      <formula1>INDIRECT("Cat"&amp;MATCH($E252,Listas!$J$2:$J$13,0)&amp;"_Motivos")</formula1>
    </dataValidation>
    <dataValidation type="list" allowBlank="1" sqref="F253">
      <formula1>INDIRECT("Cat"&amp;MATCH($E253,Listas!$J$2:$J$13,0)&amp;"_Motivos")</formula1>
    </dataValidation>
    <dataValidation type="list" allowBlank="1" sqref="F254">
      <formula1>INDIRECT("Cat"&amp;MATCH($E254,Listas!$J$2:$J$13,0)&amp;"_Motivos")</formula1>
    </dataValidation>
    <dataValidation type="list" allowBlank="1" sqref="F255">
      <formula1>INDIRECT("Cat"&amp;MATCH($E255,Listas!$J$2:$J$13,0)&amp;"_Motivos")</formula1>
    </dataValidation>
    <dataValidation type="list" allowBlank="1" sqref="F256">
      <formula1>INDIRECT("Cat"&amp;MATCH($E256,Listas!$J$2:$J$13,0)&amp;"_Motivos")</formula1>
    </dataValidation>
    <dataValidation type="list" allowBlank="1" sqref="F257">
      <formula1>INDIRECT("Cat"&amp;MATCH($E257,Listas!$J$2:$J$13,0)&amp;"_Motivos")</formula1>
    </dataValidation>
    <dataValidation type="list" allowBlank="1" sqref="F258">
      <formula1>INDIRECT("Cat"&amp;MATCH($E258,Listas!$J$2:$J$13,0)&amp;"_Motivos")</formula1>
    </dataValidation>
    <dataValidation type="list" allowBlank="1" sqref="F259">
      <formula1>INDIRECT("Cat"&amp;MATCH($E259,Listas!$J$2:$J$13,0)&amp;"_Motivos")</formula1>
    </dataValidation>
    <dataValidation type="list" allowBlank="1" sqref="F26">
      <formula1>INDIRECT("Cat"&amp;MATCH($E26,Listas!$J$2:$J$13,0)&amp;"_Motivos")</formula1>
    </dataValidation>
    <dataValidation type="list" allowBlank="1" sqref="F260">
      <formula1>INDIRECT("Cat"&amp;MATCH($E260,Listas!$J$2:$J$13,0)&amp;"_Motivos")</formula1>
    </dataValidation>
    <dataValidation type="list" allowBlank="1" sqref="F261">
      <formula1>INDIRECT("Cat"&amp;MATCH($E261,Listas!$J$2:$J$13,0)&amp;"_Motivos")</formula1>
    </dataValidation>
    <dataValidation type="list" allowBlank="1" sqref="F262">
      <formula1>INDIRECT("Cat"&amp;MATCH($E262,Listas!$J$2:$J$13,0)&amp;"_Motivos")</formula1>
    </dataValidation>
    <dataValidation type="list" allowBlank="1" sqref="F263">
      <formula1>INDIRECT("Cat"&amp;MATCH($E263,Listas!$J$2:$J$13,0)&amp;"_Motivos")</formula1>
    </dataValidation>
    <dataValidation type="list" allowBlank="1" sqref="F264">
      <formula1>INDIRECT("Cat"&amp;MATCH($E264,Listas!$J$2:$J$13,0)&amp;"_Motivos")</formula1>
    </dataValidation>
    <dataValidation type="list" allowBlank="1" sqref="F265">
      <formula1>INDIRECT("Cat"&amp;MATCH($E265,Listas!$J$2:$J$13,0)&amp;"_Motivos")</formula1>
    </dataValidation>
    <dataValidation type="list" allowBlank="1" sqref="F266">
      <formula1>INDIRECT("Cat"&amp;MATCH($E266,Listas!$J$2:$J$13,0)&amp;"_Motivos")</formula1>
    </dataValidation>
    <dataValidation type="list" allowBlank="1" sqref="F267">
      <formula1>INDIRECT("Cat"&amp;MATCH($E267,Listas!$J$2:$J$13,0)&amp;"_Motivos")</formula1>
    </dataValidation>
    <dataValidation type="list" allowBlank="1" sqref="F268">
      <formula1>INDIRECT("Cat"&amp;MATCH($E268,Listas!$J$2:$J$13,0)&amp;"_Motivos")</formula1>
    </dataValidation>
    <dataValidation type="list" allowBlank="1" sqref="F269">
      <formula1>INDIRECT("Cat"&amp;MATCH($E269,Listas!$J$2:$J$13,0)&amp;"_Motivos")</formula1>
    </dataValidation>
    <dataValidation type="list" allowBlank="1" sqref="F27">
      <formula1>INDIRECT("Cat"&amp;MATCH($E27,Listas!$J$2:$J$13,0)&amp;"_Motivos")</formula1>
    </dataValidation>
    <dataValidation type="list" allowBlank="1" sqref="F270">
      <formula1>INDIRECT("Cat"&amp;MATCH($E270,Listas!$J$2:$J$13,0)&amp;"_Motivos")</formula1>
    </dataValidation>
    <dataValidation type="list" allowBlank="1" sqref="F271">
      <formula1>INDIRECT("Cat"&amp;MATCH($E271,Listas!$J$2:$J$13,0)&amp;"_Motivos")</formula1>
    </dataValidation>
    <dataValidation type="list" allowBlank="1" sqref="F272">
      <formula1>INDIRECT("Cat"&amp;MATCH($E272,Listas!$J$2:$J$13,0)&amp;"_Motivos")</formula1>
    </dataValidation>
    <dataValidation type="list" allowBlank="1" sqref="F273">
      <formula1>INDIRECT("Cat"&amp;MATCH($E273,Listas!$J$2:$J$13,0)&amp;"_Motivos")</formula1>
    </dataValidation>
    <dataValidation type="list" allowBlank="1" sqref="F274">
      <formula1>INDIRECT("Cat"&amp;MATCH($E274,Listas!$J$2:$J$13,0)&amp;"_Motivos")</formula1>
    </dataValidation>
    <dataValidation type="list" allowBlank="1" sqref="F275">
      <formula1>INDIRECT("Cat"&amp;MATCH($E275,Listas!$J$2:$J$13,0)&amp;"_Motivos")</formula1>
    </dataValidation>
    <dataValidation type="list" allowBlank="1" sqref="F276">
      <formula1>INDIRECT("Cat"&amp;MATCH($E276,Listas!$J$2:$J$13,0)&amp;"_Motivos")</formula1>
    </dataValidation>
    <dataValidation type="list" allowBlank="1" sqref="F277">
      <formula1>INDIRECT("Cat"&amp;MATCH($E277,Listas!$J$2:$J$13,0)&amp;"_Motivos")</formula1>
    </dataValidation>
    <dataValidation type="list" allowBlank="1" sqref="F278">
      <formula1>INDIRECT("Cat"&amp;MATCH($E278,Listas!$J$2:$J$13,0)&amp;"_Motivos")</formula1>
    </dataValidation>
    <dataValidation type="list" allowBlank="1" sqref="F279">
      <formula1>INDIRECT("Cat"&amp;MATCH($E279,Listas!$J$2:$J$13,0)&amp;"_Motivos")</formula1>
    </dataValidation>
    <dataValidation type="list" allowBlank="1" sqref="F28">
      <formula1>INDIRECT("Cat"&amp;MATCH($E28,Listas!$J$2:$J$13,0)&amp;"_Motivos")</formula1>
    </dataValidation>
    <dataValidation type="list" allowBlank="1" sqref="F280">
      <formula1>INDIRECT("Cat"&amp;MATCH($E280,Listas!$J$2:$J$13,0)&amp;"_Motivos")</formula1>
    </dataValidation>
    <dataValidation type="list" allowBlank="1" sqref="F281">
      <formula1>INDIRECT("Cat"&amp;MATCH($E281,Listas!$J$2:$J$13,0)&amp;"_Motivos")</formula1>
    </dataValidation>
    <dataValidation type="list" allowBlank="1" sqref="F282">
      <formula1>INDIRECT("Cat"&amp;MATCH($E282,Listas!$J$2:$J$13,0)&amp;"_Motivos")</formula1>
    </dataValidation>
    <dataValidation type="list" allowBlank="1" sqref="F283">
      <formula1>INDIRECT("Cat"&amp;MATCH($E283,Listas!$J$2:$J$13,0)&amp;"_Motivos")</formula1>
    </dataValidation>
    <dataValidation type="list" allowBlank="1" sqref="F284">
      <formula1>INDIRECT("Cat"&amp;MATCH($E284,Listas!$J$2:$J$13,0)&amp;"_Motivos")</formula1>
    </dataValidation>
    <dataValidation type="list" allowBlank="1" sqref="F285">
      <formula1>INDIRECT("Cat"&amp;MATCH($E285,Listas!$J$2:$J$13,0)&amp;"_Motivos")</formula1>
    </dataValidation>
    <dataValidation type="list" allowBlank="1" sqref="F286">
      <formula1>INDIRECT("Cat"&amp;MATCH($E286,Listas!$J$2:$J$13,0)&amp;"_Motivos")</formula1>
    </dataValidation>
    <dataValidation type="list" allowBlank="1" sqref="F287">
      <formula1>INDIRECT("Cat"&amp;MATCH($E287,Listas!$J$2:$J$13,0)&amp;"_Motivos")</formula1>
    </dataValidation>
    <dataValidation type="list" allowBlank="1" sqref="F288">
      <formula1>INDIRECT("Cat"&amp;MATCH($E288,Listas!$J$2:$J$13,0)&amp;"_Motivos")</formula1>
    </dataValidation>
    <dataValidation type="list" allowBlank="1" sqref="F289">
      <formula1>INDIRECT("Cat"&amp;MATCH($E289,Listas!$J$2:$J$13,0)&amp;"_Motivos")</formula1>
    </dataValidation>
    <dataValidation type="list" allowBlank="1" sqref="F29">
      <formula1>INDIRECT("Cat"&amp;MATCH($E29,Listas!$J$2:$J$13,0)&amp;"_Motivos")</formula1>
    </dataValidation>
    <dataValidation type="list" allowBlank="1" sqref="F290">
      <formula1>INDIRECT("Cat"&amp;MATCH($E290,Listas!$J$2:$J$13,0)&amp;"_Motivos")</formula1>
    </dataValidation>
    <dataValidation type="list" allowBlank="1" sqref="F291">
      <formula1>INDIRECT("Cat"&amp;MATCH($E291,Listas!$J$2:$J$13,0)&amp;"_Motivos")</formula1>
    </dataValidation>
    <dataValidation type="list" allowBlank="1" sqref="F292">
      <formula1>INDIRECT("Cat"&amp;MATCH($E292,Listas!$J$2:$J$13,0)&amp;"_Motivos")</formula1>
    </dataValidation>
    <dataValidation type="list" allowBlank="1" sqref="F293">
      <formula1>INDIRECT("Cat"&amp;MATCH($E293,Listas!$J$2:$J$13,0)&amp;"_Motivos")</formula1>
    </dataValidation>
    <dataValidation type="list" allowBlank="1" sqref="F294">
      <formula1>INDIRECT("Cat"&amp;MATCH($E294,Listas!$J$2:$J$13,0)&amp;"_Motivos")</formula1>
    </dataValidation>
    <dataValidation type="list" allowBlank="1" sqref="F295">
      <formula1>INDIRECT("Cat"&amp;MATCH($E295,Listas!$J$2:$J$13,0)&amp;"_Motivos")</formula1>
    </dataValidation>
    <dataValidation type="list" allowBlank="1" sqref="F296">
      <formula1>INDIRECT("Cat"&amp;MATCH($E296,Listas!$J$2:$J$13,0)&amp;"_Motivos")</formula1>
    </dataValidation>
    <dataValidation type="list" allowBlank="1" sqref="F297">
      <formula1>INDIRECT("Cat"&amp;MATCH($E297,Listas!$J$2:$J$13,0)&amp;"_Motivos")</formula1>
    </dataValidation>
    <dataValidation type="list" allowBlank="1" sqref="F298">
      <formula1>INDIRECT("Cat"&amp;MATCH($E298,Listas!$J$2:$J$13,0)&amp;"_Motivos")</formula1>
    </dataValidation>
    <dataValidation type="list" allowBlank="1" sqref="F299">
      <formula1>INDIRECT("Cat"&amp;MATCH($E299,Listas!$J$2:$J$13,0)&amp;"_Motivos")</formula1>
    </dataValidation>
    <dataValidation type="list" allowBlank="1" sqref="F3">
      <formula1>INDIRECT("Cat"&amp;MATCH($E3,Listas!$J$2:$J$13,0)&amp;"_Motivos")</formula1>
    </dataValidation>
    <dataValidation type="list" allowBlank="1" sqref="F30">
      <formula1>INDIRECT("Cat"&amp;MATCH($E30,Listas!$J$2:$J$13,0)&amp;"_Motivos")</formula1>
    </dataValidation>
    <dataValidation type="list" allowBlank="1" sqref="F300">
      <formula1>INDIRECT("Cat"&amp;MATCH($E300,Listas!$J$2:$J$13,0)&amp;"_Motivos")</formula1>
    </dataValidation>
    <dataValidation type="list" allowBlank="1" sqref="F31">
      <formula1>INDIRECT("Cat"&amp;MATCH($E31,Listas!$J$2:$J$13,0)&amp;"_Motivos")</formula1>
    </dataValidation>
    <dataValidation type="list" allowBlank="1" sqref="F32">
      <formula1>INDIRECT("Cat"&amp;MATCH($E32,Listas!$J$2:$J$13,0)&amp;"_Motivos")</formula1>
    </dataValidation>
    <dataValidation type="list" allowBlank="1" sqref="F33">
      <formula1>INDIRECT("Cat"&amp;MATCH($E33,Listas!$J$2:$J$13,0)&amp;"_Motivos")</formula1>
    </dataValidation>
    <dataValidation type="list" allowBlank="1" sqref="F34">
      <formula1>INDIRECT("Cat"&amp;MATCH($E34,Listas!$J$2:$J$13,0)&amp;"_Motivos")</formula1>
    </dataValidation>
    <dataValidation type="list" allowBlank="1" sqref="F35">
      <formula1>INDIRECT("Cat"&amp;MATCH($E35,Listas!$J$2:$J$13,0)&amp;"_Motivos")</formula1>
    </dataValidation>
    <dataValidation type="list" allowBlank="1" sqref="F36">
      <formula1>INDIRECT("Cat"&amp;MATCH($E36,Listas!$J$2:$J$13,0)&amp;"_Motivos")</formula1>
    </dataValidation>
    <dataValidation type="list" allowBlank="1" sqref="F37">
      <formula1>INDIRECT("Cat"&amp;MATCH($E37,Listas!$J$2:$J$13,0)&amp;"_Motivos")</formula1>
    </dataValidation>
    <dataValidation type="list" allowBlank="1" sqref="F38">
      <formula1>INDIRECT("Cat"&amp;MATCH($E38,Listas!$J$2:$J$13,0)&amp;"_Motivos")</formula1>
    </dataValidation>
    <dataValidation type="list" allowBlank="1" sqref="F39">
      <formula1>INDIRECT("Cat"&amp;MATCH($E39,Listas!$J$2:$J$13,0)&amp;"_Motivos")</formula1>
    </dataValidation>
    <dataValidation type="list" allowBlank="1" sqref="F4">
      <formula1>INDIRECT("Cat"&amp;MATCH($E4,Listas!$J$2:$J$13,0)&amp;"_Motivos")</formula1>
    </dataValidation>
    <dataValidation type="list" allowBlank="1" sqref="F40">
      <formula1>INDIRECT("Cat"&amp;MATCH($E40,Listas!$J$2:$J$13,0)&amp;"_Motivos")</formula1>
    </dataValidation>
    <dataValidation type="list" allowBlank="1" sqref="F41">
      <formula1>INDIRECT("Cat"&amp;MATCH($E41,Listas!$J$2:$J$13,0)&amp;"_Motivos")</formula1>
    </dataValidation>
    <dataValidation type="list" allowBlank="1" sqref="F42">
      <formula1>INDIRECT("Cat"&amp;MATCH($E42,Listas!$J$2:$J$13,0)&amp;"_Motivos")</formula1>
    </dataValidation>
    <dataValidation type="list" allowBlank="1" sqref="F43">
      <formula1>INDIRECT("Cat"&amp;MATCH($E43,Listas!$J$2:$J$13,0)&amp;"_Motivos")</formula1>
    </dataValidation>
    <dataValidation type="list" allowBlank="1" sqref="F44">
      <formula1>INDIRECT("Cat"&amp;MATCH($E44,Listas!$J$2:$J$13,0)&amp;"_Motivos")</formula1>
    </dataValidation>
    <dataValidation type="list" allowBlank="1" sqref="F45">
      <formula1>INDIRECT("Cat"&amp;MATCH($E45,Listas!$J$2:$J$13,0)&amp;"_Motivos")</formula1>
    </dataValidation>
    <dataValidation type="list" allowBlank="1" sqref="F46">
      <formula1>INDIRECT("Cat"&amp;MATCH($E46,Listas!$J$2:$J$13,0)&amp;"_Motivos")</formula1>
    </dataValidation>
    <dataValidation type="list" allowBlank="1" sqref="F47">
      <formula1>INDIRECT("Cat"&amp;MATCH($E47,Listas!$J$2:$J$13,0)&amp;"_Motivos")</formula1>
    </dataValidation>
    <dataValidation type="list" allowBlank="1" sqref="F48">
      <formula1>INDIRECT("Cat"&amp;MATCH($E48,Listas!$J$2:$J$13,0)&amp;"_Motivos")</formula1>
    </dataValidation>
    <dataValidation type="list" allowBlank="1" sqref="F49">
      <formula1>INDIRECT("Cat"&amp;MATCH($E49,Listas!$J$2:$J$13,0)&amp;"_Motivos")</formula1>
    </dataValidation>
    <dataValidation type="list" allowBlank="1" sqref="F5">
      <formula1>INDIRECT("Cat"&amp;MATCH($E5,Listas!$J$2:$J$13,0)&amp;"_Motivos")</formula1>
    </dataValidation>
    <dataValidation type="list" allowBlank="1" sqref="F50">
      <formula1>INDIRECT("Cat"&amp;MATCH($E50,Listas!$J$2:$J$13,0)&amp;"_Motivos")</formula1>
    </dataValidation>
    <dataValidation type="list" allowBlank="1" sqref="F51">
      <formula1>INDIRECT("Cat"&amp;MATCH($E51,Listas!$J$2:$J$13,0)&amp;"_Motivos")</formula1>
    </dataValidation>
    <dataValidation type="list" allowBlank="1" sqref="F52">
      <formula1>INDIRECT("Cat"&amp;MATCH($E52,Listas!$J$2:$J$13,0)&amp;"_Motivos")</formula1>
    </dataValidation>
    <dataValidation type="list" allowBlank="1" sqref="F53">
      <formula1>INDIRECT("Cat"&amp;MATCH($E53,Listas!$J$2:$J$13,0)&amp;"_Motivos")</formula1>
    </dataValidation>
    <dataValidation type="list" allowBlank="1" sqref="F54">
      <formula1>INDIRECT("Cat"&amp;MATCH($E54,Listas!$J$2:$J$13,0)&amp;"_Motivos")</formula1>
    </dataValidation>
    <dataValidation type="list" allowBlank="1" sqref="F55">
      <formula1>INDIRECT("Cat"&amp;MATCH($E55,Listas!$J$2:$J$13,0)&amp;"_Motivos")</formula1>
    </dataValidation>
    <dataValidation type="list" allowBlank="1" sqref="F56">
      <formula1>INDIRECT("Cat"&amp;MATCH($E56,Listas!$J$2:$J$13,0)&amp;"_Motivos")</formula1>
    </dataValidation>
    <dataValidation type="list" allowBlank="1" sqref="F57">
      <formula1>INDIRECT("Cat"&amp;MATCH($E57,Listas!$J$2:$J$13,0)&amp;"_Motivos")</formula1>
    </dataValidation>
    <dataValidation type="list" allowBlank="1" sqref="F58">
      <formula1>INDIRECT("Cat"&amp;MATCH($E58,Listas!$J$2:$J$13,0)&amp;"_Motivos")</formula1>
    </dataValidation>
    <dataValidation type="list" allowBlank="1" sqref="F59">
      <formula1>INDIRECT("Cat"&amp;MATCH($E59,Listas!$J$2:$J$13,0)&amp;"_Motivos")</formula1>
    </dataValidation>
    <dataValidation type="list" allowBlank="1" sqref="F6">
      <formula1>INDIRECT("Cat"&amp;MATCH($E6,Listas!$J$2:$J$13,0)&amp;"_Motivos")</formula1>
    </dataValidation>
    <dataValidation type="list" allowBlank="1" sqref="F60">
      <formula1>INDIRECT("Cat"&amp;MATCH($E60,Listas!$J$2:$J$13,0)&amp;"_Motivos")</formula1>
    </dataValidation>
    <dataValidation type="list" allowBlank="1" sqref="F61">
      <formula1>INDIRECT("Cat"&amp;MATCH($E61,Listas!$J$2:$J$13,0)&amp;"_Motivos")</formula1>
    </dataValidation>
    <dataValidation type="list" allowBlank="1" sqref="F62">
      <formula1>INDIRECT("Cat"&amp;MATCH($E62,Listas!$J$2:$J$13,0)&amp;"_Motivos")</formula1>
    </dataValidation>
    <dataValidation type="list" allowBlank="1" sqref="F63">
      <formula1>INDIRECT("Cat"&amp;MATCH($E63,Listas!$J$2:$J$13,0)&amp;"_Motivos")</formula1>
    </dataValidation>
    <dataValidation type="list" allowBlank="1" sqref="F64">
      <formula1>INDIRECT("Cat"&amp;MATCH($E64,Listas!$J$2:$J$13,0)&amp;"_Motivos")</formula1>
    </dataValidation>
    <dataValidation type="list" allowBlank="1" sqref="F65">
      <formula1>INDIRECT("Cat"&amp;MATCH($E65,Listas!$J$2:$J$13,0)&amp;"_Motivos")</formula1>
    </dataValidation>
    <dataValidation type="list" allowBlank="1" sqref="F66">
      <formula1>INDIRECT("Cat"&amp;MATCH($E66,Listas!$J$2:$J$13,0)&amp;"_Motivos")</formula1>
    </dataValidation>
    <dataValidation type="list" allowBlank="1" sqref="F67">
      <formula1>INDIRECT("Cat"&amp;MATCH($E67,Listas!$J$2:$J$13,0)&amp;"_Motivos")</formula1>
    </dataValidation>
    <dataValidation type="list" allowBlank="1" sqref="F68">
      <formula1>INDIRECT("Cat"&amp;MATCH($E68,Listas!$J$2:$J$13,0)&amp;"_Motivos")</formula1>
    </dataValidation>
    <dataValidation type="list" allowBlank="1" sqref="F69">
      <formula1>INDIRECT("Cat"&amp;MATCH($E69,Listas!$J$2:$J$13,0)&amp;"_Motivos")</formula1>
    </dataValidation>
    <dataValidation type="list" allowBlank="1" sqref="F7">
      <formula1>INDIRECT("Cat"&amp;MATCH($E7,Listas!$J$2:$J$13,0)&amp;"_Motivos")</formula1>
    </dataValidation>
    <dataValidation type="list" allowBlank="1" sqref="F70">
      <formula1>INDIRECT("Cat"&amp;MATCH($E70,Listas!$J$2:$J$13,0)&amp;"_Motivos")</formula1>
    </dataValidation>
    <dataValidation type="list" allowBlank="1" sqref="F71">
      <formula1>INDIRECT("Cat"&amp;MATCH($E71,Listas!$J$2:$J$13,0)&amp;"_Motivos")</formula1>
    </dataValidation>
    <dataValidation type="list" allowBlank="1" sqref="F72">
      <formula1>INDIRECT("Cat"&amp;MATCH($E72,Listas!$J$2:$J$13,0)&amp;"_Motivos")</formula1>
    </dataValidation>
    <dataValidation type="list" allowBlank="1" sqref="F73">
      <formula1>INDIRECT("Cat"&amp;MATCH($E73,Listas!$J$2:$J$13,0)&amp;"_Motivos")</formula1>
    </dataValidation>
    <dataValidation type="list" allowBlank="1" sqref="F74">
      <formula1>INDIRECT("Cat"&amp;MATCH($E74,Listas!$J$2:$J$13,0)&amp;"_Motivos")</formula1>
    </dataValidation>
    <dataValidation type="list" allowBlank="1" sqref="F75">
      <formula1>INDIRECT("Cat"&amp;MATCH($E75,Listas!$J$2:$J$13,0)&amp;"_Motivos")</formula1>
    </dataValidation>
    <dataValidation type="list" allowBlank="1" sqref="F76">
      <formula1>INDIRECT("Cat"&amp;MATCH($E76,Listas!$J$2:$J$13,0)&amp;"_Motivos")</formula1>
    </dataValidation>
    <dataValidation type="list" allowBlank="1" sqref="F77">
      <formula1>INDIRECT("Cat"&amp;MATCH($E77,Listas!$J$2:$J$13,0)&amp;"_Motivos")</formula1>
    </dataValidation>
    <dataValidation type="list" allowBlank="1" sqref="F78">
      <formula1>INDIRECT("Cat"&amp;MATCH($E78,Listas!$J$2:$J$13,0)&amp;"_Motivos")</formula1>
    </dataValidation>
    <dataValidation type="list" allowBlank="1" sqref="F79">
      <formula1>INDIRECT("Cat"&amp;MATCH($E79,Listas!$J$2:$J$13,0)&amp;"_Motivos")</formula1>
    </dataValidation>
    <dataValidation type="list" allowBlank="1" sqref="F8">
      <formula1>INDIRECT("Cat"&amp;MATCH($E8,Listas!$J$2:$J$13,0)&amp;"_Motivos")</formula1>
    </dataValidation>
    <dataValidation type="list" allowBlank="1" sqref="F80">
      <formula1>INDIRECT("Cat"&amp;MATCH($E80,Listas!$J$2:$J$13,0)&amp;"_Motivos")</formula1>
    </dataValidation>
    <dataValidation type="list" allowBlank="1" sqref="F81">
      <formula1>INDIRECT("Cat"&amp;MATCH($E81,Listas!$J$2:$J$13,0)&amp;"_Motivos")</formula1>
    </dataValidation>
    <dataValidation type="list" allowBlank="1" sqref="F82">
      <formula1>INDIRECT("Cat"&amp;MATCH($E82,Listas!$J$2:$J$13,0)&amp;"_Motivos")</formula1>
    </dataValidation>
    <dataValidation type="list" allowBlank="1" sqref="F83">
      <formula1>INDIRECT("Cat"&amp;MATCH($E83,Listas!$J$2:$J$13,0)&amp;"_Motivos")</formula1>
    </dataValidation>
    <dataValidation type="list" allowBlank="1" sqref="F84">
      <formula1>INDIRECT("Cat"&amp;MATCH($E84,Listas!$J$2:$J$13,0)&amp;"_Motivos")</formula1>
    </dataValidation>
    <dataValidation type="list" allowBlank="1" sqref="F85">
      <formula1>INDIRECT("Cat"&amp;MATCH($E85,Listas!$J$2:$J$13,0)&amp;"_Motivos")</formula1>
    </dataValidation>
    <dataValidation type="list" allowBlank="1" sqref="F86">
      <formula1>INDIRECT("Cat"&amp;MATCH($E86,Listas!$J$2:$J$13,0)&amp;"_Motivos")</formula1>
    </dataValidation>
    <dataValidation type="list" allowBlank="1" sqref="F87">
      <formula1>INDIRECT("Cat"&amp;MATCH($E87,Listas!$J$2:$J$13,0)&amp;"_Motivos")</formula1>
    </dataValidation>
    <dataValidation type="list" allowBlank="1" sqref="F88">
      <formula1>INDIRECT("Cat"&amp;MATCH($E88,Listas!$J$2:$J$13,0)&amp;"_Motivos")</formula1>
    </dataValidation>
    <dataValidation type="list" allowBlank="1" sqref="F89">
      <formula1>INDIRECT("Cat"&amp;MATCH($E89,Listas!$J$2:$J$13,0)&amp;"_Motivos")</formula1>
    </dataValidation>
    <dataValidation type="list" allowBlank="1" sqref="F9">
      <formula1>INDIRECT("Cat"&amp;MATCH($E9,Listas!$J$2:$J$13,0)&amp;"_Motivos")</formula1>
    </dataValidation>
    <dataValidation type="list" allowBlank="1" sqref="F90">
      <formula1>INDIRECT("Cat"&amp;MATCH($E90,Listas!$J$2:$J$13,0)&amp;"_Motivos")</formula1>
    </dataValidation>
    <dataValidation type="list" allowBlank="1" sqref="F91">
      <formula1>INDIRECT("Cat"&amp;MATCH($E91,Listas!$J$2:$J$13,0)&amp;"_Motivos")</formula1>
    </dataValidation>
    <dataValidation type="list" allowBlank="1" sqref="F92">
      <formula1>INDIRECT("Cat"&amp;MATCH($E92,Listas!$J$2:$J$13,0)&amp;"_Motivos")</formula1>
    </dataValidation>
    <dataValidation type="list" allowBlank="1" sqref="F93">
      <formula1>INDIRECT("Cat"&amp;MATCH($E93,Listas!$J$2:$J$13,0)&amp;"_Motivos")</formula1>
    </dataValidation>
    <dataValidation type="list" allowBlank="1" sqref="F94">
      <formula1>INDIRECT("Cat"&amp;MATCH($E94,Listas!$J$2:$J$13,0)&amp;"_Motivos")</formula1>
    </dataValidation>
    <dataValidation type="list" allowBlank="1" sqref="F95">
      <formula1>INDIRECT("Cat"&amp;MATCH($E95,Listas!$J$2:$J$13,0)&amp;"_Motivos")</formula1>
    </dataValidation>
    <dataValidation type="list" allowBlank="1" sqref="F96">
      <formula1>INDIRECT("Cat"&amp;MATCH($E96,Listas!$J$2:$J$13,0)&amp;"_Motivos")</formula1>
    </dataValidation>
    <dataValidation type="list" allowBlank="1" sqref="F97">
      <formula1>INDIRECT("Cat"&amp;MATCH($E97,Listas!$J$2:$J$13,0)&amp;"_Motivos")</formula1>
    </dataValidation>
    <dataValidation type="list" allowBlank="1" sqref="F98">
      <formula1>INDIRECT("Cat"&amp;MATCH($E98,Listas!$J$2:$J$13,0)&amp;"_Motivos")</formula1>
    </dataValidation>
    <dataValidation type="list" allowBlank="1" sqref="F99">
      <formula1>INDIRECT("Cat"&amp;MATCH($E99,Listas!$J$2:$J$13,0)&amp;"_Motivos")</formula1>
    </dataValidation>
    <dataValidation type="list" allowBlank="1" sqref="G10">
      <formula1>INDIRECT("Cat"&amp;MATCH($E10,Listas!$J$2:$J$13,0)&amp;"_Sugestoes")</formula1>
    </dataValidation>
    <dataValidation type="list" allowBlank="1" sqref="G100">
      <formula1>INDIRECT("Cat"&amp;MATCH($E100,Listas!$J$2:$J$13,0)&amp;"_Sugestoes")</formula1>
    </dataValidation>
    <dataValidation type="list" allowBlank="1" sqref="G101">
      <formula1>INDIRECT("Cat"&amp;MATCH($E101,Listas!$J$2:$J$13,0)&amp;"_Sugestoes")</formula1>
    </dataValidation>
    <dataValidation type="list" allowBlank="1" sqref="G102">
      <formula1>INDIRECT("Cat"&amp;MATCH($E102,Listas!$J$2:$J$13,0)&amp;"_Sugestoes")</formula1>
    </dataValidation>
    <dataValidation type="list" allowBlank="1" sqref="G103">
      <formula1>INDIRECT("Cat"&amp;MATCH($E103,Listas!$J$2:$J$13,0)&amp;"_Sugestoes")</formula1>
    </dataValidation>
    <dataValidation type="list" allowBlank="1" sqref="G104">
      <formula1>INDIRECT("Cat"&amp;MATCH($E104,Listas!$J$2:$J$13,0)&amp;"_Sugestoes")</formula1>
    </dataValidation>
    <dataValidation type="list" allowBlank="1" sqref="G105">
      <formula1>INDIRECT("Cat"&amp;MATCH($E105,Listas!$J$2:$J$13,0)&amp;"_Sugestoes")</formula1>
    </dataValidation>
    <dataValidation type="list" allowBlank="1" sqref="G106">
      <formula1>INDIRECT("Cat"&amp;MATCH($E106,Listas!$J$2:$J$13,0)&amp;"_Sugestoes")</formula1>
    </dataValidation>
    <dataValidation type="list" allowBlank="1" sqref="G107">
      <formula1>INDIRECT("Cat"&amp;MATCH($E107,Listas!$J$2:$J$13,0)&amp;"_Sugestoes")</formula1>
    </dataValidation>
    <dataValidation type="list" allowBlank="1" sqref="G108">
      <formula1>INDIRECT("Cat"&amp;MATCH($E108,Listas!$J$2:$J$13,0)&amp;"_Sugestoes")</formula1>
    </dataValidation>
    <dataValidation type="list" allowBlank="1" sqref="G109">
      <formula1>INDIRECT("Cat"&amp;MATCH($E109,Listas!$J$2:$J$13,0)&amp;"_Sugestoes")</formula1>
    </dataValidation>
    <dataValidation type="list" allowBlank="1" sqref="G11">
      <formula1>INDIRECT("Cat"&amp;MATCH($E11,Listas!$J$2:$J$13,0)&amp;"_Sugestoes")</formula1>
    </dataValidation>
    <dataValidation type="list" allowBlank="1" sqref="G110">
      <formula1>INDIRECT("Cat"&amp;MATCH($E110,Listas!$J$2:$J$13,0)&amp;"_Sugestoes")</formula1>
    </dataValidation>
    <dataValidation type="list" allowBlank="1" sqref="G111">
      <formula1>INDIRECT("Cat"&amp;MATCH($E111,Listas!$J$2:$J$13,0)&amp;"_Sugestoes")</formula1>
    </dataValidation>
    <dataValidation type="list" allowBlank="1" sqref="G112">
      <formula1>INDIRECT("Cat"&amp;MATCH($E112,Listas!$J$2:$J$13,0)&amp;"_Sugestoes")</formula1>
    </dataValidation>
    <dataValidation type="list" allowBlank="1" sqref="G113">
      <formula1>INDIRECT("Cat"&amp;MATCH($E113,Listas!$J$2:$J$13,0)&amp;"_Sugestoes")</formula1>
    </dataValidation>
    <dataValidation type="list" allowBlank="1" sqref="G114">
      <formula1>INDIRECT("Cat"&amp;MATCH($E114,Listas!$J$2:$J$13,0)&amp;"_Sugestoes")</formula1>
    </dataValidation>
    <dataValidation type="list" allowBlank="1" sqref="G115">
      <formula1>INDIRECT("Cat"&amp;MATCH($E115,Listas!$J$2:$J$13,0)&amp;"_Sugestoes")</formula1>
    </dataValidation>
    <dataValidation type="list" allowBlank="1" sqref="G116">
      <formula1>INDIRECT("Cat"&amp;MATCH($E116,Listas!$J$2:$J$13,0)&amp;"_Sugestoes")</formula1>
    </dataValidation>
    <dataValidation type="list" allowBlank="1" sqref="G117">
      <formula1>INDIRECT("Cat"&amp;MATCH($E117,Listas!$J$2:$J$13,0)&amp;"_Sugestoes")</formula1>
    </dataValidation>
    <dataValidation type="list" allowBlank="1" sqref="G118">
      <formula1>INDIRECT("Cat"&amp;MATCH($E118,Listas!$J$2:$J$13,0)&amp;"_Sugestoes")</formula1>
    </dataValidation>
    <dataValidation type="list" allowBlank="1" sqref="G119">
      <formula1>INDIRECT("Cat"&amp;MATCH($E119,Listas!$J$2:$J$13,0)&amp;"_Sugestoes")</formula1>
    </dataValidation>
    <dataValidation type="list" allowBlank="1" sqref="G12">
      <formula1>INDIRECT("Cat"&amp;MATCH($E12,Listas!$J$2:$J$13,0)&amp;"_Sugestoes")</formula1>
    </dataValidation>
    <dataValidation type="list" allowBlank="1" sqref="G120">
      <formula1>INDIRECT("Cat"&amp;MATCH($E120,Listas!$J$2:$J$13,0)&amp;"_Sugestoes")</formula1>
    </dataValidation>
    <dataValidation type="list" allowBlank="1" sqref="G121">
      <formula1>INDIRECT("Cat"&amp;MATCH($E121,Listas!$J$2:$J$13,0)&amp;"_Sugestoes")</formula1>
    </dataValidation>
    <dataValidation type="list" allowBlank="1" sqref="G122">
      <formula1>INDIRECT("Cat"&amp;MATCH($E122,Listas!$J$2:$J$13,0)&amp;"_Sugestoes")</formula1>
    </dataValidation>
    <dataValidation type="list" allowBlank="1" sqref="G123">
      <formula1>INDIRECT("Cat"&amp;MATCH($E123,Listas!$J$2:$J$13,0)&amp;"_Sugestoes")</formula1>
    </dataValidation>
    <dataValidation type="list" allowBlank="1" sqref="G124">
      <formula1>INDIRECT("Cat"&amp;MATCH($E124,Listas!$J$2:$J$13,0)&amp;"_Sugestoes")</formula1>
    </dataValidation>
    <dataValidation type="list" allowBlank="1" sqref="G125">
      <formula1>INDIRECT("Cat"&amp;MATCH($E125,Listas!$J$2:$J$13,0)&amp;"_Sugestoes")</formula1>
    </dataValidation>
    <dataValidation type="list" allowBlank="1" sqref="G126">
      <formula1>INDIRECT("Cat"&amp;MATCH($E126,Listas!$J$2:$J$13,0)&amp;"_Sugestoes")</formula1>
    </dataValidation>
    <dataValidation type="list" allowBlank="1" sqref="G127">
      <formula1>INDIRECT("Cat"&amp;MATCH($E127,Listas!$J$2:$J$13,0)&amp;"_Sugestoes")</formula1>
    </dataValidation>
    <dataValidation type="list" allowBlank="1" sqref="G128">
      <formula1>INDIRECT("Cat"&amp;MATCH($E128,Listas!$J$2:$J$13,0)&amp;"_Sugestoes")</formula1>
    </dataValidation>
    <dataValidation type="list" allowBlank="1" sqref="G129">
      <formula1>INDIRECT("Cat"&amp;MATCH($E129,Listas!$J$2:$J$13,0)&amp;"_Sugestoes")</formula1>
    </dataValidation>
    <dataValidation type="list" allowBlank="1" sqref="G13">
      <formula1>INDIRECT("Cat"&amp;MATCH($E13,Listas!$J$2:$J$13,0)&amp;"_Sugestoes")</formula1>
    </dataValidation>
    <dataValidation type="list" allowBlank="1" sqref="G130">
      <formula1>INDIRECT("Cat"&amp;MATCH($E130,Listas!$J$2:$J$13,0)&amp;"_Sugestoes")</formula1>
    </dataValidation>
    <dataValidation type="list" allowBlank="1" sqref="G131">
      <formula1>INDIRECT("Cat"&amp;MATCH($E131,Listas!$J$2:$J$13,0)&amp;"_Sugestoes")</formula1>
    </dataValidation>
    <dataValidation type="list" allowBlank="1" sqref="G132">
      <formula1>INDIRECT("Cat"&amp;MATCH($E132,Listas!$J$2:$J$13,0)&amp;"_Sugestoes")</formula1>
    </dataValidation>
    <dataValidation type="list" allowBlank="1" sqref="G133">
      <formula1>INDIRECT("Cat"&amp;MATCH($E133,Listas!$J$2:$J$13,0)&amp;"_Sugestoes")</formula1>
    </dataValidation>
    <dataValidation type="list" allowBlank="1" sqref="G134">
      <formula1>INDIRECT("Cat"&amp;MATCH($E134,Listas!$J$2:$J$13,0)&amp;"_Sugestoes")</formula1>
    </dataValidation>
    <dataValidation type="list" allowBlank="1" sqref="G135">
      <formula1>INDIRECT("Cat"&amp;MATCH($E135,Listas!$J$2:$J$13,0)&amp;"_Sugestoes")</formula1>
    </dataValidation>
    <dataValidation type="list" allowBlank="1" sqref="G136">
      <formula1>INDIRECT("Cat"&amp;MATCH($E136,Listas!$J$2:$J$13,0)&amp;"_Sugestoes")</formula1>
    </dataValidation>
    <dataValidation type="list" allowBlank="1" sqref="G137">
      <formula1>INDIRECT("Cat"&amp;MATCH($E137,Listas!$J$2:$J$13,0)&amp;"_Sugestoes")</formula1>
    </dataValidation>
    <dataValidation type="list" allowBlank="1" sqref="G138">
      <formula1>INDIRECT("Cat"&amp;MATCH($E138,Listas!$J$2:$J$13,0)&amp;"_Sugestoes")</formula1>
    </dataValidation>
    <dataValidation type="list" allowBlank="1" sqref="G139">
      <formula1>INDIRECT("Cat"&amp;MATCH($E139,Listas!$J$2:$J$13,0)&amp;"_Sugestoes")</formula1>
    </dataValidation>
    <dataValidation type="list" allowBlank="1" sqref="G14">
      <formula1>INDIRECT("Cat"&amp;MATCH($E14,Listas!$J$2:$J$13,0)&amp;"_Sugestoes")</formula1>
    </dataValidation>
    <dataValidation type="list" allowBlank="1" sqref="G140">
      <formula1>INDIRECT("Cat"&amp;MATCH($E140,Listas!$J$2:$J$13,0)&amp;"_Sugestoes")</formula1>
    </dataValidation>
    <dataValidation type="list" allowBlank="1" sqref="G141">
      <formula1>INDIRECT("Cat"&amp;MATCH($E141,Listas!$J$2:$J$13,0)&amp;"_Sugestoes")</formula1>
    </dataValidation>
    <dataValidation type="list" allowBlank="1" sqref="G142">
      <formula1>INDIRECT("Cat"&amp;MATCH($E142,Listas!$J$2:$J$13,0)&amp;"_Sugestoes")</formula1>
    </dataValidation>
    <dataValidation type="list" allowBlank="1" sqref="G143">
      <formula1>INDIRECT("Cat"&amp;MATCH($E143,Listas!$J$2:$J$13,0)&amp;"_Sugestoes")</formula1>
    </dataValidation>
    <dataValidation type="list" allowBlank="1" sqref="G144">
      <formula1>INDIRECT("Cat"&amp;MATCH($E144,Listas!$J$2:$J$13,0)&amp;"_Sugestoes")</formula1>
    </dataValidation>
    <dataValidation type="list" allowBlank="1" sqref="G145">
      <formula1>INDIRECT("Cat"&amp;MATCH($E145,Listas!$J$2:$J$13,0)&amp;"_Sugestoes")</formula1>
    </dataValidation>
    <dataValidation type="list" allowBlank="1" sqref="G146">
      <formula1>INDIRECT("Cat"&amp;MATCH($E146,Listas!$J$2:$J$13,0)&amp;"_Sugestoes")</formula1>
    </dataValidation>
    <dataValidation type="list" allowBlank="1" sqref="G147">
      <formula1>INDIRECT("Cat"&amp;MATCH($E147,Listas!$J$2:$J$13,0)&amp;"_Sugestoes")</formula1>
    </dataValidation>
    <dataValidation type="list" allowBlank="1" sqref="G148">
      <formula1>INDIRECT("Cat"&amp;MATCH($E148,Listas!$J$2:$J$13,0)&amp;"_Sugestoes")</formula1>
    </dataValidation>
    <dataValidation type="list" allowBlank="1" sqref="G149">
      <formula1>INDIRECT("Cat"&amp;MATCH($E149,Listas!$J$2:$J$13,0)&amp;"_Sugestoes")</formula1>
    </dataValidation>
    <dataValidation type="list" allowBlank="1" sqref="G15">
      <formula1>INDIRECT("Cat"&amp;MATCH($E15,Listas!$J$2:$J$13,0)&amp;"_Sugestoes")</formula1>
    </dataValidation>
    <dataValidation type="list" allowBlank="1" sqref="G150">
      <formula1>INDIRECT("Cat"&amp;MATCH($E150,Listas!$J$2:$J$13,0)&amp;"_Sugestoes")</formula1>
    </dataValidation>
    <dataValidation type="list" allowBlank="1" sqref="G151">
      <formula1>INDIRECT("Cat"&amp;MATCH($E151,Listas!$J$2:$J$13,0)&amp;"_Sugestoes")</formula1>
    </dataValidation>
    <dataValidation type="list" allowBlank="1" sqref="G152">
      <formula1>INDIRECT("Cat"&amp;MATCH($E152,Listas!$J$2:$J$13,0)&amp;"_Sugestoes")</formula1>
    </dataValidation>
    <dataValidation type="list" allowBlank="1" sqref="G153">
      <formula1>INDIRECT("Cat"&amp;MATCH($E153,Listas!$J$2:$J$13,0)&amp;"_Sugestoes")</formula1>
    </dataValidation>
    <dataValidation type="list" allowBlank="1" sqref="G154">
      <formula1>INDIRECT("Cat"&amp;MATCH($E154,Listas!$J$2:$J$13,0)&amp;"_Sugestoes")</formula1>
    </dataValidation>
    <dataValidation type="list" allowBlank="1" sqref="G155">
      <formula1>INDIRECT("Cat"&amp;MATCH($E155,Listas!$J$2:$J$13,0)&amp;"_Sugestoes")</formula1>
    </dataValidation>
    <dataValidation type="list" allowBlank="1" sqref="G156">
      <formula1>INDIRECT("Cat"&amp;MATCH($E156,Listas!$J$2:$J$13,0)&amp;"_Sugestoes")</formula1>
    </dataValidation>
    <dataValidation type="list" allowBlank="1" sqref="G157">
      <formula1>INDIRECT("Cat"&amp;MATCH($E157,Listas!$J$2:$J$13,0)&amp;"_Sugestoes")</formula1>
    </dataValidation>
    <dataValidation type="list" allowBlank="1" sqref="G158">
      <formula1>INDIRECT("Cat"&amp;MATCH($E158,Listas!$J$2:$J$13,0)&amp;"_Sugestoes")</formula1>
    </dataValidation>
    <dataValidation type="list" allowBlank="1" sqref="G159">
      <formula1>INDIRECT("Cat"&amp;MATCH($E159,Listas!$J$2:$J$13,0)&amp;"_Sugestoes")</formula1>
    </dataValidation>
    <dataValidation type="list" allowBlank="1" sqref="G16">
      <formula1>INDIRECT("Cat"&amp;MATCH($E16,Listas!$J$2:$J$13,0)&amp;"_Sugestoes")</formula1>
    </dataValidation>
    <dataValidation type="list" allowBlank="1" sqref="G160">
      <formula1>INDIRECT("Cat"&amp;MATCH($E160,Listas!$J$2:$J$13,0)&amp;"_Sugestoes")</formula1>
    </dataValidation>
    <dataValidation type="list" allowBlank="1" sqref="G161">
      <formula1>INDIRECT("Cat"&amp;MATCH($E161,Listas!$J$2:$J$13,0)&amp;"_Sugestoes")</formula1>
    </dataValidation>
    <dataValidation type="list" allowBlank="1" sqref="G162">
      <formula1>INDIRECT("Cat"&amp;MATCH($E162,Listas!$J$2:$J$13,0)&amp;"_Sugestoes")</formula1>
    </dataValidation>
    <dataValidation type="list" allowBlank="1" sqref="G163">
      <formula1>INDIRECT("Cat"&amp;MATCH($E163,Listas!$J$2:$J$13,0)&amp;"_Sugestoes")</formula1>
    </dataValidation>
    <dataValidation type="list" allowBlank="1" sqref="G164">
      <formula1>INDIRECT("Cat"&amp;MATCH($E164,Listas!$J$2:$J$13,0)&amp;"_Sugestoes")</formula1>
    </dataValidation>
    <dataValidation type="list" allowBlank="1" sqref="G165">
      <formula1>INDIRECT("Cat"&amp;MATCH($E165,Listas!$J$2:$J$13,0)&amp;"_Sugestoes")</formula1>
    </dataValidation>
    <dataValidation type="list" allowBlank="1" sqref="G166">
      <formula1>INDIRECT("Cat"&amp;MATCH($E166,Listas!$J$2:$J$13,0)&amp;"_Sugestoes")</formula1>
    </dataValidation>
    <dataValidation type="list" allowBlank="1" sqref="G167">
      <formula1>INDIRECT("Cat"&amp;MATCH($E167,Listas!$J$2:$J$13,0)&amp;"_Sugestoes")</formula1>
    </dataValidation>
    <dataValidation type="list" allowBlank="1" sqref="G168">
      <formula1>INDIRECT("Cat"&amp;MATCH($E168,Listas!$J$2:$J$13,0)&amp;"_Sugestoes")</formula1>
    </dataValidation>
    <dataValidation type="list" allowBlank="1" sqref="G169">
      <formula1>INDIRECT("Cat"&amp;MATCH($E169,Listas!$J$2:$J$13,0)&amp;"_Sugestoes")</formula1>
    </dataValidation>
    <dataValidation type="list" allowBlank="1" sqref="G17">
      <formula1>INDIRECT("Cat"&amp;MATCH($E17,Listas!$J$2:$J$13,0)&amp;"_Sugestoes")</formula1>
    </dataValidation>
    <dataValidation type="list" allowBlank="1" sqref="G170">
      <formula1>INDIRECT("Cat"&amp;MATCH($E170,Listas!$J$2:$J$13,0)&amp;"_Sugestoes")</formula1>
    </dataValidation>
    <dataValidation type="list" allowBlank="1" sqref="G171">
      <formula1>INDIRECT("Cat"&amp;MATCH($E171,Listas!$J$2:$J$13,0)&amp;"_Sugestoes")</formula1>
    </dataValidation>
    <dataValidation type="list" allowBlank="1" sqref="G172">
      <formula1>INDIRECT("Cat"&amp;MATCH($E172,Listas!$J$2:$J$13,0)&amp;"_Sugestoes")</formula1>
    </dataValidation>
    <dataValidation type="list" allowBlank="1" sqref="G173">
      <formula1>INDIRECT("Cat"&amp;MATCH($E173,Listas!$J$2:$J$13,0)&amp;"_Sugestoes")</formula1>
    </dataValidation>
    <dataValidation type="list" allowBlank="1" sqref="G174">
      <formula1>INDIRECT("Cat"&amp;MATCH($E174,Listas!$J$2:$J$13,0)&amp;"_Sugestoes")</formula1>
    </dataValidation>
    <dataValidation type="list" allowBlank="1" sqref="G175">
      <formula1>INDIRECT("Cat"&amp;MATCH($E175,Listas!$J$2:$J$13,0)&amp;"_Sugestoes")</formula1>
    </dataValidation>
    <dataValidation type="list" allowBlank="1" sqref="G176">
      <formula1>INDIRECT("Cat"&amp;MATCH($E176,Listas!$J$2:$J$13,0)&amp;"_Sugestoes")</formula1>
    </dataValidation>
    <dataValidation type="list" allowBlank="1" sqref="G177">
      <formula1>INDIRECT("Cat"&amp;MATCH($E177,Listas!$J$2:$J$13,0)&amp;"_Sugestoes")</formula1>
    </dataValidation>
    <dataValidation type="list" allowBlank="1" sqref="G178">
      <formula1>INDIRECT("Cat"&amp;MATCH($E178,Listas!$J$2:$J$13,0)&amp;"_Sugestoes")</formula1>
    </dataValidation>
    <dataValidation type="list" allowBlank="1" sqref="G179">
      <formula1>INDIRECT("Cat"&amp;MATCH($E179,Listas!$J$2:$J$13,0)&amp;"_Sugestoes")</formula1>
    </dataValidation>
    <dataValidation type="list" allowBlank="1" sqref="G18">
      <formula1>INDIRECT("Cat"&amp;MATCH($E18,Listas!$J$2:$J$13,0)&amp;"_Sugestoes")</formula1>
    </dataValidation>
    <dataValidation type="list" allowBlank="1" sqref="G180">
      <formula1>INDIRECT("Cat"&amp;MATCH($E180,Listas!$J$2:$J$13,0)&amp;"_Sugestoes")</formula1>
    </dataValidation>
    <dataValidation type="list" allowBlank="1" sqref="G181">
      <formula1>INDIRECT("Cat"&amp;MATCH($E181,Listas!$J$2:$J$13,0)&amp;"_Sugestoes")</formula1>
    </dataValidation>
    <dataValidation type="list" allowBlank="1" sqref="G182">
      <formula1>INDIRECT("Cat"&amp;MATCH($E182,Listas!$J$2:$J$13,0)&amp;"_Sugestoes")</formula1>
    </dataValidation>
    <dataValidation type="list" allowBlank="1" sqref="G183">
      <formula1>INDIRECT("Cat"&amp;MATCH($E183,Listas!$J$2:$J$13,0)&amp;"_Sugestoes")</formula1>
    </dataValidation>
    <dataValidation type="list" allowBlank="1" sqref="G184">
      <formula1>INDIRECT("Cat"&amp;MATCH($E184,Listas!$J$2:$J$13,0)&amp;"_Sugestoes")</formula1>
    </dataValidation>
    <dataValidation type="list" allowBlank="1" sqref="G185">
      <formula1>INDIRECT("Cat"&amp;MATCH($E185,Listas!$J$2:$J$13,0)&amp;"_Sugestoes")</formula1>
    </dataValidation>
    <dataValidation type="list" allowBlank="1" sqref="G186">
      <formula1>INDIRECT("Cat"&amp;MATCH($E186,Listas!$J$2:$J$13,0)&amp;"_Sugestoes")</formula1>
    </dataValidation>
    <dataValidation type="list" allowBlank="1" sqref="G187">
      <formula1>INDIRECT("Cat"&amp;MATCH($E187,Listas!$J$2:$J$13,0)&amp;"_Sugestoes")</formula1>
    </dataValidation>
    <dataValidation type="list" allowBlank="1" sqref="G188">
      <formula1>INDIRECT("Cat"&amp;MATCH($E188,Listas!$J$2:$J$13,0)&amp;"_Sugestoes")</formula1>
    </dataValidation>
    <dataValidation type="list" allowBlank="1" sqref="G189">
      <formula1>INDIRECT("Cat"&amp;MATCH($E189,Listas!$J$2:$J$13,0)&amp;"_Sugestoes")</formula1>
    </dataValidation>
    <dataValidation type="list" allowBlank="1" sqref="G19">
      <formula1>INDIRECT("Cat"&amp;MATCH($E19,Listas!$J$2:$J$13,0)&amp;"_Sugestoes")</formula1>
    </dataValidation>
    <dataValidation type="list" allowBlank="1" sqref="G190">
      <formula1>INDIRECT("Cat"&amp;MATCH($E190,Listas!$J$2:$J$13,0)&amp;"_Sugestoes")</formula1>
    </dataValidation>
    <dataValidation type="list" allowBlank="1" sqref="G191">
      <formula1>INDIRECT("Cat"&amp;MATCH($E191,Listas!$J$2:$J$13,0)&amp;"_Sugestoes")</formula1>
    </dataValidation>
    <dataValidation type="list" allowBlank="1" sqref="G192">
      <formula1>INDIRECT("Cat"&amp;MATCH($E192,Listas!$J$2:$J$13,0)&amp;"_Sugestoes")</formula1>
    </dataValidation>
    <dataValidation type="list" allowBlank="1" sqref="G193">
      <formula1>INDIRECT("Cat"&amp;MATCH($E193,Listas!$J$2:$J$13,0)&amp;"_Sugestoes")</formula1>
    </dataValidation>
    <dataValidation type="list" allowBlank="1" sqref="G194">
      <formula1>INDIRECT("Cat"&amp;MATCH($E194,Listas!$J$2:$J$13,0)&amp;"_Sugestoes")</formula1>
    </dataValidation>
    <dataValidation type="list" allowBlank="1" sqref="G195">
      <formula1>INDIRECT("Cat"&amp;MATCH($E195,Listas!$J$2:$J$13,0)&amp;"_Sugestoes")</formula1>
    </dataValidation>
    <dataValidation type="list" allowBlank="1" sqref="G196">
      <formula1>INDIRECT("Cat"&amp;MATCH($E196,Listas!$J$2:$J$13,0)&amp;"_Sugestoes")</formula1>
    </dataValidation>
    <dataValidation type="list" allowBlank="1" sqref="G197">
      <formula1>INDIRECT("Cat"&amp;MATCH($E197,Listas!$J$2:$J$13,0)&amp;"_Sugestoes")</formula1>
    </dataValidation>
    <dataValidation type="list" allowBlank="1" sqref="G198">
      <formula1>INDIRECT("Cat"&amp;MATCH($E198,Listas!$J$2:$J$13,0)&amp;"_Sugestoes")</formula1>
    </dataValidation>
    <dataValidation type="list" allowBlank="1" sqref="G199">
      <formula1>INDIRECT("Cat"&amp;MATCH($E199,Listas!$J$2:$J$13,0)&amp;"_Sugestoes")</formula1>
    </dataValidation>
    <dataValidation type="list" allowBlank="1" sqref="G2">
      <formula1>INDIRECT("Cat"&amp;MATCH($E2,Listas!$J$2:$J$13,0)&amp;"_Sugestoes")</formula1>
    </dataValidation>
    <dataValidation type="list" allowBlank="1" sqref="G20">
      <formula1>INDIRECT("Cat"&amp;MATCH($E20,Listas!$J$2:$J$13,0)&amp;"_Sugestoes")</formula1>
    </dataValidation>
    <dataValidation type="list" allowBlank="1" sqref="G200">
      <formula1>INDIRECT("Cat"&amp;MATCH($E200,Listas!$J$2:$J$13,0)&amp;"_Sugestoes")</formula1>
    </dataValidation>
    <dataValidation type="list" allowBlank="1" sqref="G201">
      <formula1>INDIRECT("Cat"&amp;MATCH($E201,Listas!$J$2:$J$13,0)&amp;"_Sugestoes")</formula1>
    </dataValidation>
    <dataValidation type="list" allowBlank="1" sqref="G202">
      <formula1>INDIRECT("Cat"&amp;MATCH($E202,Listas!$J$2:$J$13,0)&amp;"_Sugestoes")</formula1>
    </dataValidation>
    <dataValidation type="list" allowBlank="1" sqref="G203">
      <formula1>INDIRECT("Cat"&amp;MATCH($E203,Listas!$J$2:$J$13,0)&amp;"_Sugestoes")</formula1>
    </dataValidation>
    <dataValidation type="list" allowBlank="1" sqref="G204">
      <formula1>INDIRECT("Cat"&amp;MATCH($E204,Listas!$J$2:$J$13,0)&amp;"_Sugestoes")</formula1>
    </dataValidation>
    <dataValidation type="list" allowBlank="1" sqref="G205">
      <formula1>INDIRECT("Cat"&amp;MATCH($E205,Listas!$J$2:$J$13,0)&amp;"_Sugestoes")</formula1>
    </dataValidation>
    <dataValidation type="list" allowBlank="1" sqref="G206">
      <formula1>INDIRECT("Cat"&amp;MATCH($E206,Listas!$J$2:$J$13,0)&amp;"_Sugestoes")</formula1>
    </dataValidation>
    <dataValidation type="list" allowBlank="1" sqref="G207">
      <formula1>INDIRECT("Cat"&amp;MATCH($E207,Listas!$J$2:$J$13,0)&amp;"_Sugestoes")</formula1>
    </dataValidation>
    <dataValidation type="list" allowBlank="1" sqref="G208">
      <formula1>INDIRECT("Cat"&amp;MATCH($E208,Listas!$J$2:$J$13,0)&amp;"_Sugestoes")</formula1>
    </dataValidation>
    <dataValidation type="list" allowBlank="1" sqref="G209">
      <formula1>INDIRECT("Cat"&amp;MATCH($E209,Listas!$J$2:$J$13,0)&amp;"_Sugestoes")</formula1>
    </dataValidation>
    <dataValidation type="list" allowBlank="1" sqref="G21">
      <formula1>INDIRECT("Cat"&amp;MATCH($E21,Listas!$J$2:$J$13,0)&amp;"_Sugestoes")</formula1>
    </dataValidation>
    <dataValidation type="list" allowBlank="1" sqref="G210">
      <formula1>INDIRECT("Cat"&amp;MATCH($E210,Listas!$J$2:$J$13,0)&amp;"_Sugestoes")</formula1>
    </dataValidation>
    <dataValidation type="list" allowBlank="1" sqref="G211">
      <formula1>INDIRECT("Cat"&amp;MATCH($E211,Listas!$J$2:$J$13,0)&amp;"_Sugestoes")</formula1>
    </dataValidation>
    <dataValidation type="list" allowBlank="1" sqref="G212">
      <formula1>INDIRECT("Cat"&amp;MATCH($E212,Listas!$J$2:$J$13,0)&amp;"_Sugestoes")</formula1>
    </dataValidation>
    <dataValidation type="list" allowBlank="1" sqref="G213">
      <formula1>INDIRECT("Cat"&amp;MATCH($E213,Listas!$J$2:$J$13,0)&amp;"_Sugestoes")</formula1>
    </dataValidation>
    <dataValidation type="list" allowBlank="1" sqref="G214">
      <formula1>INDIRECT("Cat"&amp;MATCH($E214,Listas!$J$2:$J$13,0)&amp;"_Sugestoes")</formula1>
    </dataValidation>
    <dataValidation type="list" allowBlank="1" sqref="G215">
      <formula1>INDIRECT("Cat"&amp;MATCH($E215,Listas!$J$2:$J$13,0)&amp;"_Sugestoes")</formula1>
    </dataValidation>
    <dataValidation type="list" allowBlank="1" sqref="G216">
      <formula1>INDIRECT("Cat"&amp;MATCH($E216,Listas!$J$2:$J$13,0)&amp;"_Sugestoes")</formula1>
    </dataValidation>
    <dataValidation type="list" allowBlank="1" sqref="G217">
      <formula1>INDIRECT("Cat"&amp;MATCH($E217,Listas!$J$2:$J$13,0)&amp;"_Sugestoes")</formula1>
    </dataValidation>
    <dataValidation type="list" allowBlank="1" sqref="G218">
      <formula1>INDIRECT("Cat"&amp;MATCH($E218,Listas!$J$2:$J$13,0)&amp;"_Sugestoes")</formula1>
    </dataValidation>
    <dataValidation type="list" allowBlank="1" sqref="G219">
      <formula1>INDIRECT("Cat"&amp;MATCH($E219,Listas!$J$2:$J$13,0)&amp;"_Sugestoes")</formula1>
    </dataValidation>
    <dataValidation type="list" allowBlank="1" sqref="G22">
      <formula1>INDIRECT("Cat"&amp;MATCH($E22,Listas!$J$2:$J$13,0)&amp;"_Sugestoes")</formula1>
    </dataValidation>
    <dataValidation type="list" allowBlank="1" sqref="G220">
      <formula1>INDIRECT("Cat"&amp;MATCH($E220,Listas!$J$2:$J$13,0)&amp;"_Sugestoes")</formula1>
    </dataValidation>
    <dataValidation type="list" allowBlank="1" sqref="G221">
      <formula1>INDIRECT("Cat"&amp;MATCH($E221,Listas!$J$2:$J$13,0)&amp;"_Sugestoes")</formula1>
    </dataValidation>
    <dataValidation type="list" allowBlank="1" sqref="G222">
      <formula1>INDIRECT("Cat"&amp;MATCH($E222,Listas!$J$2:$J$13,0)&amp;"_Sugestoes")</formula1>
    </dataValidation>
    <dataValidation type="list" allowBlank="1" sqref="G223">
      <formula1>INDIRECT("Cat"&amp;MATCH($E223,Listas!$J$2:$J$13,0)&amp;"_Sugestoes")</formula1>
    </dataValidation>
    <dataValidation type="list" allowBlank="1" sqref="G224">
      <formula1>INDIRECT("Cat"&amp;MATCH($E224,Listas!$J$2:$J$13,0)&amp;"_Sugestoes")</formula1>
    </dataValidation>
    <dataValidation type="list" allowBlank="1" sqref="G225">
      <formula1>INDIRECT("Cat"&amp;MATCH($E225,Listas!$J$2:$J$13,0)&amp;"_Sugestoes")</formula1>
    </dataValidation>
    <dataValidation type="list" allowBlank="1" sqref="G226">
      <formula1>INDIRECT("Cat"&amp;MATCH($E226,Listas!$J$2:$J$13,0)&amp;"_Sugestoes")</formula1>
    </dataValidation>
    <dataValidation type="list" allowBlank="1" sqref="G227">
      <formula1>INDIRECT("Cat"&amp;MATCH($E227,Listas!$J$2:$J$13,0)&amp;"_Sugestoes")</formula1>
    </dataValidation>
    <dataValidation type="list" allowBlank="1" sqref="G228">
      <formula1>INDIRECT("Cat"&amp;MATCH($E228,Listas!$J$2:$J$13,0)&amp;"_Sugestoes")</formula1>
    </dataValidation>
    <dataValidation type="list" allowBlank="1" sqref="G229">
      <formula1>INDIRECT("Cat"&amp;MATCH($E229,Listas!$J$2:$J$13,0)&amp;"_Sugestoes")</formula1>
    </dataValidation>
    <dataValidation type="list" allowBlank="1" sqref="G23">
      <formula1>INDIRECT("Cat"&amp;MATCH($E23,Listas!$J$2:$J$13,0)&amp;"_Sugestoes")</formula1>
    </dataValidation>
    <dataValidation type="list" allowBlank="1" sqref="G230">
      <formula1>INDIRECT("Cat"&amp;MATCH($E230,Listas!$J$2:$J$13,0)&amp;"_Sugestoes")</formula1>
    </dataValidation>
    <dataValidation type="list" allowBlank="1" sqref="G231">
      <formula1>INDIRECT("Cat"&amp;MATCH($E231,Listas!$J$2:$J$13,0)&amp;"_Sugestoes")</formula1>
    </dataValidation>
    <dataValidation type="list" allowBlank="1" sqref="G232">
      <formula1>INDIRECT("Cat"&amp;MATCH($E232,Listas!$J$2:$J$13,0)&amp;"_Sugestoes")</formula1>
    </dataValidation>
    <dataValidation type="list" allowBlank="1" sqref="G233">
      <formula1>INDIRECT("Cat"&amp;MATCH($E233,Listas!$J$2:$J$13,0)&amp;"_Sugestoes")</formula1>
    </dataValidation>
    <dataValidation type="list" allowBlank="1" sqref="G234">
      <formula1>INDIRECT("Cat"&amp;MATCH($E234,Listas!$J$2:$J$13,0)&amp;"_Sugestoes")</formula1>
    </dataValidation>
    <dataValidation type="list" allowBlank="1" sqref="G235">
      <formula1>INDIRECT("Cat"&amp;MATCH($E235,Listas!$J$2:$J$13,0)&amp;"_Sugestoes")</formula1>
    </dataValidation>
    <dataValidation type="list" allowBlank="1" sqref="G236">
      <formula1>INDIRECT("Cat"&amp;MATCH($E236,Listas!$J$2:$J$13,0)&amp;"_Sugestoes")</formula1>
    </dataValidation>
    <dataValidation type="list" allowBlank="1" sqref="G237">
      <formula1>INDIRECT("Cat"&amp;MATCH($E237,Listas!$J$2:$J$13,0)&amp;"_Sugestoes")</formula1>
    </dataValidation>
    <dataValidation type="list" allowBlank="1" sqref="G238">
      <formula1>INDIRECT("Cat"&amp;MATCH($E238,Listas!$J$2:$J$13,0)&amp;"_Sugestoes")</formula1>
    </dataValidation>
    <dataValidation type="list" allowBlank="1" sqref="G239">
      <formula1>INDIRECT("Cat"&amp;MATCH($E239,Listas!$J$2:$J$13,0)&amp;"_Sugestoes")</formula1>
    </dataValidation>
    <dataValidation type="list" allowBlank="1" sqref="G24">
      <formula1>INDIRECT("Cat"&amp;MATCH($E24,Listas!$J$2:$J$13,0)&amp;"_Sugestoes")</formula1>
    </dataValidation>
    <dataValidation type="list" allowBlank="1" sqref="G240">
      <formula1>INDIRECT("Cat"&amp;MATCH($E240,Listas!$J$2:$J$13,0)&amp;"_Sugestoes")</formula1>
    </dataValidation>
    <dataValidation type="list" allowBlank="1" sqref="G241">
      <formula1>INDIRECT("Cat"&amp;MATCH($E241,Listas!$J$2:$J$13,0)&amp;"_Sugestoes")</formula1>
    </dataValidation>
    <dataValidation type="list" allowBlank="1" sqref="G242">
      <formula1>INDIRECT("Cat"&amp;MATCH($E242,Listas!$J$2:$J$13,0)&amp;"_Sugestoes")</formula1>
    </dataValidation>
    <dataValidation type="list" allowBlank="1" sqref="G243">
      <formula1>INDIRECT("Cat"&amp;MATCH($E243,Listas!$J$2:$J$13,0)&amp;"_Sugestoes")</formula1>
    </dataValidation>
    <dataValidation type="list" allowBlank="1" sqref="G244">
      <formula1>INDIRECT("Cat"&amp;MATCH($E244,Listas!$J$2:$J$13,0)&amp;"_Sugestoes")</formula1>
    </dataValidation>
    <dataValidation type="list" allowBlank="1" sqref="G245">
      <formula1>INDIRECT("Cat"&amp;MATCH($E245,Listas!$J$2:$J$13,0)&amp;"_Sugestoes")</formula1>
    </dataValidation>
    <dataValidation type="list" allowBlank="1" sqref="G246">
      <formula1>INDIRECT("Cat"&amp;MATCH($E246,Listas!$J$2:$J$13,0)&amp;"_Sugestoes")</formula1>
    </dataValidation>
    <dataValidation type="list" allowBlank="1" sqref="G247">
      <formula1>INDIRECT("Cat"&amp;MATCH($E247,Listas!$J$2:$J$13,0)&amp;"_Sugestoes")</formula1>
    </dataValidation>
    <dataValidation type="list" allowBlank="1" sqref="G248">
      <formula1>INDIRECT("Cat"&amp;MATCH($E248,Listas!$J$2:$J$13,0)&amp;"_Sugestoes")</formula1>
    </dataValidation>
    <dataValidation type="list" allowBlank="1" sqref="G249">
      <formula1>INDIRECT("Cat"&amp;MATCH($E249,Listas!$J$2:$J$13,0)&amp;"_Sugestoes")</formula1>
    </dataValidation>
    <dataValidation type="list" allowBlank="1" sqref="G25">
      <formula1>INDIRECT("Cat"&amp;MATCH($E25,Listas!$J$2:$J$13,0)&amp;"_Sugestoes")</formula1>
    </dataValidation>
    <dataValidation type="list" allowBlank="1" sqref="G250">
      <formula1>INDIRECT("Cat"&amp;MATCH($E250,Listas!$J$2:$J$13,0)&amp;"_Sugestoes")</formula1>
    </dataValidation>
    <dataValidation type="list" allowBlank="1" sqref="G251">
      <formula1>INDIRECT("Cat"&amp;MATCH($E251,Listas!$J$2:$J$13,0)&amp;"_Sugestoes")</formula1>
    </dataValidation>
    <dataValidation type="list" allowBlank="1" sqref="G252">
      <formula1>INDIRECT("Cat"&amp;MATCH($E252,Listas!$J$2:$J$13,0)&amp;"_Sugestoes")</formula1>
    </dataValidation>
    <dataValidation type="list" allowBlank="1" sqref="G253">
      <formula1>INDIRECT("Cat"&amp;MATCH($E253,Listas!$J$2:$J$13,0)&amp;"_Sugestoes")</formula1>
    </dataValidation>
    <dataValidation type="list" allowBlank="1" sqref="G254">
      <formula1>INDIRECT("Cat"&amp;MATCH($E254,Listas!$J$2:$J$13,0)&amp;"_Sugestoes")</formula1>
    </dataValidation>
    <dataValidation type="list" allowBlank="1" sqref="G255">
      <formula1>INDIRECT("Cat"&amp;MATCH($E255,Listas!$J$2:$J$13,0)&amp;"_Sugestoes")</formula1>
    </dataValidation>
    <dataValidation type="list" allowBlank="1" sqref="G256">
      <formula1>INDIRECT("Cat"&amp;MATCH($E256,Listas!$J$2:$J$13,0)&amp;"_Sugestoes")</formula1>
    </dataValidation>
    <dataValidation type="list" allowBlank="1" sqref="G257">
      <formula1>INDIRECT("Cat"&amp;MATCH($E257,Listas!$J$2:$J$13,0)&amp;"_Sugestoes")</formula1>
    </dataValidation>
    <dataValidation type="list" allowBlank="1" sqref="G258">
      <formula1>INDIRECT("Cat"&amp;MATCH($E258,Listas!$J$2:$J$13,0)&amp;"_Sugestoes")</formula1>
    </dataValidation>
    <dataValidation type="list" allowBlank="1" sqref="G259">
      <formula1>INDIRECT("Cat"&amp;MATCH($E259,Listas!$J$2:$J$13,0)&amp;"_Sugestoes")</formula1>
    </dataValidation>
    <dataValidation type="list" allowBlank="1" sqref="G26">
      <formula1>INDIRECT("Cat"&amp;MATCH($E26,Listas!$J$2:$J$13,0)&amp;"_Sugestoes")</formula1>
    </dataValidation>
    <dataValidation type="list" allowBlank="1" sqref="G260">
      <formula1>INDIRECT("Cat"&amp;MATCH($E260,Listas!$J$2:$J$13,0)&amp;"_Sugestoes")</formula1>
    </dataValidation>
    <dataValidation type="list" allowBlank="1" sqref="G261">
      <formula1>INDIRECT("Cat"&amp;MATCH($E261,Listas!$J$2:$J$13,0)&amp;"_Sugestoes")</formula1>
    </dataValidation>
    <dataValidation type="list" allowBlank="1" sqref="G262">
      <formula1>INDIRECT("Cat"&amp;MATCH($E262,Listas!$J$2:$J$13,0)&amp;"_Sugestoes")</formula1>
    </dataValidation>
    <dataValidation type="list" allowBlank="1" sqref="G263">
      <formula1>INDIRECT("Cat"&amp;MATCH($E263,Listas!$J$2:$J$13,0)&amp;"_Sugestoes")</formula1>
    </dataValidation>
    <dataValidation type="list" allowBlank="1" sqref="G264">
      <formula1>INDIRECT("Cat"&amp;MATCH($E264,Listas!$J$2:$J$13,0)&amp;"_Sugestoes")</formula1>
    </dataValidation>
    <dataValidation type="list" allowBlank="1" sqref="G265">
      <formula1>INDIRECT("Cat"&amp;MATCH($E265,Listas!$J$2:$J$13,0)&amp;"_Sugestoes")</formula1>
    </dataValidation>
    <dataValidation type="list" allowBlank="1" sqref="G266">
      <formula1>INDIRECT("Cat"&amp;MATCH($E266,Listas!$J$2:$J$13,0)&amp;"_Sugestoes")</formula1>
    </dataValidation>
    <dataValidation type="list" allowBlank="1" sqref="G267">
      <formula1>INDIRECT("Cat"&amp;MATCH($E267,Listas!$J$2:$J$13,0)&amp;"_Sugestoes")</formula1>
    </dataValidation>
    <dataValidation type="list" allowBlank="1" sqref="G268">
      <formula1>INDIRECT("Cat"&amp;MATCH($E268,Listas!$J$2:$J$13,0)&amp;"_Sugestoes")</formula1>
    </dataValidation>
    <dataValidation type="list" allowBlank="1" sqref="G269">
      <formula1>INDIRECT("Cat"&amp;MATCH($E269,Listas!$J$2:$J$13,0)&amp;"_Sugestoes")</formula1>
    </dataValidation>
    <dataValidation type="list" allowBlank="1" sqref="G27">
      <formula1>INDIRECT("Cat"&amp;MATCH($E27,Listas!$J$2:$J$13,0)&amp;"_Sugestoes")</formula1>
    </dataValidation>
    <dataValidation type="list" allowBlank="1" sqref="G270">
      <formula1>INDIRECT("Cat"&amp;MATCH($E270,Listas!$J$2:$J$13,0)&amp;"_Sugestoes")</formula1>
    </dataValidation>
    <dataValidation type="list" allowBlank="1" sqref="G271">
      <formula1>INDIRECT("Cat"&amp;MATCH($E271,Listas!$J$2:$J$13,0)&amp;"_Sugestoes")</formula1>
    </dataValidation>
    <dataValidation type="list" allowBlank="1" sqref="G272">
      <formula1>INDIRECT("Cat"&amp;MATCH($E272,Listas!$J$2:$J$13,0)&amp;"_Sugestoes")</formula1>
    </dataValidation>
    <dataValidation type="list" allowBlank="1" sqref="G273">
      <formula1>INDIRECT("Cat"&amp;MATCH($E273,Listas!$J$2:$J$13,0)&amp;"_Sugestoes")</formula1>
    </dataValidation>
    <dataValidation type="list" allowBlank="1" sqref="G274">
      <formula1>INDIRECT("Cat"&amp;MATCH($E274,Listas!$J$2:$J$13,0)&amp;"_Sugestoes")</formula1>
    </dataValidation>
    <dataValidation type="list" allowBlank="1" sqref="G275">
      <formula1>INDIRECT("Cat"&amp;MATCH($E275,Listas!$J$2:$J$13,0)&amp;"_Sugestoes")</formula1>
    </dataValidation>
    <dataValidation type="list" allowBlank="1" sqref="G276">
      <formula1>INDIRECT("Cat"&amp;MATCH($E276,Listas!$J$2:$J$13,0)&amp;"_Sugestoes")</formula1>
    </dataValidation>
    <dataValidation type="list" allowBlank="1" sqref="G277">
      <formula1>INDIRECT("Cat"&amp;MATCH($E277,Listas!$J$2:$J$13,0)&amp;"_Sugestoes")</formula1>
    </dataValidation>
    <dataValidation type="list" allowBlank="1" sqref="G278">
      <formula1>INDIRECT("Cat"&amp;MATCH($E278,Listas!$J$2:$J$13,0)&amp;"_Sugestoes")</formula1>
    </dataValidation>
    <dataValidation type="list" allowBlank="1" sqref="G279">
      <formula1>INDIRECT("Cat"&amp;MATCH($E279,Listas!$J$2:$J$13,0)&amp;"_Sugestoes")</formula1>
    </dataValidation>
    <dataValidation type="list" allowBlank="1" sqref="G28">
      <formula1>INDIRECT("Cat"&amp;MATCH($E28,Listas!$J$2:$J$13,0)&amp;"_Sugestoes")</formula1>
    </dataValidation>
    <dataValidation type="list" allowBlank="1" sqref="G280">
      <formula1>INDIRECT("Cat"&amp;MATCH($E280,Listas!$J$2:$J$13,0)&amp;"_Sugestoes")</formula1>
    </dataValidation>
    <dataValidation type="list" allowBlank="1" sqref="G281">
      <formula1>INDIRECT("Cat"&amp;MATCH($E281,Listas!$J$2:$J$13,0)&amp;"_Sugestoes")</formula1>
    </dataValidation>
    <dataValidation type="list" allowBlank="1" sqref="G282">
      <formula1>INDIRECT("Cat"&amp;MATCH($E282,Listas!$J$2:$J$13,0)&amp;"_Sugestoes")</formula1>
    </dataValidation>
    <dataValidation type="list" allowBlank="1" sqref="G283">
      <formula1>INDIRECT("Cat"&amp;MATCH($E283,Listas!$J$2:$J$13,0)&amp;"_Sugestoes")</formula1>
    </dataValidation>
    <dataValidation type="list" allowBlank="1" sqref="G284">
      <formula1>INDIRECT("Cat"&amp;MATCH($E284,Listas!$J$2:$J$13,0)&amp;"_Sugestoes")</formula1>
    </dataValidation>
    <dataValidation type="list" allowBlank="1" sqref="G285">
      <formula1>INDIRECT("Cat"&amp;MATCH($E285,Listas!$J$2:$J$13,0)&amp;"_Sugestoes")</formula1>
    </dataValidation>
    <dataValidation type="list" allowBlank="1" sqref="G286">
      <formula1>INDIRECT("Cat"&amp;MATCH($E286,Listas!$J$2:$J$13,0)&amp;"_Sugestoes")</formula1>
    </dataValidation>
    <dataValidation type="list" allowBlank="1" sqref="G287">
      <formula1>INDIRECT("Cat"&amp;MATCH($E287,Listas!$J$2:$J$13,0)&amp;"_Sugestoes")</formula1>
    </dataValidation>
    <dataValidation type="list" allowBlank="1" sqref="G288">
      <formula1>INDIRECT("Cat"&amp;MATCH($E288,Listas!$J$2:$J$13,0)&amp;"_Sugestoes")</formula1>
    </dataValidation>
    <dataValidation type="list" allowBlank="1" sqref="G289">
      <formula1>INDIRECT("Cat"&amp;MATCH($E289,Listas!$J$2:$J$13,0)&amp;"_Sugestoes")</formula1>
    </dataValidation>
    <dataValidation type="list" allowBlank="1" sqref="G29">
      <formula1>INDIRECT("Cat"&amp;MATCH($E29,Listas!$J$2:$J$13,0)&amp;"_Sugestoes")</formula1>
    </dataValidation>
    <dataValidation type="list" allowBlank="1" sqref="G290">
      <formula1>INDIRECT("Cat"&amp;MATCH($E290,Listas!$J$2:$J$13,0)&amp;"_Sugestoes")</formula1>
    </dataValidation>
    <dataValidation type="list" allowBlank="1" sqref="G291">
      <formula1>INDIRECT("Cat"&amp;MATCH($E291,Listas!$J$2:$J$13,0)&amp;"_Sugestoes")</formula1>
    </dataValidation>
    <dataValidation type="list" allowBlank="1" sqref="G292">
      <formula1>INDIRECT("Cat"&amp;MATCH($E292,Listas!$J$2:$J$13,0)&amp;"_Sugestoes")</formula1>
    </dataValidation>
    <dataValidation type="list" allowBlank="1" sqref="G293">
      <formula1>INDIRECT("Cat"&amp;MATCH($E293,Listas!$J$2:$J$13,0)&amp;"_Sugestoes")</formula1>
    </dataValidation>
    <dataValidation type="list" allowBlank="1" sqref="G294">
      <formula1>INDIRECT("Cat"&amp;MATCH($E294,Listas!$J$2:$J$13,0)&amp;"_Sugestoes")</formula1>
    </dataValidation>
    <dataValidation type="list" allowBlank="1" sqref="G295">
      <formula1>INDIRECT("Cat"&amp;MATCH($E295,Listas!$J$2:$J$13,0)&amp;"_Sugestoes")</formula1>
    </dataValidation>
    <dataValidation type="list" allowBlank="1" sqref="G296">
      <formula1>INDIRECT("Cat"&amp;MATCH($E296,Listas!$J$2:$J$13,0)&amp;"_Sugestoes")</formula1>
    </dataValidation>
    <dataValidation type="list" allowBlank="1" sqref="G297">
      <formula1>INDIRECT("Cat"&amp;MATCH($E297,Listas!$J$2:$J$13,0)&amp;"_Sugestoes")</formula1>
    </dataValidation>
    <dataValidation type="list" allowBlank="1" sqref="G298">
      <formula1>INDIRECT("Cat"&amp;MATCH($E298,Listas!$J$2:$J$13,0)&amp;"_Sugestoes")</formula1>
    </dataValidation>
    <dataValidation type="list" allowBlank="1" sqref="G299">
      <formula1>INDIRECT("Cat"&amp;MATCH($E299,Listas!$J$2:$J$13,0)&amp;"_Sugestoes")</formula1>
    </dataValidation>
    <dataValidation type="list" allowBlank="1" sqref="G3">
      <formula1>INDIRECT("Cat"&amp;MATCH($E3,Listas!$J$2:$J$13,0)&amp;"_Sugestoes")</formula1>
    </dataValidation>
    <dataValidation type="list" allowBlank="1" sqref="G30">
      <formula1>INDIRECT("Cat"&amp;MATCH($E30,Listas!$J$2:$J$13,0)&amp;"_Sugestoes")</formula1>
    </dataValidation>
    <dataValidation type="list" allowBlank="1" sqref="G300">
      <formula1>INDIRECT("Cat"&amp;MATCH($E300,Listas!$J$2:$J$13,0)&amp;"_Sugestoes")</formula1>
    </dataValidation>
    <dataValidation type="list" allowBlank="1" sqref="G31">
      <formula1>INDIRECT("Cat"&amp;MATCH($E31,Listas!$J$2:$J$13,0)&amp;"_Sugestoes")</formula1>
    </dataValidation>
    <dataValidation type="list" allowBlank="1" sqref="G32">
      <formula1>INDIRECT("Cat"&amp;MATCH($E32,Listas!$J$2:$J$13,0)&amp;"_Sugestoes")</formula1>
    </dataValidation>
    <dataValidation type="list" allowBlank="1" sqref="G33">
      <formula1>INDIRECT("Cat"&amp;MATCH($E33,Listas!$J$2:$J$13,0)&amp;"_Sugestoes")</formula1>
    </dataValidation>
    <dataValidation type="list" allowBlank="1" sqref="G34">
      <formula1>INDIRECT("Cat"&amp;MATCH($E34,Listas!$J$2:$J$13,0)&amp;"_Sugestoes")</formula1>
    </dataValidation>
    <dataValidation type="list" allowBlank="1" sqref="G35">
      <formula1>INDIRECT("Cat"&amp;MATCH($E35,Listas!$J$2:$J$13,0)&amp;"_Sugestoes")</formula1>
    </dataValidation>
    <dataValidation type="list" allowBlank="1" sqref="G36">
      <formula1>INDIRECT("Cat"&amp;MATCH($E36,Listas!$J$2:$J$13,0)&amp;"_Sugestoes")</formula1>
    </dataValidation>
    <dataValidation type="list" allowBlank="1" sqref="G37">
      <formula1>INDIRECT("Cat"&amp;MATCH($E37,Listas!$J$2:$J$13,0)&amp;"_Sugestoes")</formula1>
    </dataValidation>
    <dataValidation type="list" allowBlank="1" sqref="G38">
      <formula1>INDIRECT("Cat"&amp;MATCH($E38,Listas!$J$2:$J$13,0)&amp;"_Sugestoes")</formula1>
    </dataValidation>
    <dataValidation type="list" allowBlank="1" sqref="G39">
      <formula1>INDIRECT("Cat"&amp;MATCH($E39,Listas!$J$2:$J$13,0)&amp;"_Sugestoes")</formula1>
    </dataValidation>
    <dataValidation type="list" allowBlank="1" sqref="G4">
      <formula1>INDIRECT("Cat"&amp;MATCH($E4,Listas!$J$2:$J$13,0)&amp;"_Sugestoes")</formula1>
    </dataValidation>
    <dataValidation type="list" allowBlank="1" sqref="G40">
      <formula1>INDIRECT("Cat"&amp;MATCH($E40,Listas!$J$2:$J$13,0)&amp;"_Sugestoes")</formula1>
    </dataValidation>
    <dataValidation type="list" allowBlank="1" sqref="G41">
      <formula1>INDIRECT("Cat"&amp;MATCH($E41,Listas!$J$2:$J$13,0)&amp;"_Sugestoes")</formula1>
    </dataValidation>
    <dataValidation type="list" allowBlank="1" sqref="G42">
      <formula1>INDIRECT("Cat"&amp;MATCH($E42,Listas!$J$2:$J$13,0)&amp;"_Sugestoes")</formula1>
    </dataValidation>
    <dataValidation type="list" allowBlank="1" sqref="G43">
      <formula1>INDIRECT("Cat"&amp;MATCH($E43,Listas!$J$2:$J$13,0)&amp;"_Sugestoes")</formula1>
    </dataValidation>
    <dataValidation type="list" allowBlank="1" sqref="G44">
      <formula1>INDIRECT("Cat"&amp;MATCH($E44,Listas!$J$2:$J$13,0)&amp;"_Sugestoes")</formula1>
    </dataValidation>
    <dataValidation type="list" allowBlank="1" sqref="G45">
      <formula1>INDIRECT("Cat"&amp;MATCH($E45,Listas!$J$2:$J$13,0)&amp;"_Sugestoes")</formula1>
    </dataValidation>
    <dataValidation type="list" allowBlank="1" sqref="G46">
      <formula1>INDIRECT("Cat"&amp;MATCH($E46,Listas!$J$2:$J$13,0)&amp;"_Sugestoes")</formula1>
    </dataValidation>
    <dataValidation type="list" allowBlank="1" sqref="G47">
      <formula1>INDIRECT("Cat"&amp;MATCH($E47,Listas!$J$2:$J$13,0)&amp;"_Sugestoes")</formula1>
    </dataValidation>
    <dataValidation type="list" allowBlank="1" sqref="G48">
      <formula1>INDIRECT("Cat"&amp;MATCH($E48,Listas!$J$2:$J$13,0)&amp;"_Sugestoes")</formula1>
    </dataValidation>
    <dataValidation type="list" allowBlank="1" sqref="G49">
      <formula1>INDIRECT("Cat"&amp;MATCH($E49,Listas!$J$2:$J$13,0)&amp;"_Sugestoes")</formula1>
    </dataValidation>
    <dataValidation type="list" allowBlank="1" sqref="G5">
      <formula1>INDIRECT("Cat"&amp;MATCH($E5,Listas!$J$2:$J$13,0)&amp;"_Sugestoes")</formula1>
    </dataValidation>
    <dataValidation type="list" allowBlank="1" sqref="G50">
      <formula1>INDIRECT("Cat"&amp;MATCH($E50,Listas!$J$2:$J$13,0)&amp;"_Sugestoes")</formula1>
    </dataValidation>
    <dataValidation type="list" allowBlank="1" sqref="G51">
      <formula1>INDIRECT("Cat"&amp;MATCH($E51,Listas!$J$2:$J$13,0)&amp;"_Sugestoes")</formula1>
    </dataValidation>
    <dataValidation type="list" allowBlank="1" sqref="G52">
      <formula1>INDIRECT("Cat"&amp;MATCH($E52,Listas!$J$2:$J$13,0)&amp;"_Sugestoes")</formula1>
    </dataValidation>
    <dataValidation type="list" allowBlank="1" sqref="G53">
      <formula1>INDIRECT("Cat"&amp;MATCH($E53,Listas!$J$2:$J$13,0)&amp;"_Sugestoes")</formula1>
    </dataValidation>
    <dataValidation type="list" allowBlank="1" sqref="G54">
      <formula1>INDIRECT("Cat"&amp;MATCH($E54,Listas!$J$2:$J$13,0)&amp;"_Sugestoes")</formula1>
    </dataValidation>
    <dataValidation type="list" allowBlank="1" sqref="G55">
      <formula1>INDIRECT("Cat"&amp;MATCH($E55,Listas!$J$2:$J$13,0)&amp;"_Sugestoes")</formula1>
    </dataValidation>
    <dataValidation type="list" allowBlank="1" sqref="G56">
      <formula1>INDIRECT("Cat"&amp;MATCH($E56,Listas!$J$2:$J$13,0)&amp;"_Sugestoes")</formula1>
    </dataValidation>
    <dataValidation type="list" allowBlank="1" sqref="G57">
      <formula1>INDIRECT("Cat"&amp;MATCH($E57,Listas!$J$2:$J$13,0)&amp;"_Sugestoes")</formula1>
    </dataValidation>
    <dataValidation type="list" allowBlank="1" sqref="G58">
      <formula1>INDIRECT("Cat"&amp;MATCH($E58,Listas!$J$2:$J$13,0)&amp;"_Sugestoes")</formula1>
    </dataValidation>
    <dataValidation type="list" allowBlank="1" sqref="G59">
      <formula1>INDIRECT("Cat"&amp;MATCH($E59,Listas!$J$2:$J$13,0)&amp;"_Sugestoes")</formula1>
    </dataValidation>
    <dataValidation type="list" allowBlank="1" sqref="G6">
      <formula1>INDIRECT("Cat"&amp;MATCH($E6,Listas!$J$2:$J$13,0)&amp;"_Sugestoes")</formula1>
    </dataValidation>
    <dataValidation type="list" allowBlank="1" sqref="G60">
      <formula1>INDIRECT("Cat"&amp;MATCH($E60,Listas!$J$2:$J$13,0)&amp;"_Sugestoes")</formula1>
    </dataValidation>
    <dataValidation type="list" allowBlank="1" sqref="G61">
      <formula1>INDIRECT("Cat"&amp;MATCH($E61,Listas!$J$2:$J$13,0)&amp;"_Sugestoes")</formula1>
    </dataValidation>
    <dataValidation type="list" allowBlank="1" sqref="G62">
      <formula1>INDIRECT("Cat"&amp;MATCH($E62,Listas!$J$2:$J$13,0)&amp;"_Sugestoes")</formula1>
    </dataValidation>
    <dataValidation type="list" allowBlank="1" sqref="G63">
      <formula1>INDIRECT("Cat"&amp;MATCH($E63,Listas!$J$2:$J$13,0)&amp;"_Sugestoes")</formula1>
    </dataValidation>
    <dataValidation type="list" allowBlank="1" sqref="G64">
      <formula1>INDIRECT("Cat"&amp;MATCH($E64,Listas!$J$2:$J$13,0)&amp;"_Sugestoes")</formula1>
    </dataValidation>
    <dataValidation type="list" allowBlank="1" sqref="G65">
      <formula1>INDIRECT("Cat"&amp;MATCH($E65,Listas!$J$2:$J$13,0)&amp;"_Sugestoes")</formula1>
    </dataValidation>
    <dataValidation type="list" allowBlank="1" sqref="G66">
      <formula1>INDIRECT("Cat"&amp;MATCH($E66,Listas!$J$2:$J$13,0)&amp;"_Sugestoes")</formula1>
    </dataValidation>
    <dataValidation type="list" allowBlank="1" sqref="G67">
      <formula1>INDIRECT("Cat"&amp;MATCH($E67,Listas!$J$2:$J$13,0)&amp;"_Sugestoes")</formula1>
    </dataValidation>
    <dataValidation type="list" allowBlank="1" sqref="G68">
      <formula1>INDIRECT("Cat"&amp;MATCH($E68,Listas!$J$2:$J$13,0)&amp;"_Sugestoes")</formula1>
    </dataValidation>
    <dataValidation type="list" allowBlank="1" sqref="G69">
      <formula1>INDIRECT("Cat"&amp;MATCH($E69,Listas!$J$2:$J$13,0)&amp;"_Sugestoes")</formula1>
    </dataValidation>
    <dataValidation type="list" allowBlank="1" sqref="G7">
      <formula1>INDIRECT("Cat"&amp;MATCH($E7,Listas!$J$2:$J$13,0)&amp;"_Sugestoes")</formula1>
    </dataValidation>
    <dataValidation type="list" allowBlank="1" sqref="G70">
      <formula1>INDIRECT("Cat"&amp;MATCH($E70,Listas!$J$2:$J$13,0)&amp;"_Sugestoes")</formula1>
    </dataValidation>
    <dataValidation type="list" allowBlank="1" sqref="G71">
      <formula1>INDIRECT("Cat"&amp;MATCH($E71,Listas!$J$2:$J$13,0)&amp;"_Sugestoes")</formula1>
    </dataValidation>
    <dataValidation type="list" allowBlank="1" sqref="G72">
      <formula1>INDIRECT("Cat"&amp;MATCH($E72,Listas!$J$2:$J$13,0)&amp;"_Sugestoes")</formula1>
    </dataValidation>
    <dataValidation type="list" allowBlank="1" sqref="G73">
      <formula1>INDIRECT("Cat"&amp;MATCH($E73,Listas!$J$2:$J$13,0)&amp;"_Sugestoes")</formula1>
    </dataValidation>
    <dataValidation type="list" allowBlank="1" sqref="G74">
      <formula1>INDIRECT("Cat"&amp;MATCH($E74,Listas!$J$2:$J$13,0)&amp;"_Sugestoes")</formula1>
    </dataValidation>
    <dataValidation type="list" allowBlank="1" sqref="G75">
      <formula1>INDIRECT("Cat"&amp;MATCH($E75,Listas!$J$2:$J$13,0)&amp;"_Sugestoes")</formula1>
    </dataValidation>
    <dataValidation type="list" allowBlank="1" sqref="G76">
      <formula1>INDIRECT("Cat"&amp;MATCH($E76,Listas!$J$2:$J$13,0)&amp;"_Sugestoes")</formula1>
    </dataValidation>
    <dataValidation type="list" allowBlank="1" sqref="G77">
      <formula1>INDIRECT("Cat"&amp;MATCH($E77,Listas!$J$2:$J$13,0)&amp;"_Sugestoes")</formula1>
    </dataValidation>
    <dataValidation type="list" allowBlank="1" sqref="G78">
      <formula1>INDIRECT("Cat"&amp;MATCH($E78,Listas!$J$2:$J$13,0)&amp;"_Sugestoes")</formula1>
    </dataValidation>
    <dataValidation type="list" allowBlank="1" sqref="G79">
      <formula1>INDIRECT("Cat"&amp;MATCH($E79,Listas!$J$2:$J$13,0)&amp;"_Sugestoes")</formula1>
    </dataValidation>
    <dataValidation type="list" allowBlank="1" sqref="G8">
      <formula1>INDIRECT("Cat"&amp;MATCH($E8,Listas!$J$2:$J$13,0)&amp;"_Sugestoes")</formula1>
    </dataValidation>
    <dataValidation type="list" allowBlank="1" sqref="G80">
      <formula1>INDIRECT("Cat"&amp;MATCH($E80,Listas!$J$2:$J$13,0)&amp;"_Sugestoes")</formula1>
    </dataValidation>
    <dataValidation type="list" allowBlank="1" sqref="G81">
      <formula1>INDIRECT("Cat"&amp;MATCH($E81,Listas!$J$2:$J$13,0)&amp;"_Sugestoes")</formula1>
    </dataValidation>
    <dataValidation type="list" allowBlank="1" sqref="G82">
      <formula1>INDIRECT("Cat"&amp;MATCH($E82,Listas!$J$2:$J$13,0)&amp;"_Sugestoes")</formula1>
    </dataValidation>
    <dataValidation type="list" allowBlank="1" sqref="G83">
      <formula1>INDIRECT("Cat"&amp;MATCH($E83,Listas!$J$2:$J$13,0)&amp;"_Sugestoes")</formula1>
    </dataValidation>
    <dataValidation type="list" allowBlank="1" sqref="G84">
      <formula1>INDIRECT("Cat"&amp;MATCH($E84,Listas!$J$2:$J$13,0)&amp;"_Sugestoes")</formula1>
    </dataValidation>
    <dataValidation type="list" allowBlank="1" sqref="G85">
      <formula1>INDIRECT("Cat"&amp;MATCH($E85,Listas!$J$2:$J$13,0)&amp;"_Sugestoes")</formula1>
    </dataValidation>
    <dataValidation type="list" allowBlank="1" sqref="G86">
      <formula1>INDIRECT("Cat"&amp;MATCH($E86,Listas!$J$2:$J$13,0)&amp;"_Sugestoes")</formula1>
    </dataValidation>
    <dataValidation type="list" allowBlank="1" sqref="G87">
      <formula1>INDIRECT("Cat"&amp;MATCH($E87,Listas!$J$2:$J$13,0)&amp;"_Sugestoes")</formula1>
    </dataValidation>
    <dataValidation type="list" allowBlank="1" sqref="G88">
      <formula1>INDIRECT("Cat"&amp;MATCH($E88,Listas!$J$2:$J$13,0)&amp;"_Sugestoes")</formula1>
    </dataValidation>
    <dataValidation type="list" allowBlank="1" sqref="G89">
      <formula1>INDIRECT("Cat"&amp;MATCH($E89,Listas!$J$2:$J$13,0)&amp;"_Sugestoes")</formula1>
    </dataValidation>
    <dataValidation type="list" allowBlank="1" sqref="G9">
      <formula1>INDIRECT("Cat"&amp;MATCH($E9,Listas!$J$2:$J$13,0)&amp;"_Sugestoes")</formula1>
    </dataValidation>
    <dataValidation type="list" allowBlank="1" sqref="G90">
      <formula1>INDIRECT("Cat"&amp;MATCH($E90,Listas!$J$2:$J$13,0)&amp;"_Sugestoes")</formula1>
    </dataValidation>
    <dataValidation type="list" allowBlank="1" sqref="G91">
      <formula1>INDIRECT("Cat"&amp;MATCH($E91,Listas!$J$2:$J$13,0)&amp;"_Sugestoes")</formula1>
    </dataValidation>
    <dataValidation type="list" allowBlank="1" sqref="G92">
      <formula1>INDIRECT("Cat"&amp;MATCH($E92,Listas!$J$2:$J$13,0)&amp;"_Sugestoes")</formula1>
    </dataValidation>
    <dataValidation type="list" allowBlank="1" sqref="G93">
      <formula1>INDIRECT("Cat"&amp;MATCH($E93,Listas!$J$2:$J$13,0)&amp;"_Sugestoes")</formula1>
    </dataValidation>
    <dataValidation type="list" allowBlank="1" sqref="G94">
      <formula1>INDIRECT("Cat"&amp;MATCH($E94,Listas!$J$2:$J$13,0)&amp;"_Sugestoes")</formula1>
    </dataValidation>
    <dataValidation type="list" allowBlank="1" sqref="G95">
      <formula1>INDIRECT("Cat"&amp;MATCH($E95,Listas!$J$2:$J$13,0)&amp;"_Sugestoes")</formula1>
    </dataValidation>
    <dataValidation type="list" allowBlank="1" sqref="G96">
      <formula1>INDIRECT("Cat"&amp;MATCH($E96,Listas!$J$2:$J$13,0)&amp;"_Sugestoes")</formula1>
    </dataValidation>
    <dataValidation type="list" allowBlank="1" sqref="G97">
      <formula1>INDIRECT("Cat"&amp;MATCH($E97,Listas!$J$2:$J$13,0)&amp;"_Sugestoes")</formula1>
    </dataValidation>
    <dataValidation type="list" allowBlank="1" sqref="G98">
      <formula1>INDIRECT("Cat"&amp;MATCH($E98,Listas!$J$2:$J$13,0)&amp;"_Sugestoes")</formula1>
    </dataValidation>
    <dataValidation type="list" allowBlank="1" sqref="G99">
      <formula1>INDIRECT("Cat"&amp;MATCH($E99,Listas!$J$2:$J$13,0)&amp;"_Sugestoes")</formula1>
    </dataValidation>
    <dataValidation type="list" allowBlank="1" sqref="I10:I300">
      <formula1>Listas!$K$2:$K$6</formula1>
    </dataValidation>
    <dataValidation type="list" allowBlank="1" sqref="I2:I300">
      <formula1>Listas!$K$2:$K$6</formula1>
    </dataValidation>
    <dataValidation type="list" allowBlank="1" sqref="J10:J300">
      <formula1>Listas!$L$2:$L$9</formula1>
    </dataValidation>
    <dataValidation type="list" allowBlank="1" sqref="J2:J300">
      <formula1>Listas!$L$2:$L$9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</sheetPr>
  <dimension ref="A1:AF3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12" customWidth="1"/>
    <col min="5" max="5" width="16" customWidth="1"/>
    <col min="6" max="6" width="11" customWidth="1"/>
    <col min="7" max="8" width="26" customWidth="1"/>
    <col min="9" max="9" width="15" customWidth="1"/>
    <col min="10" max="10" width="20" customWidth="1"/>
    <col min="11" max="11" width="15" customWidth="1"/>
    <col min="12" max="12" width="20" customWidth="1"/>
    <col min="13" max="13" width="13" customWidth="1"/>
    <col min="14" max="14" width="20" customWidth="1"/>
    <col min="15" max="15" width="22" customWidth="1"/>
    <col min="16" max="16" width="14" customWidth="1"/>
    <col min="17" max="17" width="20" customWidth="1"/>
    <col min="18" max="18" width="10" customWidth="1"/>
    <col min="19" max="19" width="18" customWidth="1"/>
    <col min="20" max="20" width="20" customWidth="1"/>
    <col min="21" max="21" width="10" customWidth="1"/>
    <col min="22" max="22" width="22" customWidth="1"/>
    <col min="23" max="24" width="16" customWidth="1"/>
    <col min="25" max="26" width="18" customWidth="1"/>
    <col min="27" max="27" width="24" customWidth="1"/>
    <col min="28" max="30" width="12" hidden="1" customWidth="1"/>
    <col min="31" max="31" width="46" customWidth="1"/>
    <col min="32" max="32" width="55" customWidth="1"/>
  </cols>
  <sheetData>
    <row r="1" ht="40" customHeight="1" spans="1:32" x14ac:dyDescent="0.25">
      <c r="A1" s="3" t="s">
        <v>181</v>
      </c>
      <c r="B1" s="7" t="s">
        <v>206</v>
      </c>
      <c r="C1" s="7" t="s">
        <v>207</v>
      </c>
      <c r="D1" s="7" t="s">
        <v>217</v>
      </c>
      <c r="E1" s="7" t="s">
        <v>218</v>
      </c>
      <c r="F1" s="2" t="s">
        <v>205</v>
      </c>
      <c r="G1" s="2" t="s">
        <v>219</v>
      </c>
      <c r="H1" s="2" t="s">
        <v>220</v>
      </c>
      <c r="I1" s="3" t="s">
        <v>221</v>
      </c>
      <c r="J1" s="2" t="s">
        <v>222</v>
      </c>
      <c r="K1" s="3" t="s">
        <v>223</v>
      </c>
      <c r="L1" s="2" t="s">
        <v>224</v>
      </c>
      <c r="M1" s="3" t="s">
        <v>225</v>
      </c>
      <c r="N1" s="2" t="s">
        <v>226</v>
      </c>
      <c r="O1" s="3" t="s">
        <v>103</v>
      </c>
      <c r="P1" s="3" t="s">
        <v>227</v>
      </c>
      <c r="Q1" s="2" t="s">
        <v>228</v>
      </c>
      <c r="R1" s="3" t="s">
        <v>105</v>
      </c>
      <c r="S1" s="2" t="s">
        <v>229</v>
      </c>
      <c r="T1" s="2" t="s">
        <v>230</v>
      </c>
      <c r="U1" s="3" t="s">
        <v>231</v>
      </c>
      <c r="V1" s="2" t="s">
        <v>232</v>
      </c>
      <c r="W1" s="2" t="s">
        <v>233</v>
      </c>
      <c r="X1" s="2" t="s">
        <v>234</v>
      </c>
      <c r="Y1" s="2" t="s">
        <v>235</v>
      </c>
      <c r="Z1" s="2" t="s">
        <v>236</v>
      </c>
      <c r="AA1" s="2" t="s">
        <v>237</v>
      </c>
      <c r="AB1" s="2" t="s">
        <v>238</v>
      </c>
      <c r="AC1" s="2" t="s">
        <v>239</v>
      </c>
      <c r="AD1" s="2" t="s">
        <v>240</v>
      </c>
      <c r="AE1" s="2" t="s">
        <v>241</v>
      </c>
      <c r="AF1" s="2" t="s">
        <v>242</v>
      </c>
    </row>
    <row r="2" ht="280" customHeight="1" spans="1:32" x14ac:dyDescent="0.25">
      <c r="A2" s="4" t="s">
        <v>189</v>
      </c>
      <c r="B2" s="6">
        <f>IFERROR(INDEX(Pacientes!$A:$A,MATCH($A2,Pacientes!$B:$B,0)),"")</f>
      </c>
      <c r="C2" s="6">
        <f>IFERROR(INDEX(Pacientes!$C:$C,MATCH($A2,Pacientes!$B:$B,0)),"")</f>
      </c>
      <c r="D2" s="6">
        <f>IFERROR(INDEX(Pacientes!$D:$D,MATCH($A2,Pacientes!$B:$B,0)),"")</f>
      </c>
      <c r="E2" s="6">
        <f>IFERROR(INDEX(Pacientes!$E:$E,MATCH($A2,Pacientes!$B:$B,0)),"")</f>
      </c>
      <c r="F2" s="5" t="s">
        <v>214</v>
      </c>
      <c r="G2" s="4" t="s">
        <v>243</v>
      </c>
      <c r="H2" s="4" t="s">
        <v>244</v>
      </c>
      <c r="I2" s="4" t="s">
        <v>127</v>
      </c>
      <c r="J2" s="4" t="s">
        <v>245</v>
      </c>
      <c r="K2" s="4" t="s">
        <v>128</v>
      </c>
      <c r="L2" s="4" t="s">
        <v>246</v>
      </c>
      <c r="M2" s="4" t="s">
        <v>115</v>
      </c>
      <c r="N2" s="4" t="s">
        <v>247</v>
      </c>
      <c r="O2" s="4" t="s">
        <v>140</v>
      </c>
      <c r="P2" s="4" t="s">
        <v>118</v>
      </c>
      <c r="Q2" s="4" t="s">
        <v>192</v>
      </c>
      <c r="R2" s="4" t="s">
        <v>105</v>
      </c>
      <c r="S2" s="4" t="s">
        <v>248</v>
      </c>
      <c r="T2" s="4" t="s">
        <v>249</v>
      </c>
      <c r="U2" s="4" t="s">
        <v>116</v>
      </c>
      <c r="V2" s="4" t="s">
        <v>250</v>
      </c>
      <c r="W2" s="4" t="s">
        <v>251</v>
      </c>
      <c r="X2" s="4" t="s">
        <v>252</v>
      </c>
      <c r="Y2" s="4" t="s">
        <v>253</v>
      </c>
      <c r="Z2" s="4" t="s">
        <v>192</v>
      </c>
      <c r="AA2" s="4" t="s">
        <v>254</v>
      </c>
      <c r="AB2" s="4">
        <f>IFERROR(INDEX(Intervenções!$K$2:$K$300,AGGREGATE(15,6,(ROW(Intervenções!$K$2:$K$300)-ROW(Intervenções!$K$2)+1)/((Intervenções!$B$2:$B$300=A2)*(Intervenções!$A$2:$A$300=F2)*(Intervenções!$K$2:$K$300&lt;&gt;"")),1)),"")</f>
      </c>
      <c r="AC2" s="4">
        <f>IFERROR(INDEX(Intervenções!$K$2:$K$300,AGGREGATE(15,6,(ROW(Intervenções!$K$2:$K$300)-ROW(Intervenções!$K$2)+1)/((Intervenções!$B$2:$B$300=A2)*(Intervenções!$A$2:$A$300=F2)*(Intervenções!$K$2:$K$300&lt;&gt;"")),2)),"")</f>
      </c>
      <c r="AD2" s="4">
        <f>IFERROR(INDEX(Intervenções!$K$2:$K$300,AGGREGATE(15,6,(ROW(Intervenções!$K$2:$K$300)-ROW(Intervenções!$K$2)+1)/((Intervenções!$B$2:$B$300=A2)*(Intervenções!$A$2:$A$300=F2)*(Intervenções!$K$2:$K$300&lt;&gt;"")),3)),"")</f>
      </c>
      <c r="AE2" s="8">
        <f>"RECONCILIAÇÃO MEDICAMENTOSA"&amp;CHAR(10)&amp;IF(G2&lt;&gt;"","Medicamentos de uso prévio: "&amp;G2&amp;".","Sem medicamentos de uso prévio relatados.")&amp;CHAR(10)&amp;IF(H2&lt;&gt;"","Histórico de alergia/RAM: "&amp;H2&amp;".","Nega alergias/RAM conhecidas.")</f>
      </c>
      <c r="AF2" s="8">
        <f>AE2&amp;CHAR(10)&amp;CHAR(10)&amp;"1. Evolução Clínica"&amp;CHAR(10)&amp;TEXTJOIN(" ",TRUE,"Paciente "&amp;I2&amp;", "&amp;IF(J2="","sem DVA","em uso de "&amp;J2)&amp;".",IF(K2&lt;&gt;"","Em "&amp;K2&amp;IF(L2&lt;&gt;""," ("&amp;L2&amp;")","")&amp;IF(M2&lt;&gt;"", ", "&amp;M2,"")&amp;IF(N2&lt;&gt;"", ", sob analgosedação com "&amp;N2,"")&amp;".",""),IF(O2&lt;&gt;"",O2&amp;IF(P2&lt;&gt;"", ", com "&amp;LOWER(P2),"")&amp;IF(Q2&lt;&gt;"", " — "&amp;Q2,"")&amp;".",""),IF(R2="Febre","Apresentou episódio febril nas últimas 24h"&amp;IF(S2&lt;&gt;""," ("&amp;S2&amp;")","")&amp;".",IF(R2="Afebril","Encontra-se afebril.","")),IF(T2&lt;&gt;"",IF(U2="Sim","Apresenta disfunção renal aguda ","Função renal preservada ")&amp;"("&amp;T2&amp;").",""),IF(V2&lt;&gt;"","Em uso do esquema antimicrobiano com "&amp;V2&amp;".",""),IF(TEXTJOIN(", ",TRUE,IF(W2&lt;&gt;"","TEV ("&amp;W2&amp;")",""),IF(X2&lt;&gt;"","LAMG ("&amp;X2&amp;")",""),IF(Y2&lt;&gt;"","úlcera de córnea com "&amp;Y2,""))&lt;&gt;"","Em uso de profilaxia: "&amp;TEXTJOIN(", ",TRUE,IF(W2&lt;&gt;"","TEV ("&amp;W2&amp;")",""),IF(X2&lt;&gt;"","LAMG ("&amp;X2&amp;")",""),IF(Y2&lt;&gt;"","úlcera de córnea com "&amp;Y2,""))&amp;".",""))&amp;CHAR(10)&amp;CHAR(10)&amp;"2. Farmacoterapia"&amp;CHAR(10)&amp;IF(Z2&lt;&gt;"","Corticoide/DART: "&amp;Z2,"Sem corticoide/DART registrado.")&amp;CHAR(10)&amp;CHAR(10)&amp;"3. Conduta Farmacêutica"&amp;CHAR(10)&amp;IF(TEXTJOIN(CHAR(10),TRUE,AB2,AC2,AD2)="","Nenhuma intervenção registrada hoje.",TEXTJOIN(CHAR(10),TRUE,AB2,AC2,AD2))&amp;CHAR(10)&amp;CHAR(10)&amp;"4. Plano Terapêutico"&amp;CHAR(10)&amp;IF(AA2&lt;&gt;"",AA2,"Não definido.")</f>
      </c>
    </row>
    <row r="3" spans="1:32" x14ac:dyDescent="0.25">
      <c r="A3" s="4"/>
      <c r="B3" s="6">
        <f>IFERROR(INDEX(Pacientes!$A:$A,MATCH($A3,Pacientes!$B:$B,0)),"")</f>
      </c>
      <c r="C3" s="6">
        <f>IFERROR(INDEX(Pacientes!$C:$C,MATCH($A3,Pacientes!$B:$B,0)),"")</f>
      </c>
      <c r="D3" s="6">
        <f>IFERROR(INDEX(Pacientes!$D:$D,MATCH($A3,Pacientes!$B:$B,0)),"")</f>
      </c>
      <c r="E3" s="6">
        <f>IFERROR(INDEX(Pacientes!$E:$E,MATCH($A3,Pacientes!$B:$B,0)),"")</f>
      </c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>
        <f>IFERROR(INDEX(Intervenções!$K$2:$K$300,AGGREGATE(15,6,(ROW(Intervenções!$K$2:$K$300)-ROW(Intervenções!$K$2)+1)/((Intervenções!$B$2:$B$300=A3)*(Intervenções!$A$2:$A$300=F3)*(Intervenções!$K$2:$K$300&lt;&gt;"")),1)),"")</f>
      </c>
      <c r="AC3" s="4">
        <f>IFERROR(INDEX(Intervenções!$K$2:$K$300,AGGREGATE(15,6,(ROW(Intervenções!$K$2:$K$300)-ROW(Intervenções!$K$2)+1)/((Intervenções!$B$2:$B$300=A3)*(Intervenções!$A$2:$A$300=F3)*(Intervenções!$K$2:$K$300&lt;&gt;"")),2)),"")</f>
      </c>
      <c r="AD3" s="4">
        <f>IFERROR(INDEX(Intervenções!$K$2:$K$300,AGGREGATE(15,6,(ROW(Intervenções!$K$2:$K$300)-ROW(Intervenções!$K$2)+1)/((Intervenções!$B$2:$B$300=A3)*(Intervenções!$A$2:$A$300=F3)*(Intervenções!$K$2:$K$300&lt;&gt;"")),3)),"")</f>
      </c>
      <c r="AE3" s="4">
        <f>"RECONCILIAÇÃO MEDICAMENTOSA"&amp;CHAR(10)&amp;IF(G3&lt;&gt;"","Medicamentos de uso prévio: "&amp;G3&amp;".","Sem medicamentos de uso prévio relatados.")&amp;CHAR(10)&amp;IF(H3&lt;&gt;"","Histórico de alergia/RAM: "&amp;H3&amp;".","Nega alergias/RAM conhecidas.")</f>
      </c>
      <c r="AF3" s="4">
        <f>AE3&amp;CHAR(10)&amp;CHAR(10)&amp;"1. Evolução Clínica"&amp;CHAR(10)&amp;TEXTJOIN(" ",TRUE,"Paciente "&amp;I3&amp;", "&amp;IF(J3="","sem DVA","em uso de "&amp;J3)&amp;".",IF(K3&lt;&gt;"","Em "&amp;K3&amp;IF(L3&lt;&gt;""," ("&amp;L3&amp;")","")&amp;IF(M3&lt;&gt;"", ", "&amp;M3,"")&amp;IF(N3&lt;&gt;"", ", sob analgosedação com "&amp;N3,"")&amp;".",""),IF(O3&lt;&gt;"",O3&amp;IF(P3&lt;&gt;"", ", com "&amp;LOWER(P3),"")&amp;IF(Q3&lt;&gt;"", " — "&amp;Q3,"")&amp;".",""),IF(R3="Febre","Apresentou episódio febril nas últimas 24h"&amp;IF(S3&lt;&gt;""," ("&amp;S3&amp;")","")&amp;".",IF(R3="Afebril","Encontra-se afebril.","")),IF(T3&lt;&gt;"",IF(U3="Sim","Apresenta disfunção renal aguda ","Função renal preservada ")&amp;"("&amp;T3&amp;").",""),IF(V3&lt;&gt;"","Em uso do esquema antimicrobiano com "&amp;V3&amp;".",""),IF(TEXTJOIN(", ",TRUE,IF(W3&lt;&gt;"","TEV ("&amp;W3&amp;")",""),IF(X3&lt;&gt;"","LAMG ("&amp;X3&amp;")",""),IF(Y3&lt;&gt;"","úlcera de córnea com "&amp;Y3,""))&lt;&gt;"","Em uso de profilaxia: "&amp;TEXTJOIN(", ",TRUE,IF(W3&lt;&gt;"","TEV ("&amp;W3&amp;")",""),IF(X3&lt;&gt;"","LAMG ("&amp;X3&amp;")",""),IF(Y3&lt;&gt;"","úlcera de córnea com "&amp;Y3,""))&amp;".",""))&amp;CHAR(10)&amp;CHAR(10)&amp;"2. Farmacoterapia"&amp;CHAR(10)&amp;IF(Z3&lt;&gt;"","Corticoide/DART: "&amp;Z3,"Sem corticoide/DART registrado.")&amp;CHAR(10)&amp;CHAR(10)&amp;"3. Conduta Farmacêutica"&amp;CHAR(10)&amp;IF(TEXTJOIN(CHAR(10),TRUE,AB3,AC3,AD3)="","Nenhuma intervenção registrada hoje.",TEXTJOIN(CHAR(10),TRUE,AB3,AC3,AD3))&amp;CHAR(10)&amp;CHAR(10)&amp;"4. Plano Terapêutico"&amp;CHAR(10)&amp;IF(AA3&lt;&gt;"",AA3,"Não definido.")</f>
      </c>
    </row>
    <row r="4" spans="1:32" x14ac:dyDescent="0.25">
      <c r="A4" s="4"/>
      <c r="B4" s="6">
        <f>IFERROR(INDEX(Pacientes!$A:$A,MATCH($A4,Pacientes!$B:$B,0)),"")</f>
      </c>
      <c r="C4" s="6">
        <f>IFERROR(INDEX(Pacientes!$C:$C,MATCH($A4,Pacientes!$B:$B,0)),"")</f>
      </c>
      <c r="D4" s="6">
        <f>IFERROR(INDEX(Pacientes!$D:$D,MATCH($A4,Pacientes!$B:$B,0)),"")</f>
      </c>
      <c r="E4" s="6">
        <f>IFERROR(INDEX(Pacientes!$E:$E,MATCH($A4,Pacientes!$B:$B,0)),"")</f>
      </c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>
        <f>IFERROR(INDEX(Intervenções!$K$2:$K$300,AGGREGATE(15,6,(ROW(Intervenções!$K$2:$K$300)-ROW(Intervenções!$K$2)+1)/((Intervenções!$B$2:$B$300=A4)*(Intervenções!$A$2:$A$300=F4)*(Intervenções!$K$2:$K$300&lt;&gt;"")),1)),"")</f>
      </c>
      <c r="AC4" s="4">
        <f>IFERROR(INDEX(Intervenções!$K$2:$K$300,AGGREGATE(15,6,(ROW(Intervenções!$K$2:$K$300)-ROW(Intervenções!$K$2)+1)/((Intervenções!$B$2:$B$300=A4)*(Intervenções!$A$2:$A$300=F4)*(Intervenções!$K$2:$K$300&lt;&gt;"")),2)),"")</f>
      </c>
      <c r="AD4" s="4">
        <f>IFERROR(INDEX(Intervenções!$K$2:$K$300,AGGREGATE(15,6,(ROW(Intervenções!$K$2:$K$300)-ROW(Intervenções!$K$2)+1)/((Intervenções!$B$2:$B$300=A4)*(Intervenções!$A$2:$A$300=F4)*(Intervenções!$K$2:$K$300&lt;&gt;"")),3)),"")</f>
      </c>
      <c r="AE4" s="4">
        <f>"RECONCILIAÇÃO MEDICAMENTOSA"&amp;CHAR(10)&amp;IF(G4&lt;&gt;"","Medicamentos de uso prévio: "&amp;G4&amp;".","Sem medicamentos de uso prévio relatados.")&amp;CHAR(10)&amp;IF(H4&lt;&gt;"","Histórico de alergia/RAM: "&amp;H4&amp;".","Nega alergias/RAM conhecidas.")</f>
      </c>
      <c r="AF4" s="4">
        <f>AE4&amp;CHAR(10)&amp;CHAR(10)&amp;"1. Evolução Clínica"&amp;CHAR(10)&amp;TEXTJOIN(" ",TRUE,"Paciente "&amp;I4&amp;", "&amp;IF(J4="","sem DVA","em uso de "&amp;J4)&amp;".",IF(K4&lt;&gt;"","Em "&amp;K4&amp;IF(L4&lt;&gt;""," ("&amp;L4&amp;")","")&amp;IF(M4&lt;&gt;"", ", "&amp;M4,"")&amp;IF(N4&lt;&gt;"", ", sob analgosedação com "&amp;N4,"")&amp;".",""),IF(O4&lt;&gt;"",O4&amp;IF(P4&lt;&gt;"", ", com "&amp;LOWER(P4),"")&amp;IF(Q4&lt;&gt;"", " — "&amp;Q4,"")&amp;".",""),IF(R4="Febre","Apresentou episódio febril nas últimas 24h"&amp;IF(S4&lt;&gt;""," ("&amp;S4&amp;")","")&amp;".",IF(R4="Afebril","Encontra-se afebril.","")),IF(T4&lt;&gt;"",IF(U4="Sim","Apresenta disfunção renal aguda ","Função renal preservada ")&amp;"("&amp;T4&amp;").",""),IF(V4&lt;&gt;"","Em uso do esquema antimicrobiano com "&amp;V4&amp;".",""),IF(TEXTJOIN(", ",TRUE,IF(W4&lt;&gt;"","TEV ("&amp;W4&amp;")",""),IF(X4&lt;&gt;"","LAMG ("&amp;X4&amp;")",""),IF(Y4&lt;&gt;"","úlcera de córnea com "&amp;Y4,""))&lt;&gt;"","Em uso de profilaxia: "&amp;TEXTJOIN(", ",TRUE,IF(W4&lt;&gt;"","TEV ("&amp;W4&amp;")",""),IF(X4&lt;&gt;"","LAMG ("&amp;X4&amp;")",""),IF(Y4&lt;&gt;"","úlcera de córnea com "&amp;Y4,""))&amp;".",""))&amp;CHAR(10)&amp;CHAR(10)&amp;"2. Farmacoterapia"&amp;CHAR(10)&amp;IF(Z4&lt;&gt;"","Corticoide/DART: "&amp;Z4,"Sem corticoide/DART registrado.")&amp;CHAR(10)&amp;CHAR(10)&amp;"3. Conduta Farmacêutica"&amp;CHAR(10)&amp;IF(TEXTJOIN(CHAR(10),TRUE,AB4,AC4,AD4)="","Nenhuma intervenção registrada hoje.",TEXTJOIN(CHAR(10),TRUE,AB4,AC4,AD4))&amp;CHAR(10)&amp;CHAR(10)&amp;"4. Plano Terapêutico"&amp;CHAR(10)&amp;IF(AA4&lt;&gt;"",AA4,"Não definido.")</f>
      </c>
    </row>
    <row r="5" spans="1:32" x14ac:dyDescent="0.25">
      <c r="A5" s="4"/>
      <c r="B5" s="6">
        <f>IFERROR(INDEX(Pacientes!$A:$A,MATCH($A5,Pacientes!$B:$B,0)),"")</f>
      </c>
      <c r="C5" s="6">
        <f>IFERROR(INDEX(Pacientes!$C:$C,MATCH($A5,Pacientes!$B:$B,0)),"")</f>
      </c>
      <c r="D5" s="6">
        <f>IFERROR(INDEX(Pacientes!$D:$D,MATCH($A5,Pacientes!$B:$B,0)),"")</f>
      </c>
      <c r="E5" s="6">
        <f>IFERROR(INDEX(Pacientes!$E:$E,MATCH($A5,Pacientes!$B:$B,0)),"")</f>
      </c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>
        <f>IFERROR(INDEX(Intervenções!$K$2:$K$300,AGGREGATE(15,6,(ROW(Intervenções!$K$2:$K$300)-ROW(Intervenções!$K$2)+1)/((Intervenções!$B$2:$B$300=A5)*(Intervenções!$A$2:$A$300=F5)*(Intervenções!$K$2:$K$300&lt;&gt;"")),1)),"")</f>
      </c>
      <c r="AC5" s="4">
        <f>IFERROR(INDEX(Intervenções!$K$2:$K$300,AGGREGATE(15,6,(ROW(Intervenções!$K$2:$K$300)-ROW(Intervenções!$K$2)+1)/((Intervenções!$B$2:$B$300=A5)*(Intervenções!$A$2:$A$300=F5)*(Intervenções!$K$2:$K$300&lt;&gt;"")),2)),"")</f>
      </c>
      <c r="AD5" s="4">
        <f>IFERROR(INDEX(Intervenções!$K$2:$K$300,AGGREGATE(15,6,(ROW(Intervenções!$K$2:$K$300)-ROW(Intervenções!$K$2)+1)/((Intervenções!$B$2:$B$300=A5)*(Intervenções!$A$2:$A$300=F5)*(Intervenções!$K$2:$K$300&lt;&gt;"")),3)),"")</f>
      </c>
      <c r="AE5" s="4">
        <f>"RECONCILIAÇÃO MEDICAMENTOSA"&amp;CHAR(10)&amp;IF(G5&lt;&gt;"","Medicamentos de uso prévio: "&amp;G5&amp;".","Sem medicamentos de uso prévio relatados.")&amp;CHAR(10)&amp;IF(H5&lt;&gt;"","Histórico de alergia/RAM: "&amp;H5&amp;".","Nega alergias/RAM conhecidas.")</f>
      </c>
      <c r="AF5" s="4">
        <f>AE5&amp;CHAR(10)&amp;CHAR(10)&amp;"1. Evolução Clínica"&amp;CHAR(10)&amp;TEXTJOIN(" ",TRUE,"Paciente "&amp;I5&amp;", "&amp;IF(J5="","sem DVA","em uso de "&amp;J5)&amp;".",IF(K5&lt;&gt;"","Em "&amp;K5&amp;IF(L5&lt;&gt;""," ("&amp;L5&amp;")","")&amp;IF(M5&lt;&gt;"", ", "&amp;M5,"")&amp;IF(N5&lt;&gt;"", ", sob analgosedação com "&amp;N5,"")&amp;".",""),IF(O5&lt;&gt;"",O5&amp;IF(P5&lt;&gt;"", ", com "&amp;LOWER(P5),"")&amp;IF(Q5&lt;&gt;"", " — "&amp;Q5,"")&amp;".",""),IF(R5="Febre","Apresentou episódio febril nas últimas 24h"&amp;IF(S5&lt;&gt;""," ("&amp;S5&amp;")","")&amp;".",IF(R5="Afebril","Encontra-se afebril.","")),IF(T5&lt;&gt;"",IF(U5="Sim","Apresenta disfunção renal aguda ","Função renal preservada ")&amp;"("&amp;T5&amp;").",""),IF(V5&lt;&gt;"","Em uso do esquema antimicrobiano com "&amp;V5&amp;".",""),IF(TEXTJOIN(", ",TRUE,IF(W5&lt;&gt;"","TEV ("&amp;W5&amp;")",""),IF(X5&lt;&gt;"","LAMG ("&amp;X5&amp;")",""),IF(Y5&lt;&gt;"","úlcera de córnea com "&amp;Y5,""))&lt;&gt;"","Em uso de profilaxia: "&amp;TEXTJOIN(", ",TRUE,IF(W5&lt;&gt;"","TEV ("&amp;W5&amp;")",""),IF(X5&lt;&gt;"","LAMG ("&amp;X5&amp;")",""),IF(Y5&lt;&gt;"","úlcera de córnea com "&amp;Y5,""))&amp;".",""))&amp;CHAR(10)&amp;CHAR(10)&amp;"2. Farmacoterapia"&amp;CHAR(10)&amp;IF(Z5&lt;&gt;"","Corticoide/DART: "&amp;Z5,"Sem corticoide/DART registrado.")&amp;CHAR(10)&amp;CHAR(10)&amp;"3. Conduta Farmacêutica"&amp;CHAR(10)&amp;IF(TEXTJOIN(CHAR(10),TRUE,AB5,AC5,AD5)="","Nenhuma intervenção registrada hoje.",TEXTJOIN(CHAR(10),TRUE,AB5,AC5,AD5))&amp;CHAR(10)&amp;CHAR(10)&amp;"4. Plano Terapêutico"&amp;CHAR(10)&amp;IF(AA5&lt;&gt;"",AA5,"Não definido.")</f>
      </c>
    </row>
    <row r="6" spans="1:32" x14ac:dyDescent="0.25">
      <c r="A6" s="4"/>
      <c r="B6" s="6">
        <f>IFERROR(INDEX(Pacientes!$A:$A,MATCH($A6,Pacientes!$B:$B,0)),"")</f>
      </c>
      <c r="C6" s="6">
        <f>IFERROR(INDEX(Pacientes!$C:$C,MATCH($A6,Pacientes!$B:$B,0)),"")</f>
      </c>
      <c r="D6" s="6">
        <f>IFERROR(INDEX(Pacientes!$D:$D,MATCH($A6,Pacientes!$B:$B,0)),"")</f>
      </c>
      <c r="E6" s="6">
        <f>IFERROR(INDEX(Pacientes!$E:$E,MATCH($A6,Pacientes!$B:$B,0)),"")</f>
      </c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>
        <f>IFERROR(INDEX(Intervenções!$K$2:$K$300,AGGREGATE(15,6,(ROW(Intervenções!$K$2:$K$300)-ROW(Intervenções!$K$2)+1)/((Intervenções!$B$2:$B$300=A6)*(Intervenções!$A$2:$A$300=F6)*(Intervenções!$K$2:$K$300&lt;&gt;"")),1)),"")</f>
      </c>
      <c r="AC6" s="4">
        <f>IFERROR(INDEX(Intervenções!$K$2:$K$300,AGGREGATE(15,6,(ROW(Intervenções!$K$2:$K$300)-ROW(Intervenções!$K$2)+1)/((Intervenções!$B$2:$B$300=A6)*(Intervenções!$A$2:$A$300=F6)*(Intervenções!$K$2:$K$300&lt;&gt;"")),2)),"")</f>
      </c>
      <c r="AD6" s="4">
        <f>IFERROR(INDEX(Intervenções!$K$2:$K$300,AGGREGATE(15,6,(ROW(Intervenções!$K$2:$K$300)-ROW(Intervenções!$K$2)+1)/((Intervenções!$B$2:$B$300=A6)*(Intervenções!$A$2:$A$300=F6)*(Intervenções!$K$2:$K$300&lt;&gt;"")),3)),"")</f>
      </c>
      <c r="AE6" s="4">
        <f>"RECONCILIAÇÃO MEDICAMENTOSA"&amp;CHAR(10)&amp;IF(G6&lt;&gt;"","Medicamentos de uso prévio: "&amp;G6&amp;".","Sem medicamentos de uso prévio relatados.")&amp;CHAR(10)&amp;IF(H6&lt;&gt;"","Histórico de alergia/RAM: "&amp;H6&amp;".","Nega alergias/RAM conhecidas.")</f>
      </c>
      <c r="AF6" s="4">
        <f>AE6&amp;CHAR(10)&amp;CHAR(10)&amp;"1. Evolução Clínica"&amp;CHAR(10)&amp;TEXTJOIN(" ",TRUE,"Paciente "&amp;I6&amp;", "&amp;IF(J6="","sem DVA","em uso de "&amp;J6)&amp;".",IF(K6&lt;&gt;"","Em "&amp;K6&amp;IF(L6&lt;&gt;""," ("&amp;L6&amp;")","")&amp;IF(M6&lt;&gt;"", ", "&amp;M6,"")&amp;IF(N6&lt;&gt;"", ", sob analgosedação com "&amp;N6,"")&amp;".",""),IF(O6&lt;&gt;"",O6&amp;IF(P6&lt;&gt;"", ", com "&amp;LOWER(P6),"")&amp;IF(Q6&lt;&gt;"", " — "&amp;Q6,"")&amp;".",""),IF(R6="Febre","Apresentou episódio febril nas últimas 24h"&amp;IF(S6&lt;&gt;""," ("&amp;S6&amp;")","")&amp;".",IF(R6="Afebril","Encontra-se afebril.","")),IF(T6&lt;&gt;"",IF(U6="Sim","Apresenta disfunção renal aguda ","Função renal preservada ")&amp;"("&amp;T6&amp;").",""),IF(V6&lt;&gt;"","Em uso do esquema antimicrobiano com "&amp;V6&amp;".",""),IF(TEXTJOIN(", ",TRUE,IF(W6&lt;&gt;"","TEV ("&amp;W6&amp;")",""),IF(X6&lt;&gt;"","LAMG ("&amp;X6&amp;")",""),IF(Y6&lt;&gt;"","úlcera de córnea com "&amp;Y6,""))&lt;&gt;"","Em uso de profilaxia: "&amp;TEXTJOIN(", ",TRUE,IF(W6&lt;&gt;"","TEV ("&amp;W6&amp;")",""),IF(X6&lt;&gt;"","LAMG ("&amp;X6&amp;")",""),IF(Y6&lt;&gt;"","úlcera de córnea com "&amp;Y6,""))&amp;".",""))&amp;CHAR(10)&amp;CHAR(10)&amp;"2. Farmacoterapia"&amp;CHAR(10)&amp;IF(Z6&lt;&gt;"","Corticoide/DART: "&amp;Z6,"Sem corticoide/DART registrado.")&amp;CHAR(10)&amp;CHAR(10)&amp;"3. Conduta Farmacêutica"&amp;CHAR(10)&amp;IF(TEXTJOIN(CHAR(10),TRUE,AB6,AC6,AD6)="","Nenhuma intervenção registrada hoje.",TEXTJOIN(CHAR(10),TRUE,AB6,AC6,AD6))&amp;CHAR(10)&amp;CHAR(10)&amp;"4. Plano Terapêutico"&amp;CHAR(10)&amp;IF(AA6&lt;&gt;"",AA6,"Não definido.")</f>
      </c>
    </row>
    <row r="7" spans="1:32" x14ac:dyDescent="0.25">
      <c r="A7" s="4"/>
      <c r="B7" s="6">
        <f>IFERROR(INDEX(Pacientes!$A:$A,MATCH($A7,Pacientes!$B:$B,0)),"")</f>
      </c>
      <c r="C7" s="6">
        <f>IFERROR(INDEX(Pacientes!$C:$C,MATCH($A7,Pacientes!$B:$B,0)),"")</f>
      </c>
      <c r="D7" s="6">
        <f>IFERROR(INDEX(Pacientes!$D:$D,MATCH($A7,Pacientes!$B:$B,0)),"")</f>
      </c>
      <c r="E7" s="6">
        <f>IFERROR(INDEX(Pacientes!$E:$E,MATCH($A7,Pacientes!$B:$B,0)),"")</f>
      </c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>
        <f>IFERROR(INDEX(Intervenções!$K$2:$K$300,AGGREGATE(15,6,(ROW(Intervenções!$K$2:$K$300)-ROW(Intervenções!$K$2)+1)/((Intervenções!$B$2:$B$300=A7)*(Intervenções!$A$2:$A$300=F7)*(Intervenções!$K$2:$K$300&lt;&gt;"")),1)),"")</f>
      </c>
      <c r="AC7" s="4">
        <f>IFERROR(INDEX(Intervenções!$K$2:$K$300,AGGREGATE(15,6,(ROW(Intervenções!$K$2:$K$300)-ROW(Intervenções!$K$2)+1)/((Intervenções!$B$2:$B$300=A7)*(Intervenções!$A$2:$A$300=F7)*(Intervenções!$K$2:$K$300&lt;&gt;"")),2)),"")</f>
      </c>
      <c r="AD7" s="4">
        <f>IFERROR(INDEX(Intervenções!$K$2:$K$300,AGGREGATE(15,6,(ROW(Intervenções!$K$2:$K$300)-ROW(Intervenções!$K$2)+1)/((Intervenções!$B$2:$B$300=A7)*(Intervenções!$A$2:$A$300=F7)*(Intervenções!$K$2:$K$300&lt;&gt;"")),3)),"")</f>
      </c>
      <c r="AE7" s="4">
        <f>"RECONCILIAÇÃO MEDICAMENTOSA"&amp;CHAR(10)&amp;IF(G7&lt;&gt;"","Medicamentos de uso prévio: "&amp;G7&amp;".","Sem medicamentos de uso prévio relatados.")&amp;CHAR(10)&amp;IF(H7&lt;&gt;"","Histórico de alergia/RAM: "&amp;H7&amp;".","Nega alergias/RAM conhecidas.")</f>
      </c>
      <c r="AF7" s="4">
        <f>AE7&amp;CHAR(10)&amp;CHAR(10)&amp;"1. Evolução Clínica"&amp;CHAR(10)&amp;TEXTJOIN(" ",TRUE,"Paciente "&amp;I7&amp;", "&amp;IF(J7="","sem DVA","em uso de "&amp;J7)&amp;".",IF(K7&lt;&gt;"","Em "&amp;K7&amp;IF(L7&lt;&gt;""," ("&amp;L7&amp;")","")&amp;IF(M7&lt;&gt;"", ", "&amp;M7,"")&amp;IF(N7&lt;&gt;"", ", sob analgosedação com "&amp;N7,"")&amp;".",""),IF(O7&lt;&gt;"",O7&amp;IF(P7&lt;&gt;"", ", com "&amp;LOWER(P7),"")&amp;IF(Q7&lt;&gt;"", " — "&amp;Q7,"")&amp;".",""),IF(R7="Febre","Apresentou episódio febril nas últimas 24h"&amp;IF(S7&lt;&gt;""," ("&amp;S7&amp;")","")&amp;".",IF(R7="Afebril","Encontra-se afebril.","")),IF(T7&lt;&gt;"",IF(U7="Sim","Apresenta disfunção renal aguda ","Função renal preservada ")&amp;"("&amp;T7&amp;").",""),IF(V7&lt;&gt;"","Em uso do esquema antimicrobiano com "&amp;V7&amp;".",""),IF(TEXTJOIN(", ",TRUE,IF(W7&lt;&gt;"","TEV ("&amp;W7&amp;")",""),IF(X7&lt;&gt;"","LAMG ("&amp;X7&amp;")",""),IF(Y7&lt;&gt;"","úlcera de córnea com "&amp;Y7,""))&lt;&gt;"","Em uso de profilaxia: "&amp;TEXTJOIN(", ",TRUE,IF(W7&lt;&gt;"","TEV ("&amp;W7&amp;")",""),IF(X7&lt;&gt;"","LAMG ("&amp;X7&amp;")",""),IF(Y7&lt;&gt;"","úlcera de córnea com "&amp;Y7,""))&amp;".",""))&amp;CHAR(10)&amp;CHAR(10)&amp;"2. Farmacoterapia"&amp;CHAR(10)&amp;IF(Z7&lt;&gt;"","Corticoide/DART: "&amp;Z7,"Sem corticoide/DART registrado.")&amp;CHAR(10)&amp;CHAR(10)&amp;"3. Conduta Farmacêutica"&amp;CHAR(10)&amp;IF(TEXTJOIN(CHAR(10),TRUE,AB7,AC7,AD7)="","Nenhuma intervenção registrada hoje.",TEXTJOIN(CHAR(10),TRUE,AB7,AC7,AD7))&amp;CHAR(10)&amp;CHAR(10)&amp;"4. Plano Terapêutico"&amp;CHAR(10)&amp;IF(AA7&lt;&gt;"",AA7,"Não definido.")</f>
      </c>
    </row>
    <row r="8" spans="1:32" x14ac:dyDescent="0.25">
      <c r="A8" s="4"/>
      <c r="B8" s="6">
        <f>IFERROR(INDEX(Pacientes!$A:$A,MATCH($A8,Pacientes!$B:$B,0)),"")</f>
      </c>
      <c r="C8" s="6">
        <f>IFERROR(INDEX(Pacientes!$C:$C,MATCH($A8,Pacientes!$B:$B,0)),"")</f>
      </c>
      <c r="D8" s="6">
        <f>IFERROR(INDEX(Pacientes!$D:$D,MATCH($A8,Pacientes!$B:$B,0)),"")</f>
      </c>
      <c r="E8" s="6">
        <f>IFERROR(INDEX(Pacientes!$E:$E,MATCH($A8,Pacientes!$B:$B,0)),"")</f>
      </c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>
        <f>IFERROR(INDEX(Intervenções!$K$2:$K$300,AGGREGATE(15,6,(ROW(Intervenções!$K$2:$K$300)-ROW(Intervenções!$K$2)+1)/((Intervenções!$B$2:$B$300=A8)*(Intervenções!$A$2:$A$300=F8)*(Intervenções!$K$2:$K$300&lt;&gt;"")),1)),"")</f>
      </c>
      <c r="AC8" s="4">
        <f>IFERROR(INDEX(Intervenções!$K$2:$K$300,AGGREGATE(15,6,(ROW(Intervenções!$K$2:$K$300)-ROW(Intervenções!$K$2)+1)/((Intervenções!$B$2:$B$300=A8)*(Intervenções!$A$2:$A$300=F8)*(Intervenções!$K$2:$K$300&lt;&gt;"")),2)),"")</f>
      </c>
      <c r="AD8" s="4">
        <f>IFERROR(INDEX(Intervenções!$K$2:$K$300,AGGREGATE(15,6,(ROW(Intervenções!$K$2:$K$300)-ROW(Intervenções!$K$2)+1)/((Intervenções!$B$2:$B$300=A8)*(Intervenções!$A$2:$A$300=F8)*(Intervenções!$K$2:$K$300&lt;&gt;"")),3)),"")</f>
      </c>
      <c r="AE8" s="4">
        <f>"RECONCILIAÇÃO MEDICAMENTOSA"&amp;CHAR(10)&amp;IF(G8&lt;&gt;"","Medicamentos de uso prévio: "&amp;G8&amp;".","Sem medicamentos de uso prévio relatados.")&amp;CHAR(10)&amp;IF(H8&lt;&gt;"","Histórico de alergia/RAM: "&amp;H8&amp;".","Nega alergias/RAM conhecidas.")</f>
      </c>
      <c r="AF8" s="4">
        <f>AE8&amp;CHAR(10)&amp;CHAR(10)&amp;"1. Evolução Clínica"&amp;CHAR(10)&amp;TEXTJOIN(" ",TRUE,"Paciente "&amp;I8&amp;", "&amp;IF(J8="","sem DVA","em uso de "&amp;J8)&amp;".",IF(K8&lt;&gt;"","Em "&amp;K8&amp;IF(L8&lt;&gt;""," ("&amp;L8&amp;")","")&amp;IF(M8&lt;&gt;"", ", "&amp;M8,"")&amp;IF(N8&lt;&gt;"", ", sob analgosedação com "&amp;N8,"")&amp;".",""),IF(O8&lt;&gt;"",O8&amp;IF(P8&lt;&gt;"", ", com "&amp;LOWER(P8),"")&amp;IF(Q8&lt;&gt;"", " — "&amp;Q8,"")&amp;".",""),IF(R8="Febre","Apresentou episódio febril nas últimas 24h"&amp;IF(S8&lt;&gt;""," ("&amp;S8&amp;")","")&amp;".",IF(R8="Afebril","Encontra-se afebril.","")),IF(T8&lt;&gt;"",IF(U8="Sim","Apresenta disfunção renal aguda ","Função renal preservada ")&amp;"("&amp;T8&amp;").",""),IF(V8&lt;&gt;"","Em uso do esquema antimicrobiano com "&amp;V8&amp;".",""),IF(TEXTJOIN(", ",TRUE,IF(W8&lt;&gt;"","TEV ("&amp;W8&amp;")",""),IF(X8&lt;&gt;"","LAMG ("&amp;X8&amp;")",""),IF(Y8&lt;&gt;"","úlcera de córnea com "&amp;Y8,""))&lt;&gt;"","Em uso de profilaxia: "&amp;TEXTJOIN(", ",TRUE,IF(W8&lt;&gt;"","TEV ("&amp;W8&amp;")",""),IF(X8&lt;&gt;"","LAMG ("&amp;X8&amp;")",""),IF(Y8&lt;&gt;"","úlcera de córnea com "&amp;Y8,""))&amp;".",""))&amp;CHAR(10)&amp;CHAR(10)&amp;"2. Farmacoterapia"&amp;CHAR(10)&amp;IF(Z8&lt;&gt;"","Corticoide/DART: "&amp;Z8,"Sem corticoide/DART registrado.")&amp;CHAR(10)&amp;CHAR(10)&amp;"3. Conduta Farmacêutica"&amp;CHAR(10)&amp;IF(TEXTJOIN(CHAR(10),TRUE,AB8,AC8,AD8)="","Nenhuma intervenção registrada hoje.",TEXTJOIN(CHAR(10),TRUE,AB8,AC8,AD8))&amp;CHAR(10)&amp;CHAR(10)&amp;"4. Plano Terapêutico"&amp;CHAR(10)&amp;IF(AA8&lt;&gt;"",AA8,"Não definido.")</f>
      </c>
    </row>
    <row r="9" spans="1:32" x14ac:dyDescent="0.25">
      <c r="A9" s="4"/>
      <c r="B9" s="6">
        <f>IFERROR(INDEX(Pacientes!$A:$A,MATCH($A9,Pacientes!$B:$B,0)),"")</f>
      </c>
      <c r="C9" s="6">
        <f>IFERROR(INDEX(Pacientes!$C:$C,MATCH($A9,Pacientes!$B:$B,0)),"")</f>
      </c>
      <c r="D9" s="6">
        <f>IFERROR(INDEX(Pacientes!$D:$D,MATCH($A9,Pacientes!$B:$B,0)),"")</f>
      </c>
      <c r="E9" s="6">
        <f>IFERROR(INDEX(Pacientes!$E:$E,MATCH($A9,Pacientes!$B:$B,0)),"")</f>
      </c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>
        <f>IFERROR(INDEX(Intervenções!$K$2:$K$300,AGGREGATE(15,6,(ROW(Intervenções!$K$2:$K$300)-ROW(Intervenções!$K$2)+1)/((Intervenções!$B$2:$B$300=A9)*(Intervenções!$A$2:$A$300=F9)*(Intervenções!$K$2:$K$300&lt;&gt;"")),1)),"")</f>
      </c>
      <c r="AC9" s="4">
        <f>IFERROR(INDEX(Intervenções!$K$2:$K$300,AGGREGATE(15,6,(ROW(Intervenções!$K$2:$K$300)-ROW(Intervenções!$K$2)+1)/((Intervenções!$B$2:$B$300=A9)*(Intervenções!$A$2:$A$300=F9)*(Intervenções!$K$2:$K$300&lt;&gt;"")),2)),"")</f>
      </c>
      <c r="AD9" s="4">
        <f>IFERROR(INDEX(Intervenções!$K$2:$K$300,AGGREGATE(15,6,(ROW(Intervenções!$K$2:$K$300)-ROW(Intervenções!$K$2)+1)/((Intervenções!$B$2:$B$300=A9)*(Intervenções!$A$2:$A$300=F9)*(Intervenções!$K$2:$K$300&lt;&gt;"")),3)),"")</f>
      </c>
      <c r="AE9" s="4">
        <f>"RECONCILIAÇÃO MEDICAMENTOSA"&amp;CHAR(10)&amp;IF(G9&lt;&gt;"","Medicamentos de uso prévio: "&amp;G9&amp;".","Sem medicamentos de uso prévio relatados.")&amp;CHAR(10)&amp;IF(H9&lt;&gt;"","Histórico de alergia/RAM: "&amp;H9&amp;".","Nega alergias/RAM conhecidas.")</f>
      </c>
      <c r="AF9" s="4">
        <f>AE9&amp;CHAR(10)&amp;CHAR(10)&amp;"1. Evolução Clínica"&amp;CHAR(10)&amp;TEXTJOIN(" ",TRUE,"Paciente "&amp;I9&amp;", "&amp;IF(J9="","sem DVA","em uso de "&amp;J9)&amp;".",IF(K9&lt;&gt;"","Em "&amp;K9&amp;IF(L9&lt;&gt;""," ("&amp;L9&amp;")","")&amp;IF(M9&lt;&gt;"", ", "&amp;M9,"")&amp;IF(N9&lt;&gt;"", ", sob analgosedação com "&amp;N9,"")&amp;".",""),IF(O9&lt;&gt;"",O9&amp;IF(P9&lt;&gt;"", ", com "&amp;LOWER(P9),"")&amp;IF(Q9&lt;&gt;"", " — "&amp;Q9,"")&amp;".",""),IF(R9="Febre","Apresentou episódio febril nas últimas 24h"&amp;IF(S9&lt;&gt;""," ("&amp;S9&amp;")","")&amp;".",IF(R9="Afebril","Encontra-se afebril.","")),IF(T9&lt;&gt;"",IF(U9="Sim","Apresenta disfunção renal aguda ","Função renal preservada ")&amp;"("&amp;T9&amp;").",""),IF(V9&lt;&gt;"","Em uso do esquema antimicrobiano com "&amp;V9&amp;".",""),IF(TEXTJOIN(", ",TRUE,IF(W9&lt;&gt;"","TEV ("&amp;W9&amp;")",""),IF(X9&lt;&gt;"","LAMG ("&amp;X9&amp;")",""),IF(Y9&lt;&gt;"","úlcera de córnea com "&amp;Y9,""))&lt;&gt;"","Em uso de profilaxia: "&amp;TEXTJOIN(", ",TRUE,IF(W9&lt;&gt;"","TEV ("&amp;W9&amp;")",""),IF(X9&lt;&gt;"","LAMG ("&amp;X9&amp;")",""),IF(Y9&lt;&gt;"","úlcera de córnea com "&amp;Y9,""))&amp;".",""))&amp;CHAR(10)&amp;CHAR(10)&amp;"2. Farmacoterapia"&amp;CHAR(10)&amp;IF(Z9&lt;&gt;"","Corticoide/DART: "&amp;Z9,"Sem corticoide/DART registrado.")&amp;CHAR(10)&amp;CHAR(10)&amp;"3. Conduta Farmacêutica"&amp;CHAR(10)&amp;IF(TEXTJOIN(CHAR(10),TRUE,AB9,AC9,AD9)="","Nenhuma intervenção registrada hoje.",TEXTJOIN(CHAR(10),TRUE,AB9,AC9,AD9))&amp;CHAR(10)&amp;CHAR(10)&amp;"4. Plano Terapêutico"&amp;CHAR(10)&amp;IF(AA9&lt;&gt;"",AA9,"Não definido.")</f>
      </c>
    </row>
    <row r="10" spans="1:32" x14ac:dyDescent="0.25">
      <c r="A10" s="4"/>
      <c r="B10" s="6">
        <f>IFERROR(INDEX(Pacientes!$A:$A,MATCH($A10,Pacientes!$B:$B,0)),"")</f>
      </c>
      <c r="C10" s="6">
        <f>IFERROR(INDEX(Pacientes!$C:$C,MATCH($A10,Pacientes!$B:$B,0)),"")</f>
      </c>
      <c r="D10" s="6">
        <f>IFERROR(INDEX(Pacientes!$D:$D,MATCH($A10,Pacientes!$B:$B,0)),"")</f>
      </c>
      <c r="E10" s="6">
        <f>IFERROR(INDEX(Pacientes!$E:$E,MATCH($A10,Pacientes!$B:$B,0)),"")</f>
      </c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>
        <f>IFERROR(INDEX(Intervenções!$K$2:$K$300,AGGREGATE(15,6,(ROW(Intervenções!$K$2:$K$300)-ROW(Intervenções!$K$2)+1)/((Intervenções!$B$2:$B$300=A10)*(Intervenções!$A$2:$A$300=F10)*(Intervenções!$K$2:$K$300&lt;&gt;"")),1)),"")</f>
      </c>
      <c r="AC10" s="4">
        <f>IFERROR(INDEX(Intervenções!$K$2:$K$300,AGGREGATE(15,6,(ROW(Intervenções!$K$2:$K$300)-ROW(Intervenções!$K$2)+1)/((Intervenções!$B$2:$B$300=A10)*(Intervenções!$A$2:$A$300=F10)*(Intervenções!$K$2:$K$300&lt;&gt;"")),2)),"")</f>
      </c>
      <c r="AD10" s="4">
        <f>IFERROR(INDEX(Intervenções!$K$2:$K$300,AGGREGATE(15,6,(ROW(Intervenções!$K$2:$K$300)-ROW(Intervenções!$K$2)+1)/((Intervenções!$B$2:$B$300=A10)*(Intervenções!$A$2:$A$300=F10)*(Intervenções!$K$2:$K$300&lt;&gt;"")),3)),"")</f>
      </c>
      <c r="AE10" s="4">
        <f>"RECONCILIAÇÃO MEDICAMENTOSA"&amp;CHAR(10)&amp;IF(G10&lt;&gt;"","Medicamentos de uso prévio: "&amp;G10&amp;".","Sem medicamentos de uso prévio relatados.")&amp;CHAR(10)&amp;IF(H10&lt;&gt;"","Histórico de alergia/RAM: "&amp;H10&amp;".","Nega alergias/RAM conhecidas.")</f>
      </c>
      <c r="AF10" s="4">
        <f>AE10&amp;CHAR(10)&amp;CHAR(10)&amp;"1. Evolução Clínica"&amp;CHAR(10)&amp;TEXTJOIN(" ",TRUE,"Paciente "&amp;I10&amp;", "&amp;IF(J10="","sem DVA","em uso de "&amp;J10)&amp;".",IF(K10&lt;&gt;"","Em "&amp;K10&amp;IF(L10&lt;&gt;""," ("&amp;L10&amp;")","")&amp;IF(M10&lt;&gt;"", ", "&amp;M10,"")&amp;IF(N10&lt;&gt;"", ", sob analgosedação com "&amp;N10,"")&amp;".",""),IF(O10&lt;&gt;"",O10&amp;IF(P10&lt;&gt;"", ", com "&amp;LOWER(P10),"")&amp;IF(Q10&lt;&gt;"", " — "&amp;Q10,"")&amp;".",""),IF(R10="Febre","Apresentou episódio febril nas últimas 24h"&amp;IF(S10&lt;&gt;""," ("&amp;S10&amp;")","")&amp;".",IF(R10="Afebril","Encontra-se afebril.","")),IF(T10&lt;&gt;"",IF(U10="Sim","Apresenta disfunção renal aguda ","Função renal preservada ")&amp;"("&amp;T10&amp;").",""),IF(V10&lt;&gt;"","Em uso do esquema antimicrobiano com "&amp;V10&amp;".",""),IF(TEXTJOIN(", ",TRUE,IF(W10&lt;&gt;"","TEV ("&amp;W10&amp;")",""),IF(X10&lt;&gt;"","LAMG ("&amp;X10&amp;")",""),IF(Y10&lt;&gt;"","úlcera de córnea com "&amp;Y10,""))&lt;&gt;"","Em uso de profilaxia: "&amp;TEXTJOIN(", ",TRUE,IF(W10&lt;&gt;"","TEV ("&amp;W10&amp;")",""),IF(X10&lt;&gt;"","LAMG ("&amp;X10&amp;")",""),IF(Y10&lt;&gt;"","úlcera de córnea com "&amp;Y10,""))&amp;".",""))&amp;CHAR(10)&amp;CHAR(10)&amp;"2. Farmacoterapia"&amp;CHAR(10)&amp;IF(Z10&lt;&gt;"","Corticoide/DART: "&amp;Z10,"Sem corticoide/DART registrado.")&amp;CHAR(10)&amp;CHAR(10)&amp;"3. Conduta Farmacêutica"&amp;CHAR(10)&amp;IF(TEXTJOIN(CHAR(10),TRUE,AB10,AC10,AD10)="","Nenhuma intervenção registrada hoje.",TEXTJOIN(CHAR(10),TRUE,AB10,AC10,AD10))&amp;CHAR(10)&amp;CHAR(10)&amp;"4. Plano Terapêutico"&amp;CHAR(10)&amp;IF(AA10&lt;&gt;"",AA10,"Não definido.")</f>
      </c>
    </row>
    <row r="11" spans="1:32" x14ac:dyDescent="0.25">
      <c r="A11" s="4"/>
      <c r="B11" s="6">
        <f>IFERROR(INDEX(Pacientes!$A:$A,MATCH($A11,Pacientes!$B:$B,0)),"")</f>
      </c>
      <c r="C11" s="6">
        <f>IFERROR(INDEX(Pacientes!$C:$C,MATCH($A11,Pacientes!$B:$B,0)),"")</f>
      </c>
      <c r="D11" s="6">
        <f>IFERROR(INDEX(Pacientes!$D:$D,MATCH($A11,Pacientes!$B:$B,0)),"")</f>
      </c>
      <c r="E11" s="6">
        <f>IFERROR(INDEX(Pacientes!$E:$E,MATCH($A11,Pacientes!$B:$B,0)),"")</f>
      </c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>
        <f>IFERROR(INDEX(Intervenções!$K$2:$K$300,AGGREGATE(15,6,(ROW(Intervenções!$K$2:$K$300)-ROW(Intervenções!$K$2)+1)/((Intervenções!$B$2:$B$300=A11)*(Intervenções!$A$2:$A$300=F11)*(Intervenções!$K$2:$K$300&lt;&gt;"")),1)),"")</f>
      </c>
      <c r="AC11" s="4">
        <f>IFERROR(INDEX(Intervenções!$K$2:$K$300,AGGREGATE(15,6,(ROW(Intervenções!$K$2:$K$300)-ROW(Intervenções!$K$2)+1)/((Intervenções!$B$2:$B$300=A11)*(Intervenções!$A$2:$A$300=F11)*(Intervenções!$K$2:$K$300&lt;&gt;"")),2)),"")</f>
      </c>
      <c r="AD11" s="4">
        <f>IFERROR(INDEX(Intervenções!$K$2:$K$300,AGGREGATE(15,6,(ROW(Intervenções!$K$2:$K$300)-ROW(Intervenções!$K$2)+1)/((Intervenções!$B$2:$B$300=A11)*(Intervenções!$A$2:$A$300=F11)*(Intervenções!$K$2:$K$300&lt;&gt;"")),3)),"")</f>
      </c>
      <c r="AE11" s="4">
        <f>"RECONCILIAÇÃO MEDICAMENTOSA"&amp;CHAR(10)&amp;IF(G11&lt;&gt;"","Medicamentos de uso prévio: "&amp;G11&amp;".","Sem medicamentos de uso prévio relatados.")&amp;CHAR(10)&amp;IF(H11&lt;&gt;"","Histórico de alergia/RAM: "&amp;H11&amp;".","Nega alergias/RAM conhecidas.")</f>
      </c>
      <c r="AF11" s="4">
        <f>AE11&amp;CHAR(10)&amp;CHAR(10)&amp;"1. Evolução Clínica"&amp;CHAR(10)&amp;TEXTJOIN(" ",TRUE,"Paciente "&amp;I11&amp;", "&amp;IF(J11="","sem DVA","em uso de "&amp;J11)&amp;".",IF(K11&lt;&gt;"","Em "&amp;K11&amp;IF(L11&lt;&gt;""," ("&amp;L11&amp;")","")&amp;IF(M11&lt;&gt;"", ", "&amp;M11,"")&amp;IF(N11&lt;&gt;"", ", sob analgosedação com "&amp;N11,"")&amp;".",""),IF(O11&lt;&gt;"",O11&amp;IF(P11&lt;&gt;"", ", com "&amp;LOWER(P11),"")&amp;IF(Q11&lt;&gt;"", " — "&amp;Q11,"")&amp;".",""),IF(R11="Febre","Apresentou episódio febril nas últimas 24h"&amp;IF(S11&lt;&gt;""," ("&amp;S11&amp;")","")&amp;".",IF(R11="Afebril","Encontra-se afebril.","")),IF(T11&lt;&gt;"",IF(U11="Sim","Apresenta disfunção renal aguda ","Função renal preservada ")&amp;"("&amp;T11&amp;").",""),IF(V11&lt;&gt;"","Em uso do esquema antimicrobiano com "&amp;V11&amp;".",""),IF(TEXTJOIN(", ",TRUE,IF(W11&lt;&gt;"","TEV ("&amp;W11&amp;")",""),IF(X11&lt;&gt;"","LAMG ("&amp;X11&amp;")",""),IF(Y11&lt;&gt;"","úlcera de córnea com "&amp;Y11,""))&lt;&gt;"","Em uso de profilaxia: "&amp;TEXTJOIN(", ",TRUE,IF(W11&lt;&gt;"","TEV ("&amp;W11&amp;")",""),IF(X11&lt;&gt;"","LAMG ("&amp;X11&amp;")",""),IF(Y11&lt;&gt;"","úlcera de córnea com "&amp;Y11,""))&amp;".",""))&amp;CHAR(10)&amp;CHAR(10)&amp;"2. Farmacoterapia"&amp;CHAR(10)&amp;IF(Z11&lt;&gt;"","Corticoide/DART: "&amp;Z11,"Sem corticoide/DART registrado.")&amp;CHAR(10)&amp;CHAR(10)&amp;"3. Conduta Farmacêutica"&amp;CHAR(10)&amp;IF(TEXTJOIN(CHAR(10),TRUE,AB11,AC11,AD11)="","Nenhuma intervenção registrada hoje.",TEXTJOIN(CHAR(10),TRUE,AB11,AC11,AD11))&amp;CHAR(10)&amp;CHAR(10)&amp;"4. Plano Terapêutico"&amp;CHAR(10)&amp;IF(AA11&lt;&gt;"",AA11,"Não definido.")</f>
      </c>
    </row>
    <row r="12" spans="1:32" x14ac:dyDescent="0.25">
      <c r="A12" s="4"/>
      <c r="B12" s="6">
        <f>IFERROR(INDEX(Pacientes!$A:$A,MATCH($A12,Pacientes!$B:$B,0)),"")</f>
      </c>
      <c r="C12" s="6">
        <f>IFERROR(INDEX(Pacientes!$C:$C,MATCH($A12,Pacientes!$B:$B,0)),"")</f>
      </c>
      <c r="D12" s="6">
        <f>IFERROR(INDEX(Pacientes!$D:$D,MATCH($A12,Pacientes!$B:$B,0)),"")</f>
      </c>
      <c r="E12" s="6">
        <f>IFERROR(INDEX(Pacientes!$E:$E,MATCH($A12,Pacientes!$B:$B,0)),"")</f>
      </c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>
        <f>IFERROR(INDEX(Intervenções!$K$2:$K$300,AGGREGATE(15,6,(ROW(Intervenções!$K$2:$K$300)-ROW(Intervenções!$K$2)+1)/((Intervenções!$B$2:$B$300=A12)*(Intervenções!$A$2:$A$300=F12)*(Intervenções!$K$2:$K$300&lt;&gt;"")),1)),"")</f>
      </c>
      <c r="AC12" s="4">
        <f>IFERROR(INDEX(Intervenções!$K$2:$K$300,AGGREGATE(15,6,(ROW(Intervenções!$K$2:$K$300)-ROW(Intervenções!$K$2)+1)/((Intervenções!$B$2:$B$300=A12)*(Intervenções!$A$2:$A$300=F12)*(Intervenções!$K$2:$K$300&lt;&gt;"")),2)),"")</f>
      </c>
      <c r="AD12" s="4">
        <f>IFERROR(INDEX(Intervenções!$K$2:$K$300,AGGREGATE(15,6,(ROW(Intervenções!$K$2:$K$300)-ROW(Intervenções!$K$2)+1)/((Intervenções!$B$2:$B$300=A12)*(Intervenções!$A$2:$A$300=F12)*(Intervenções!$K$2:$K$300&lt;&gt;"")),3)),"")</f>
      </c>
      <c r="AE12" s="4">
        <f>"RECONCILIAÇÃO MEDICAMENTOSA"&amp;CHAR(10)&amp;IF(G12&lt;&gt;"","Medicamentos de uso prévio: "&amp;G12&amp;".","Sem medicamentos de uso prévio relatados.")&amp;CHAR(10)&amp;IF(H12&lt;&gt;"","Histórico de alergia/RAM: "&amp;H12&amp;".","Nega alergias/RAM conhecidas.")</f>
      </c>
      <c r="AF12" s="4">
        <f>AE12&amp;CHAR(10)&amp;CHAR(10)&amp;"1. Evolução Clínica"&amp;CHAR(10)&amp;TEXTJOIN(" ",TRUE,"Paciente "&amp;I12&amp;", "&amp;IF(J12="","sem DVA","em uso de "&amp;J12)&amp;".",IF(K12&lt;&gt;"","Em "&amp;K12&amp;IF(L12&lt;&gt;""," ("&amp;L12&amp;")","")&amp;IF(M12&lt;&gt;"", ", "&amp;M12,"")&amp;IF(N12&lt;&gt;"", ", sob analgosedação com "&amp;N12,"")&amp;".",""),IF(O12&lt;&gt;"",O12&amp;IF(P12&lt;&gt;"", ", com "&amp;LOWER(P12),"")&amp;IF(Q12&lt;&gt;"", " — "&amp;Q12,"")&amp;".",""),IF(R12="Febre","Apresentou episódio febril nas últimas 24h"&amp;IF(S12&lt;&gt;""," ("&amp;S12&amp;")","")&amp;".",IF(R12="Afebril","Encontra-se afebril.","")),IF(T12&lt;&gt;"",IF(U12="Sim","Apresenta disfunção renal aguda ","Função renal preservada ")&amp;"("&amp;T12&amp;").",""),IF(V12&lt;&gt;"","Em uso do esquema antimicrobiano com "&amp;V12&amp;".",""),IF(TEXTJOIN(", ",TRUE,IF(W12&lt;&gt;"","TEV ("&amp;W12&amp;")",""),IF(X12&lt;&gt;"","LAMG ("&amp;X12&amp;")",""),IF(Y12&lt;&gt;"","úlcera de córnea com "&amp;Y12,""))&lt;&gt;"","Em uso de profilaxia: "&amp;TEXTJOIN(", ",TRUE,IF(W12&lt;&gt;"","TEV ("&amp;W12&amp;")",""),IF(X12&lt;&gt;"","LAMG ("&amp;X12&amp;")",""),IF(Y12&lt;&gt;"","úlcera de córnea com "&amp;Y12,""))&amp;".",""))&amp;CHAR(10)&amp;CHAR(10)&amp;"2. Farmacoterapia"&amp;CHAR(10)&amp;IF(Z12&lt;&gt;"","Corticoide/DART: "&amp;Z12,"Sem corticoide/DART registrado.")&amp;CHAR(10)&amp;CHAR(10)&amp;"3. Conduta Farmacêutica"&amp;CHAR(10)&amp;IF(TEXTJOIN(CHAR(10),TRUE,AB12,AC12,AD12)="","Nenhuma intervenção registrada hoje.",TEXTJOIN(CHAR(10),TRUE,AB12,AC12,AD12))&amp;CHAR(10)&amp;CHAR(10)&amp;"4. Plano Terapêutico"&amp;CHAR(10)&amp;IF(AA12&lt;&gt;"",AA12,"Não definido.")</f>
      </c>
    </row>
    <row r="13" spans="1:32" x14ac:dyDescent="0.25">
      <c r="A13" s="4"/>
      <c r="B13" s="6">
        <f>IFERROR(INDEX(Pacientes!$A:$A,MATCH($A13,Pacientes!$B:$B,0)),"")</f>
      </c>
      <c r="C13" s="6">
        <f>IFERROR(INDEX(Pacientes!$C:$C,MATCH($A13,Pacientes!$B:$B,0)),"")</f>
      </c>
      <c r="D13" s="6">
        <f>IFERROR(INDEX(Pacientes!$D:$D,MATCH($A13,Pacientes!$B:$B,0)),"")</f>
      </c>
      <c r="E13" s="6">
        <f>IFERROR(INDEX(Pacientes!$E:$E,MATCH($A13,Pacientes!$B:$B,0)),"")</f>
      </c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>
        <f>IFERROR(INDEX(Intervenções!$K$2:$K$300,AGGREGATE(15,6,(ROW(Intervenções!$K$2:$K$300)-ROW(Intervenções!$K$2)+1)/((Intervenções!$B$2:$B$300=A13)*(Intervenções!$A$2:$A$300=F13)*(Intervenções!$K$2:$K$300&lt;&gt;"")),1)),"")</f>
      </c>
      <c r="AC13" s="4">
        <f>IFERROR(INDEX(Intervenções!$K$2:$K$300,AGGREGATE(15,6,(ROW(Intervenções!$K$2:$K$300)-ROW(Intervenções!$K$2)+1)/((Intervenções!$B$2:$B$300=A13)*(Intervenções!$A$2:$A$300=F13)*(Intervenções!$K$2:$K$300&lt;&gt;"")),2)),"")</f>
      </c>
      <c r="AD13" s="4">
        <f>IFERROR(INDEX(Intervenções!$K$2:$K$300,AGGREGATE(15,6,(ROW(Intervenções!$K$2:$K$300)-ROW(Intervenções!$K$2)+1)/((Intervenções!$B$2:$B$300=A13)*(Intervenções!$A$2:$A$300=F13)*(Intervenções!$K$2:$K$300&lt;&gt;"")),3)),"")</f>
      </c>
      <c r="AE13" s="4">
        <f>"RECONCILIAÇÃO MEDICAMENTOSA"&amp;CHAR(10)&amp;IF(G13&lt;&gt;"","Medicamentos de uso prévio: "&amp;G13&amp;".","Sem medicamentos de uso prévio relatados.")&amp;CHAR(10)&amp;IF(H13&lt;&gt;"","Histórico de alergia/RAM: "&amp;H13&amp;".","Nega alergias/RAM conhecidas.")</f>
      </c>
      <c r="AF13" s="4">
        <f>AE13&amp;CHAR(10)&amp;CHAR(10)&amp;"1. Evolução Clínica"&amp;CHAR(10)&amp;TEXTJOIN(" ",TRUE,"Paciente "&amp;I13&amp;", "&amp;IF(J13="","sem DVA","em uso de "&amp;J13)&amp;".",IF(K13&lt;&gt;"","Em "&amp;K13&amp;IF(L13&lt;&gt;""," ("&amp;L13&amp;")","")&amp;IF(M13&lt;&gt;"", ", "&amp;M13,"")&amp;IF(N13&lt;&gt;"", ", sob analgosedação com "&amp;N13,"")&amp;".",""),IF(O13&lt;&gt;"",O13&amp;IF(P13&lt;&gt;"", ", com "&amp;LOWER(P13),"")&amp;IF(Q13&lt;&gt;"", " — "&amp;Q13,"")&amp;".",""),IF(R13="Febre","Apresentou episódio febril nas últimas 24h"&amp;IF(S13&lt;&gt;""," ("&amp;S13&amp;")","")&amp;".",IF(R13="Afebril","Encontra-se afebril.","")),IF(T13&lt;&gt;"",IF(U13="Sim","Apresenta disfunção renal aguda ","Função renal preservada ")&amp;"("&amp;T13&amp;").",""),IF(V13&lt;&gt;"","Em uso do esquema antimicrobiano com "&amp;V13&amp;".",""),IF(TEXTJOIN(", ",TRUE,IF(W13&lt;&gt;"","TEV ("&amp;W13&amp;")",""),IF(X13&lt;&gt;"","LAMG ("&amp;X13&amp;")",""),IF(Y13&lt;&gt;"","úlcera de córnea com "&amp;Y13,""))&lt;&gt;"","Em uso de profilaxia: "&amp;TEXTJOIN(", ",TRUE,IF(W13&lt;&gt;"","TEV ("&amp;W13&amp;")",""),IF(X13&lt;&gt;"","LAMG ("&amp;X13&amp;")",""),IF(Y13&lt;&gt;"","úlcera de córnea com "&amp;Y13,""))&amp;".",""))&amp;CHAR(10)&amp;CHAR(10)&amp;"2. Farmacoterapia"&amp;CHAR(10)&amp;IF(Z13&lt;&gt;"","Corticoide/DART: "&amp;Z13,"Sem corticoide/DART registrado.")&amp;CHAR(10)&amp;CHAR(10)&amp;"3. Conduta Farmacêutica"&amp;CHAR(10)&amp;IF(TEXTJOIN(CHAR(10),TRUE,AB13,AC13,AD13)="","Nenhuma intervenção registrada hoje.",TEXTJOIN(CHAR(10),TRUE,AB13,AC13,AD13))&amp;CHAR(10)&amp;CHAR(10)&amp;"4. Plano Terapêutico"&amp;CHAR(10)&amp;IF(AA13&lt;&gt;"",AA13,"Não definido.")</f>
      </c>
    </row>
    <row r="14" spans="1:32" x14ac:dyDescent="0.25">
      <c r="A14" s="4"/>
      <c r="B14" s="6">
        <f>IFERROR(INDEX(Pacientes!$A:$A,MATCH($A14,Pacientes!$B:$B,0)),"")</f>
      </c>
      <c r="C14" s="6">
        <f>IFERROR(INDEX(Pacientes!$C:$C,MATCH($A14,Pacientes!$B:$B,0)),"")</f>
      </c>
      <c r="D14" s="6">
        <f>IFERROR(INDEX(Pacientes!$D:$D,MATCH($A14,Pacientes!$B:$B,0)),"")</f>
      </c>
      <c r="E14" s="6">
        <f>IFERROR(INDEX(Pacientes!$E:$E,MATCH($A14,Pacientes!$B:$B,0)),"")</f>
      </c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>
        <f>IFERROR(INDEX(Intervenções!$K$2:$K$300,AGGREGATE(15,6,(ROW(Intervenções!$K$2:$K$300)-ROW(Intervenções!$K$2)+1)/((Intervenções!$B$2:$B$300=A14)*(Intervenções!$A$2:$A$300=F14)*(Intervenções!$K$2:$K$300&lt;&gt;"")),1)),"")</f>
      </c>
      <c r="AC14" s="4">
        <f>IFERROR(INDEX(Intervenções!$K$2:$K$300,AGGREGATE(15,6,(ROW(Intervenções!$K$2:$K$300)-ROW(Intervenções!$K$2)+1)/((Intervenções!$B$2:$B$300=A14)*(Intervenções!$A$2:$A$300=F14)*(Intervenções!$K$2:$K$300&lt;&gt;"")),2)),"")</f>
      </c>
      <c r="AD14" s="4">
        <f>IFERROR(INDEX(Intervenções!$K$2:$K$300,AGGREGATE(15,6,(ROW(Intervenções!$K$2:$K$300)-ROW(Intervenções!$K$2)+1)/((Intervenções!$B$2:$B$300=A14)*(Intervenções!$A$2:$A$300=F14)*(Intervenções!$K$2:$K$300&lt;&gt;"")),3)),"")</f>
      </c>
      <c r="AE14" s="4">
        <f>"RECONCILIAÇÃO MEDICAMENTOSA"&amp;CHAR(10)&amp;IF(G14&lt;&gt;"","Medicamentos de uso prévio: "&amp;G14&amp;".","Sem medicamentos de uso prévio relatados.")&amp;CHAR(10)&amp;IF(H14&lt;&gt;"","Histórico de alergia/RAM: "&amp;H14&amp;".","Nega alergias/RAM conhecidas.")</f>
      </c>
      <c r="AF14" s="4">
        <f>AE14&amp;CHAR(10)&amp;CHAR(10)&amp;"1. Evolução Clínica"&amp;CHAR(10)&amp;TEXTJOIN(" ",TRUE,"Paciente "&amp;I14&amp;", "&amp;IF(J14="","sem DVA","em uso de "&amp;J14)&amp;".",IF(K14&lt;&gt;"","Em "&amp;K14&amp;IF(L14&lt;&gt;""," ("&amp;L14&amp;")","")&amp;IF(M14&lt;&gt;"", ", "&amp;M14,"")&amp;IF(N14&lt;&gt;"", ", sob analgosedação com "&amp;N14,"")&amp;".",""),IF(O14&lt;&gt;"",O14&amp;IF(P14&lt;&gt;"", ", com "&amp;LOWER(P14),"")&amp;IF(Q14&lt;&gt;"", " — "&amp;Q14,"")&amp;".",""),IF(R14="Febre","Apresentou episódio febril nas últimas 24h"&amp;IF(S14&lt;&gt;""," ("&amp;S14&amp;")","")&amp;".",IF(R14="Afebril","Encontra-se afebril.","")),IF(T14&lt;&gt;"",IF(U14="Sim","Apresenta disfunção renal aguda ","Função renal preservada ")&amp;"("&amp;T14&amp;").",""),IF(V14&lt;&gt;"","Em uso do esquema antimicrobiano com "&amp;V14&amp;".",""),IF(TEXTJOIN(", ",TRUE,IF(W14&lt;&gt;"","TEV ("&amp;W14&amp;")",""),IF(X14&lt;&gt;"","LAMG ("&amp;X14&amp;")",""),IF(Y14&lt;&gt;"","úlcera de córnea com "&amp;Y14,""))&lt;&gt;"","Em uso de profilaxia: "&amp;TEXTJOIN(", ",TRUE,IF(W14&lt;&gt;"","TEV ("&amp;W14&amp;")",""),IF(X14&lt;&gt;"","LAMG ("&amp;X14&amp;")",""),IF(Y14&lt;&gt;"","úlcera de córnea com "&amp;Y14,""))&amp;".",""))&amp;CHAR(10)&amp;CHAR(10)&amp;"2. Farmacoterapia"&amp;CHAR(10)&amp;IF(Z14&lt;&gt;"","Corticoide/DART: "&amp;Z14,"Sem corticoide/DART registrado.")&amp;CHAR(10)&amp;CHAR(10)&amp;"3. Conduta Farmacêutica"&amp;CHAR(10)&amp;IF(TEXTJOIN(CHAR(10),TRUE,AB14,AC14,AD14)="","Nenhuma intervenção registrada hoje.",TEXTJOIN(CHAR(10),TRUE,AB14,AC14,AD14))&amp;CHAR(10)&amp;CHAR(10)&amp;"4. Plano Terapêutico"&amp;CHAR(10)&amp;IF(AA14&lt;&gt;"",AA14,"Não definido.")</f>
      </c>
    </row>
    <row r="15" spans="1:32" x14ac:dyDescent="0.25">
      <c r="A15" s="4"/>
      <c r="B15" s="6">
        <f>IFERROR(INDEX(Pacientes!$A:$A,MATCH($A15,Pacientes!$B:$B,0)),"")</f>
      </c>
      <c r="C15" s="6">
        <f>IFERROR(INDEX(Pacientes!$C:$C,MATCH($A15,Pacientes!$B:$B,0)),"")</f>
      </c>
      <c r="D15" s="6">
        <f>IFERROR(INDEX(Pacientes!$D:$D,MATCH($A15,Pacientes!$B:$B,0)),"")</f>
      </c>
      <c r="E15" s="6">
        <f>IFERROR(INDEX(Pacientes!$E:$E,MATCH($A15,Pacientes!$B:$B,0)),"")</f>
      </c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>
        <f>IFERROR(INDEX(Intervenções!$K$2:$K$300,AGGREGATE(15,6,(ROW(Intervenções!$K$2:$K$300)-ROW(Intervenções!$K$2)+1)/((Intervenções!$B$2:$B$300=A15)*(Intervenções!$A$2:$A$300=F15)*(Intervenções!$K$2:$K$300&lt;&gt;"")),1)),"")</f>
      </c>
      <c r="AC15" s="4">
        <f>IFERROR(INDEX(Intervenções!$K$2:$K$300,AGGREGATE(15,6,(ROW(Intervenções!$K$2:$K$300)-ROW(Intervenções!$K$2)+1)/((Intervenções!$B$2:$B$300=A15)*(Intervenções!$A$2:$A$300=F15)*(Intervenções!$K$2:$K$300&lt;&gt;"")),2)),"")</f>
      </c>
      <c r="AD15" s="4">
        <f>IFERROR(INDEX(Intervenções!$K$2:$K$300,AGGREGATE(15,6,(ROW(Intervenções!$K$2:$K$300)-ROW(Intervenções!$K$2)+1)/((Intervenções!$B$2:$B$300=A15)*(Intervenções!$A$2:$A$300=F15)*(Intervenções!$K$2:$K$300&lt;&gt;"")),3)),"")</f>
      </c>
      <c r="AE15" s="4">
        <f>"RECONCILIAÇÃO MEDICAMENTOSA"&amp;CHAR(10)&amp;IF(G15&lt;&gt;"","Medicamentos de uso prévio: "&amp;G15&amp;".","Sem medicamentos de uso prévio relatados.")&amp;CHAR(10)&amp;IF(H15&lt;&gt;"","Histórico de alergia/RAM: "&amp;H15&amp;".","Nega alergias/RAM conhecidas.")</f>
      </c>
      <c r="AF15" s="4">
        <f>AE15&amp;CHAR(10)&amp;CHAR(10)&amp;"1. Evolução Clínica"&amp;CHAR(10)&amp;TEXTJOIN(" ",TRUE,"Paciente "&amp;I15&amp;", "&amp;IF(J15="","sem DVA","em uso de "&amp;J15)&amp;".",IF(K15&lt;&gt;"","Em "&amp;K15&amp;IF(L15&lt;&gt;""," ("&amp;L15&amp;")","")&amp;IF(M15&lt;&gt;"", ", "&amp;M15,"")&amp;IF(N15&lt;&gt;"", ", sob analgosedação com "&amp;N15,"")&amp;".",""),IF(O15&lt;&gt;"",O15&amp;IF(P15&lt;&gt;"", ", com "&amp;LOWER(P15),"")&amp;IF(Q15&lt;&gt;"", " — "&amp;Q15,"")&amp;".",""),IF(R15="Febre","Apresentou episódio febril nas últimas 24h"&amp;IF(S15&lt;&gt;""," ("&amp;S15&amp;")","")&amp;".",IF(R15="Afebril","Encontra-se afebril.","")),IF(T15&lt;&gt;"",IF(U15="Sim","Apresenta disfunção renal aguda ","Função renal preservada ")&amp;"("&amp;T15&amp;").",""),IF(V15&lt;&gt;"","Em uso do esquema antimicrobiano com "&amp;V15&amp;".",""),IF(TEXTJOIN(", ",TRUE,IF(W15&lt;&gt;"","TEV ("&amp;W15&amp;")",""),IF(X15&lt;&gt;"","LAMG ("&amp;X15&amp;")",""),IF(Y15&lt;&gt;"","úlcera de córnea com "&amp;Y15,""))&lt;&gt;"","Em uso de profilaxia: "&amp;TEXTJOIN(", ",TRUE,IF(W15&lt;&gt;"","TEV ("&amp;W15&amp;")",""),IF(X15&lt;&gt;"","LAMG ("&amp;X15&amp;")",""),IF(Y15&lt;&gt;"","úlcera de córnea com "&amp;Y15,""))&amp;".",""))&amp;CHAR(10)&amp;CHAR(10)&amp;"2. Farmacoterapia"&amp;CHAR(10)&amp;IF(Z15&lt;&gt;"","Corticoide/DART: "&amp;Z15,"Sem corticoide/DART registrado.")&amp;CHAR(10)&amp;CHAR(10)&amp;"3. Conduta Farmacêutica"&amp;CHAR(10)&amp;IF(TEXTJOIN(CHAR(10),TRUE,AB15,AC15,AD15)="","Nenhuma intervenção registrada hoje.",TEXTJOIN(CHAR(10),TRUE,AB15,AC15,AD15))&amp;CHAR(10)&amp;CHAR(10)&amp;"4. Plano Terapêutico"&amp;CHAR(10)&amp;IF(AA15&lt;&gt;"",AA15,"Não definido.")</f>
      </c>
    </row>
    <row r="16" spans="1:32" x14ac:dyDescent="0.25">
      <c r="A16" s="4"/>
      <c r="B16" s="6">
        <f>IFERROR(INDEX(Pacientes!$A:$A,MATCH($A16,Pacientes!$B:$B,0)),"")</f>
      </c>
      <c r="C16" s="6">
        <f>IFERROR(INDEX(Pacientes!$C:$C,MATCH($A16,Pacientes!$B:$B,0)),"")</f>
      </c>
      <c r="D16" s="6">
        <f>IFERROR(INDEX(Pacientes!$D:$D,MATCH($A16,Pacientes!$B:$B,0)),"")</f>
      </c>
      <c r="E16" s="6">
        <f>IFERROR(INDEX(Pacientes!$E:$E,MATCH($A16,Pacientes!$B:$B,0)),"")</f>
      </c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>
        <f>IFERROR(INDEX(Intervenções!$K$2:$K$300,AGGREGATE(15,6,(ROW(Intervenções!$K$2:$K$300)-ROW(Intervenções!$K$2)+1)/((Intervenções!$B$2:$B$300=A16)*(Intervenções!$A$2:$A$300=F16)*(Intervenções!$K$2:$K$300&lt;&gt;"")),1)),"")</f>
      </c>
      <c r="AC16" s="4">
        <f>IFERROR(INDEX(Intervenções!$K$2:$K$300,AGGREGATE(15,6,(ROW(Intervenções!$K$2:$K$300)-ROW(Intervenções!$K$2)+1)/((Intervenções!$B$2:$B$300=A16)*(Intervenções!$A$2:$A$300=F16)*(Intervenções!$K$2:$K$300&lt;&gt;"")),2)),"")</f>
      </c>
      <c r="AD16" s="4">
        <f>IFERROR(INDEX(Intervenções!$K$2:$K$300,AGGREGATE(15,6,(ROW(Intervenções!$K$2:$K$300)-ROW(Intervenções!$K$2)+1)/((Intervenções!$B$2:$B$300=A16)*(Intervenções!$A$2:$A$300=F16)*(Intervenções!$K$2:$K$300&lt;&gt;"")),3)),"")</f>
      </c>
      <c r="AE16" s="4">
        <f>"RECONCILIAÇÃO MEDICAMENTOSA"&amp;CHAR(10)&amp;IF(G16&lt;&gt;"","Medicamentos de uso prévio: "&amp;G16&amp;".","Sem medicamentos de uso prévio relatados.")&amp;CHAR(10)&amp;IF(H16&lt;&gt;"","Histórico de alergia/RAM: "&amp;H16&amp;".","Nega alergias/RAM conhecidas.")</f>
      </c>
      <c r="AF16" s="4">
        <f>AE16&amp;CHAR(10)&amp;CHAR(10)&amp;"1. Evolução Clínica"&amp;CHAR(10)&amp;TEXTJOIN(" ",TRUE,"Paciente "&amp;I16&amp;", "&amp;IF(J16="","sem DVA","em uso de "&amp;J16)&amp;".",IF(K16&lt;&gt;"","Em "&amp;K16&amp;IF(L16&lt;&gt;""," ("&amp;L16&amp;")","")&amp;IF(M16&lt;&gt;"", ", "&amp;M16,"")&amp;IF(N16&lt;&gt;"", ", sob analgosedação com "&amp;N16,"")&amp;".",""),IF(O16&lt;&gt;"",O16&amp;IF(P16&lt;&gt;"", ", com "&amp;LOWER(P16),"")&amp;IF(Q16&lt;&gt;"", " — "&amp;Q16,"")&amp;".",""),IF(R16="Febre","Apresentou episódio febril nas últimas 24h"&amp;IF(S16&lt;&gt;""," ("&amp;S16&amp;")","")&amp;".",IF(R16="Afebril","Encontra-se afebril.","")),IF(T16&lt;&gt;"",IF(U16="Sim","Apresenta disfunção renal aguda ","Função renal preservada ")&amp;"("&amp;T16&amp;").",""),IF(V16&lt;&gt;"","Em uso do esquema antimicrobiano com "&amp;V16&amp;".",""),IF(TEXTJOIN(", ",TRUE,IF(W16&lt;&gt;"","TEV ("&amp;W16&amp;")",""),IF(X16&lt;&gt;"","LAMG ("&amp;X16&amp;")",""),IF(Y16&lt;&gt;"","úlcera de córnea com "&amp;Y16,""))&lt;&gt;"","Em uso de profilaxia: "&amp;TEXTJOIN(", ",TRUE,IF(W16&lt;&gt;"","TEV ("&amp;W16&amp;")",""),IF(X16&lt;&gt;"","LAMG ("&amp;X16&amp;")",""),IF(Y16&lt;&gt;"","úlcera de córnea com "&amp;Y16,""))&amp;".",""))&amp;CHAR(10)&amp;CHAR(10)&amp;"2. Farmacoterapia"&amp;CHAR(10)&amp;IF(Z16&lt;&gt;"","Corticoide/DART: "&amp;Z16,"Sem corticoide/DART registrado.")&amp;CHAR(10)&amp;CHAR(10)&amp;"3. Conduta Farmacêutica"&amp;CHAR(10)&amp;IF(TEXTJOIN(CHAR(10),TRUE,AB16,AC16,AD16)="","Nenhuma intervenção registrada hoje.",TEXTJOIN(CHAR(10),TRUE,AB16,AC16,AD16))&amp;CHAR(10)&amp;CHAR(10)&amp;"4. Plano Terapêutico"&amp;CHAR(10)&amp;IF(AA16&lt;&gt;"",AA16,"Não definido.")</f>
      </c>
    </row>
    <row r="17" spans="1:32" x14ac:dyDescent="0.25">
      <c r="A17" s="4"/>
      <c r="B17" s="6">
        <f>IFERROR(INDEX(Pacientes!$A:$A,MATCH($A17,Pacientes!$B:$B,0)),"")</f>
      </c>
      <c r="C17" s="6">
        <f>IFERROR(INDEX(Pacientes!$C:$C,MATCH($A17,Pacientes!$B:$B,0)),"")</f>
      </c>
      <c r="D17" s="6">
        <f>IFERROR(INDEX(Pacientes!$D:$D,MATCH($A17,Pacientes!$B:$B,0)),"")</f>
      </c>
      <c r="E17" s="6">
        <f>IFERROR(INDEX(Pacientes!$E:$E,MATCH($A17,Pacientes!$B:$B,0)),"")</f>
      </c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>
        <f>IFERROR(INDEX(Intervenções!$K$2:$K$300,AGGREGATE(15,6,(ROW(Intervenções!$K$2:$K$300)-ROW(Intervenções!$K$2)+1)/((Intervenções!$B$2:$B$300=A17)*(Intervenções!$A$2:$A$300=F17)*(Intervenções!$K$2:$K$300&lt;&gt;"")),1)),"")</f>
      </c>
      <c r="AC17" s="4">
        <f>IFERROR(INDEX(Intervenções!$K$2:$K$300,AGGREGATE(15,6,(ROW(Intervenções!$K$2:$K$300)-ROW(Intervenções!$K$2)+1)/((Intervenções!$B$2:$B$300=A17)*(Intervenções!$A$2:$A$300=F17)*(Intervenções!$K$2:$K$300&lt;&gt;"")),2)),"")</f>
      </c>
      <c r="AD17" s="4">
        <f>IFERROR(INDEX(Intervenções!$K$2:$K$300,AGGREGATE(15,6,(ROW(Intervenções!$K$2:$K$300)-ROW(Intervenções!$K$2)+1)/((Intervenções!$B$2:$B$300=A17)*(Intervenções!$A$2:$A$300=F17)*(Intervenções!$K$2:$K$300&lt;&gt;"")),3)),"")</f>
      </c>
      <c r="AE17" s="4">
        <f>"RECONCILIAÇÃO MEDICAMENTOSA"&amp;CHAR(10)&amp;IF(G17&lt;&gt;"","Medicamentos de uso prévio: "&amp;G17&amp;".","Sem medicamentos de uso prévio relatados.")&amp;CHAR(10)&amp;IF(H17&lt;&gt;"","Histórico de alergia/RAM: "&amp;H17&amp;".","Nega alergias/RAM conhecidas.")</f>
      </c>
      <c r="AF17" s="4">
        <f>AE17&amp;CHAR(10)&amp;CHAR(10)&amp;"1. Evolução Clínica"&amp;CHAR(10)&amp;TEXTJOIN(" ",TRUE,"Paciente "&amp;I17&amp;", "&amp;IF(J17="","sem DVA","em uso de "&amp;J17)&amp;".",IF(K17&lt;&gt;"","Em "&amp;K17&amp;IF(L17&lt;&gt;""," ("&amp;L17&amp;")","")&amp;IF(M17&lt;&gt;"", ", "&amp;M17,"")&amp;IF(N17&lt;&gt;"", ", sob analgosedação com "&amp;N17,"")&amp;".",""),IF(O17&lt;&gt;"",O17&amp;IF(P17&lt;&gt;"", ", com "&amp;LOWER(P17),"")&amp;IF(Q17&lt;&gt;"", " — "&amp;Q17,"")&amp;".",""),IF(R17="Febre","Apresentou episódio febril nas últimas 24h"&amp;IF(S17&lt;&gt;""," ("&amp;S17&amp;")","")&amp;".",IF(R17="Afebril","Encontra-se afebril.","")),IF(T17&lt;&gt;"",IF(U17="Sim","Apresenta disfunção renal aguda ","Função renal preservada ")&amp;"("&amp;T17&amp;").",""),IF(V17&lt;&gt;"","Em uso do esquema antimicrobiano com "&amp;V17&amp;".",""),IF(TEXTJOIN(", ",TRUE,IF(W17&lt;&gt;"","TEV ("&amp;W17&amp;")",""),IF(X17&lt;&gt;"","LAMG ("&amp;X17&amp;")",""),IF(Y17&lt;&gt;"","úlcera de córnea com "&amp;Y17,""))&lt;&gt;"","Em uso de profilaxia: "&amp;TEXTJOIN(", ",TRUE,IF(W17&lt;&gt;"","TEV ("&amp;W17&amp;")",""),IF(X17&lt;&gt;"","LAMG ("&amp;X17&amp;")",""),IF(Y17&lt;&gt;"","úlcera de córnea com "&amp;Y17,""))&amp;".",""))&amp;CHAR(10)&amp;CHAR(10)&amp;"2. Farmacoterapia"&amp;CHAR(10)&amp;IF(Z17&lt;&gt;"","Corticoide/DART: "&amp;Z17,"Sem corticoide/DART registrado.")&amp;CHAR(10)&amp;CHAR(10)&amp;"3. Conduta Farmacêutica"&amp;CHAR(10)&amp;IF(TEXTJOIN(CHAR(10),TRUE,AB17,AC17,AD17)="","Nenhuma intervenção registrada hoje.",TEXTJOIN(CHAR(10),TRUE,AB17,AC17,AD17))&amp;CHAR(10)&amp;CHAR(10)&amp;"4. Plano Terapêutico"&amp;CHAR(10)&amp;IF(AA17&lt;&gt;"",AA17,"Não definido.")</f>
      </c>
    </row>
    <row r="18" spans="1:32" x14ac:dyDescent="0.25">
      <c r="A18" s="4"/>
      <c r="B18" s="6">
        <f>IFERROR(INDEX(Pacientes!$A:$A,MATCH($A18,Pacientes!$B:$B,0)),"")</f>
      </c>
      <c r="C18" s="6">
        <f>IFERROR(INDEX(Pacientes!$C:$C,MATCH($A18,Pacientes!$B:$B,0)),"")</f>
      </c>
      <c r="D18" s="6">
        <f>IFERROR(INDEX(Pacientes!$D:$D,MATCH($A18,Pacientes!$B:$B,0)),"")</f>
      </c>
      <c r="E18" s="6">
        <f>IFERROR(INDEX(Pacientes!$E:$E,MATCH($A18,Pacientes!$B:$B,0)),"")</f>
      </c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>
        <f>IFERROR(INDEX(Intervenções!$K$2:$K$300,AGGREGATE(15,6,(ROW(Intervenções!$K$2:$K$300)-ROW(Intervenções!$K$2)+1)/((Intervenções!$B$2:$B$300=A18)*(Intervenções!$A$2:$A$300=F18)*(Intervenções!$K$2:$K$300&lt;&gt;"")),1)),"")</f>
      </c>
      <c r="AC18" s="4">
        <f>IFERROR(INDEX(Intervenções!$K$2:$K$300,AGGREGATE(15,6,(ROW(Intervenções!$K$2:$K$300)-ROW(Intervenções!$K$2)+1)/((Intervenções!$B$2:$B$300=A18)*(Intervenções!$A$2:$A$300=F18)*(Intervenções!$K$2:$K$300&lt;&gt;"")),2)),"")</f>
      </c>
      <c r="AD18" s="4">
        <f>IFERROR(INDEX(Intervenções!$K$2:$K$300,AGGREGATE(15,6,(ROW(Intervenções!$K$2:$K$300)-ROW(Intervenções!$K$2)+1)/((Intervenções!$B$2:$B$300=A18)*(Intervenções!$A$2:$A$300=F18)*(Intervenções!$K$2:$K$300&lt;&gt;"")),3)),"")</f>
      </c>
      <c r="AE18" s="4">
        <f>"RECONCILIAÇÃO MEDICAMENTOSA"&amp;CHAR(10)&amp;IF(G18&lt;&gt;"","Medicamentos de uso prévio: "&amp;G18&amp;".","Sem medicamentos de uso prévio relatados.")&amp;CHAR(10)&amp;IF(H18&lt;&gt;"","Histórico de alergia/RAM: "&amp;H18&amp;".","Nega alergias/RAM conhecidas.")</f>
      </c>
      <c r="AF18" s="4">
        <f>AE18&amp;CHAR(10)&amp;CHAR(10)&amp;"1. Evolução Clínica"&amp;CHAR(10)&amp;TEXTJOIN(" ",TRUE,"Paciente "&amp;I18&amp;", "&amp;IF(J18="","sem DVA","em uso de "&amp;J18)&amp;".",IF(K18&lt;&gt;"","Em "&amp;K18&amp;IF(L18&lt;&gt;""," ("&amp;L18&amp;")","")&amp;IF(M18&lt;&gt;"", ", "&amp;M18,"")&amp;IF(N18&lt;&gt;"", ", sob analgosedação com "&amp;N18,"")&amp;".",""),IF(O18&lt;&gt;"",O18&amp;IF(P18&lt;&gt;"", ", com "&amp;LOWER(P18),"")&amp;IF(Q18&lt;&gt;"", " — "&amp;Q18,"")&amp;".",""),IF(R18="Febre","Apresentou episódio febril nas últimas 24h"&amp;IF(S18&lt;&gt;""," ("&amp;S18&amp;")","")&amp;".",IF(R18="Afebril","Encontra-se afebril.","")),IF(T18&lt;&gt;"",IF(U18="Sim","Apresenta disfunção renal aguda ","Função renal preservada ")&amp;"("&amp;T18&amp;").",""),IF(V18&lt;&gt;"","Em uso do esquema antimicrobiano com "&amp;V18&amp;".",""),IF(TEXTJOIN(", ",TRUE,IF(W18&lt;&gt;"","TEV ("&amp;W18&amp;")",""),IF(X18&lt;&gt;"","LAMG ("&amp;X18&amp;")",""),IF(Y18&lt;&gt;"","úlcera de córnea com "&amp;Y18,""))&lt;&gt;"","Em uso de profilaxia: "&amp;TEXTJOIN(", ",TRUE,IF(W18&lt;&gt;"","TEV ("&amp;W18&amp;")",""),IF(X18&lt;&gt;"","LAMG ("&amp;X18&amp;")",""),IF(Y18&lt;&gt;"","úlcera de córnea com "&amp;Y18,""))&amp;".",""))&amp;CHAR(10)&amp;CHAR(10)&amp;"2. Farmacoterapia"&amp;CHAR(10)&amp;IF(Z18&lt;&gt;"","Corticoide/DART: "&amp;Z18,"Sem corticoide/DART registrado.")&amp;CHAR(10)&amp;CHAR(10)&amp;"3. Conduta Farmacêutica"&amp;CHAR(10)&amp;IF(TEXTJOIN(CHAR(10),TRUE,AB18,AC18,AD18)="","Nenhuma intervenção registrada hoje.",TEXTJOIN(CHAR(10),TRUE,AB18,AC18,AD18))&amp;CHAR(10)&amp;CHAR(10)&amp;"4. Plano Terapêutico"&amp;CHAR(10)&amp;IF(AA18&lt;&gt;"",AA18,"Não definido.")</f>
      </c>
    </row>
    <row r="19" spans="1:32" x14ac:dyDescent="0.25">
      <c r="A19" s="4"/>
      <c r="B19" s="6">
        <f>IFERROR(INDEX(Pacientes!$A:$A,MATCH($A19,Pacientes!$B:$B,0)),"")</f>
      </c>
      <c r="C19" s="6">
        <f>IFERROR(INDEX(Pacientes!$C:$C,MATCH($A19,Pacientes!$B:$B,0)),"")</f>
      </c>
      <c r="D19" s="6">
        <f>IFERROR(INDEX(Pacientes!$D:$D,MATCH($A19,Pacientes!$B:$B,0)),"")</f>
      </c>
      <c r="E19" s="6">
        <f>IFERROR(INDEX(Pacientes!$E:$E,MATCH($A19,Pacientes!$B:$B,0)),"")</f>
      </c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>
        <f>IFERROR(INDEX(Intervenções!$K$2:$K$300,AGGREGATE(15,6,(ROW(Intervenções!$K$2:$K$300)-ROW(Intervenções!$K$2)+1)/((Intervenções!$B$2:$B$300=A19)*(Intervenções!$A$2:$A$300=F19)*(Intervenções!$K$2:$K$300&lt;&gt;"")),1)),"")</f>
      </c>
      <c r="AC19" s="4">
        <f>IFERROR(INDEX(Intervenções!$K$2:$K$300,AGGREGATE(15,6,(ROW(Intervenções!$K$2:$K$300)-ROW(Intervenções!$K$2)+1)/((Intervenções!$B$2:$B$300=A19)*(Intervenções!$A$2:$A$300=F19)*(Intervenções!$K$2:$K$300&lt;&gt;"")),2)),"")</f>
      </c>
      <c r="AD19" s="4">
        <f>IFERROR(INDEX(Intervenções!$K$2:$K$300,AGGREGATE(15,6,(ROW(Intervenções!$K$2:$K$300)-ROW(Intervenções!$K$2)+1)/((Intervenções!$B$2:$B$300=A19)*(Intervenções!$A$2:$A$300=F19)*(Intervenções!$K$2:$K$300&lt;&gt;"")),3)),"")</f>
      </c>
      <c r="AE19" s="4">
        <f>"RECONCILIAÇÃO MEDICAMENTOSA"&amp;CHAR(10)&amp;IF(G19&lt;&gt;"","Medicamentos de uso prévio: "&amp;G19&amp;".","Sem medicamentos de uso prévio relatados.")&amp;CHAR(10)&amp;IF(H19&lt;&gt;"","Histórico de alergia/RAM: "&amp;H19&amp;".","Nega alergias/RAM conhecidas.")</f>
      </c>
      <c r="AF19" s="4">
        <f>AE19&amp;CHAR(10)&amp;CHAR(10)&amp;"1. Evolução Clínica"&amp;CHAR(10)&amp;TEXTJOIN(" ",TRUE,"Paciente "&amp;I19&amp;", "&amp;IF(J19="","sem DVA","em uso de "&amp;J19)&amp;".",IF(K19&lt;&gt;"","Em "&amp;K19&amp;IF(L19&lt;&gt;""," ("&amp;L19&amp;")","")&amp;IF(M19&lt;&gt;"", ", "&amp;M19,"")&amp;IF(N19&lt;&gt;"", ", sob analgosedação com "&amp;N19,"")&amp;".",""),IF(O19&lt;&gt;"",O19&amp;IF(P19&lt;&gt;"", ", com "&amp;LOWER(P19),"")&amp;IF(Q19&lt;&gt;"", " — "&amp;Q19,"")&amp;".",""),IF(R19="Febre","Apresentou episódio febril nas últimas 24h"&amp;IF(S19&lt;&gt;""," ("&amp;S19&amp;")","")&amp;".",IF(R19="Afebril","Encontra-se afebril.","")),IF(T19&lt;&gt;"",IF(U19="Sim","Apresenta disfunção renal aguda ","Função renal preservada ")&amp;"("&amp;T19&amp;").",""),IF(V19&lt;&gt;"","Em uso do esquema antimicrobiano com "&amp;V19&amp;".",""),IF(TEXTJOIN(", ",TRUE,IF(W19&lt;&gt;"","TEV ("&amp;W19&amp;")",""),IF(X19&lt;&gt;"","LAMG ("&amp;X19&amp;")",""),IF(Y19&lt;&gt;"","úlcera de córnea com "&amp;Y19,""))&lt;&gt;"","Em uso de profilaxia: "&amp;TEXTJOIN(", ",TRUE,IF(W19&lt;&gt;"","TEV ("&amp;W19&amp;")",""),IF(X19&lt;&gt;"","LAMG ("&amp;X19&amp;")",""),IF(Y19&lt;&gt;"","úlcera de córnea com "&amp;Y19,""))&amp;".",""))&amp;CHAR(10)&amp;CHAR(10)&amp;"2. Farmacoterapia"&amp;CHAR(10)&amp;IF(Z19&lt;&gt;"","Corticoide/DART: "&amp;Z19,"Sem corticoide/DART registrado.")&amp;CHAR(10)&amp;CHAR(10)&amp;"3. Conduta Farmacêutica"&amp;CHAR(10)&amp;IF(TEXTJOIN(CHAR(10),TRUE,AB19,AC19,AD19)="","Nenhuma intervenção registrada hoje.",TEXTJOIN(CHAR(10),TRUE,AB19,AC19,AD19))&amp;CHAR(10)&amp;CHAR(10)&amp;"4. Plano Terapêutico"&amp;CHAR(10)&amp;IF(AA19&lt;&gt;"",AA19,"Não definido.")</f>
      </c>
    </row>
    <row r="20" spans="1:32" x14ac:dyDescent="0.25">
      <c r="A20" s="4"/>
      <c r="B20" s="6">
        <f>IFERROR(INDEX(Pacientes!$A:$A,MATCH($A20,Pacientes!$B:$B,0)),"")</f>
      </c>
      <c r="C20" s="6">
        <f>IFERROR(INDEX(Pacientes!$C:$C,MATCH($A20,Pacientes!$B:$B,0)),"")</f>
      </c>
      <c r="D20" s="6">
        <f>IFERROR(INDEX(Pacientes!$D:$D,MATCH($A20,Pacientes!$B:$B,0)),"")</f>
      </c>
      <c r="E20" s="6">
        <f>IFERROR(INDEX(Pacientes!$E:$E,MATCH($A20,Pacientes!$B:$B,0)),"")</f>
      </c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>
        <f>IFERROR(INDEX(Intervenções!$K$2:$K$300,AGGREGATE(15,6,(ROW(Intervenções!$K$2:$K$300)-ROW(Intervenções!$K$2)+1)/((Intervenções!$B$2:$B$300=A20)*(Intervenções!$A$2:$A$300=F20)*(Intervenções!$K$2:$K$300&lt;&gt;"")),1)),"")</f>
      </c>
      <c r="AC20" s="4">
        <f>IFERROR(INDEX(Intervenções!$K$2:$K$300,AGGREGATE(15,6,(ROW(Intervenções!$K$2:$K$300)-ROW(Intervenções!$K$2)+1)/((Intervenções!$B$2:$B$300=A20)*(Intervenções!$A$2:$A$300=F20)*(Intervenções!$K$2:$K$300&lt;&gt;"")),2)),"")</f>
      </c>
      <c r="AD20" s="4">
        <f>IFERROR(INDEX(Intervenções!$K$2:$K$300,AGGREGATE(15,6,(ROW(Intervenções!$K$2:$K$300)-ROW(Intervenções!$K$2)+1)/((Intervenções!$B$2:$B$300=A20)*(Intervenções!$A$2:$A$300=F20)*(Intervenções!$K$2:$K$300&lt;&gt;"")),3)),"")</f>
      </c>
      <c r="AE20" s="4">
        <f>"RECONCILIAÇÃO MEDICAMENTOSA"&amp;CHAR(10)&amp;IF(G20&lt;&gt;"","Medicamentos de uso prévio: "&amp;G20&amp;".","Sem medicamentos de uso prévio relatados.")&amp;CHAR(10)&amp;IF(H20&lt;&gt;"","Histórico de alergia/RAM: "&amp;H20&amp;".","Nega alergias/RAM conhecidas.")</f>
      </c>
      <c r="AF20" s="4">
        <f>AE20&amp;CHAR(10)&amp;CHAR(10)&amp;"1. Evolução Clínica"&amp;CHAR(10)&amp;TEXTJOIN(" ",TRUE,"Paciente "&amp;I20&amp;", "&amp;IF(J20="","sem DVA","em uso de "&amp;J20)&amp;".",IF(K20&lt;&gt;"","Em "&amp;K20&amp;IF(L20&lt;&gt;""," ("&amp;L20&amp;")","")&amp;IF(M20&lt;&gt;"", ", "&amp;M20,"")&amp;IF(N20&lt;&gt;"", ", sob analgosedação com "&amp;N20,"")&amp;".",""),IF(O20&lt;&gt;"",O20&amp;IF(P20&lt;&gt;"", ", com "&amp;LOWER(P20),"")&amp;IF(Q20&lt;&gt;"", " — "&amp;Q20,"")&amp;".",""),IF(R20="Febre","Apresentou episódio febril nas últimas 24h"&amp;IF(S20&lt;&gt;""," ("&amp;S20&amp;")","")&amp;".",IF(R20="Afebril","Encontra-se afebril.","")),IF(T20&lt;&gt;"",IF(U20="Sim","Apresenta disfunção renal aguda ","Função renal preservada ")&amp;"("&amp;T20&amp;").",""),IF(V20&lt;&gt;"","Em uso do esquema antimicrobiano com "&amp;V20&amp;".",""),IF(TEXTJOIN(", ",TRUE,IF(W20&lt;&gt;"","TEV ("&amp;W20&amp;")",""),IF(X20&lt;&gt;"","LAMG ("&amp;X20&amp;")",""),IF(Y20&lt;&gt;"","úlcera de córnea com "&amp;Y20,""))&lt;&gt;"","Em uso de profilaxia: "&amp;TEXTJOIN(", ",TRUE,IF(W20&lt;&gt;"","TEV ("&amp;W20&amp;")",""),IF(X20&lt;&gt;"","LAMG ("&amp;X20&amp;")",""),IF(Y20&lt;&gt;"","úlcera de córnea com "&amp;Y20,""))&amp;".",""))&amp;CHAR(10)&amp;CHAR(10)&amp;"2. Farmacoterapia"&amp;CHAR(10)&amp;IF(Z20&lt;&gt;"","Corticoide/DART: "&amp;Z20,"Sem corticoide/DART registrado.")&amp;CHAR(10)&amp;CHAR(10)&amp;"3. Conduta Farmacêutica"&amp;CHAR(10)&amp;IF(TEXTJOIN(CHAR(10),TRUE,AB20,AC20,AD20)="","Nenhuma intervenção registrada hoje.",TEXTJOIN(CHAR(10),TRUE,AB20,AC20,AD20))&amp;CHAR(10)&amp;CHAR(10)&amp;"4. Plano Terapêutico"&amp;CHAR(10)&amp;IF(AA20&lt;&gt;"",AA20,"Não definido.")</f>
      </c>
    </row>
    <row r="21" spans="1:32" x14ac:dyDescent="0.25">
      <c r="A21" s="4"/>
      <c r="B21" s="6">
        <f>IFERROR(INDEX(Pacientes!$A:$A,MATCH($A21,Pacientes!$B:$B,0)),"")</f>
      </c>
      <c r="C21" s="6">
        <f>IFERROR(INDEX(Pacientes!$C:$C,MATCH($A21,Pacientes!$B:$B,0)),"")</f>
      </c>
      <c r="D21" s="6">
        <f>IFERROR(INDEX(Pacientes!$D:$D,MATCH($A21,Pacientes!$B:$B,0)),"")</f>
      </c>
      <c r="E21" s="6">
        <f>IFERROR(INDEX(Pacientes!$E:$E,MATCH($A21,Pacientes!$B:$B,0)),"")</f>
      </c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>
        <f>IFERROR(INDEX(Intervenções!$K$2:$K$300,AGGREGATE(15,6,(ROW(Intervenções!$K$2:$K$300)-ROW(Intervenções!$K$2)+1)/((Intervenções!$B$2:$B$300=A21)*(Intervenções!$A$2:$A$300=F21)*(Intervenções!$K$2:$K$300&lt;&gt;"")),1)),"")</f>
      </c>
      <c r="AC21" s="4">
        <f>IFERROR(INDEX(Intervenções!$K$2:$K$300,AGGREGATE(15,6,(ROW(Intervenções!$K$2:$K$300)-ROW(Intervenções!$K$2)+1)/((Intervenções!$B$2:$B$300=A21)*(Intervenções!$A$2:$A$300=F21)*(Intervenções!$K$2:$K$300&lt;&gt;"")),2)),"")</f>
      </c>
      <c r="AD21" s="4">
        <f>IFERROR(INDEX(Intervenções!$K$2:$K$300,AGGREGATE(15,6,(ROW(Intervenções!$K$2:$K$300)-ROW(Intervenções!$K$2)+1)/((Intervenções!$B$2:$B$300=A21)*(Intervenções!$A$2:$A$300=F21)*(Intervenções!$K$2:$K$300&lt;&gt;"")),3)),"")</f>
      </c>
      <c r="AE21" s="4">
        <f>"RECONCILIAÇÃO MEDICAMENTOSA"&amp;CHAR(10)&amp;IF(G21&lt;&gt;"","Medicamentos de uso prévio: "&amp;G21&amp;".","Sem medicamentos de uso prévio relatados.")&amp;CHAR(10)&amp;IF(H21&lt;&gt;"","Histórico de alergia/RAM: "&amp;H21&amp;".","Nega alergias/RAM conhecidas.")</f>
      </c>
      <c r="AF21" s="4">
        <f>AE21&amp;CHAR(10)&amp;CHAR(10)&amp;"1. Evolução Clínica"&amp;CHAR(10)&amp;TEXTJOIN(" ",TRUE,"Paciente "&amp;I21&amp;", "&amp;IF(J21="","sem DVA","em uso de "&amp;J21)&amp;".",IF(K21&lt;&gt;"","Em "&amp;K21&amp;IF(L21&lt;&gt;""," ("&amp;L21&amp;")","")&amp;IF(M21&lt;&gt;"", ", "&amp;M21,"")&amp;IF(N21&lt;&gt;"", ", sob analgosedação com "&amp;N21,"")&amp;".",""),IF(O21&lt;&gt;"",O21&amp;IF(P21&lt;&gt;"", ", com "&amp;LOWER(P21),"")&amp;IF(Q21&lt;&gt;"", " — "&amp;Q21,"")&amp;".",""),IF(R21="Febre","Apresentou episódio febril nas últimas 24h"&amp;IF(S21&lt;&gt;""," ("&amp;S21&amp;")","")&amp;".",IF(R21="Afebril","Encontra-se afebril.","")),IF(T21&lt;&gt;"",IF(U21="Sim","Apresenta disfunção renal aguda ","Função renal preservada ")&amp;"("&amp;T21&amp;").",""),IF(V21&lt;&gt;"","Em uso do esquema antimicrobiano com "&amp;V21&amp;".",""),IF(TEXTJOIN(", ",TRUE,IF(W21&lt;&gt;"","TEV ("&amp;W21&amp;")",""),IF(X21&lt;&gt;"","LAMG ("&amp;X21&amp;")",""),IF(Y21&lt;&gt;"","úlcera de córnea com "&amp;Y21,""))&lt;&gt;"","Em uso de profilaxia: "&amp;TEXTJOIN(", ",TRUE,IF(W21&lt;&gt;"","TEV ("&amp;W21&amp;")",""),IF(X21&lt;&gt;"","LAMG ("&amp;X21&amp;")",""),IF(Y21&lt;&gt;"","úlcera de córnea com "&amp;Y21,""))&amp;".",""))&amp;CHAR(10)&amp;CHAR(10)&amp;"2. Farmacoterapia"&amp;CHAR(10)&amp;IF(Z21&lt;&gt;"","Corticoide/DART: "&amp;Z21,"Sem corticoide/DART registrado.")&amp;CHAR(10)&amp;CHAR(10)&amp;"3. Conduta Farmacêutica"&amp;CHAR(10)&amp;IF(TEXTJOIN(CHAR(10),TRUE,AB21,AC21,AD21)="","Nenhuma intervenção registrada hoje.",TEXTJOIN(CHAR(10),TRUE,AB21,AC21,AD21))&amp;CHAR(10)&amp;CHAR(10)&amp;"4. Plano Terapêutico"&amp;CHAR(10)&amp;IF(AA21&lt;&gt;"",AA21,"Não definido.")</f>
      </c>
    </row>
    <row r="22" spans="1:32" x14ac:dyDescent="0.25">
      <c r="A22" s="4"/>
      <c r="B22" s="6">
        <f>IFERROR(INDEX(Pacientes!$A:$A,MATCH($A22,Pacientes!$B:$B,0)),"")</f>
      </c>
      <c r="C22" s="6">
        <f>IFERROR(INDEX(Pacientes!$C:$C,MATCH($A22,Pacientes!$B:$B,0)),"")</f>
      </c>
      <c r="D22" s="6">
        <f>IFERROR(INDEX(Pacientes!$D:$D,MATCH($A22,Pacientes!$B:$B,0)),"")</f>
      </c>
      <c r="E22" s="6">
        <f>IFERROR(INDEX(Pacientes!$E:$E,MATCH($A22,Pacientes!$B:$B,0)),"")</f>
      </c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>
        <f>IFERROR(INDEX(Intervenções!$K$2:$K$300,AGGREGATE(15,6,(ROW(Intervenções!$K$2:$K$300)-ROW(Intervenções!$K$2)+1)/((Intervenções!$B$2:$B$300=A22)*(Intervenções!$A$2:$A$300=F22)*(Intervenções!$K$2:$K$300&lt;&gt;"")),1)),"")</f>
      </c>
      <c r="AC22" s="4">
        <f>IFERROR(INDEX(Intervenções!$K$2:$K$300,AGGREGATE(15,6,(ROW(Intervenções!$K$2:$K$300)-ROW(Intervenções!$K$2)+1)/((Intervenções!$B$2:$B$300=A22)*(Intervenções!$A$2:$A$300=F22)*(Intervenções!$K$2:$K$300&lt;&gt;"")),2)),"")</f>
      </c>
      <c r="AD22" s="4">
        <f>IFERROR(INDEX(Intervenções!$K$2:$K$300,AGGREGATE(15,6,(ROW(Intervenções!$K$2:$K$300)-ROW(Intervenções!$K$2)+1)/((Intervenções!$B$2:$B$300=A22)*(Intervenções!$A$2:$A$300=F22)*(Intervenções!$K$2:$K$300&lt;&gt;"")),3)),"")</f>
      </c>
      <c r="AE22" s="4">
        <f>"RECONCILIAÇÃO MEDICAMENTOSA"&amp;CHAR(10)&amp;IF(G22&lt;&gt;"","Medicamentos de uso prévio: "&amp;G22&amp;".","Sem medicamentos de uso prévio relatados.")&amp;CHAR(10)&amp;IF(H22&lt;&gt;"","Histórico de alergia/RAM: "&amp;H22&amp;".","Nega alergias/RAM conhecidas.")</f>
      </c>
      <c r="AF22" s="4">
        <f>AE22&amp;CHAR(10)&amp;CHAR(10)&amp;"1. Evolução Clínica"&amp;CHAR(10)&amp;TEXTJOIN(" ",TRUE,"Paciente "&amp;I22&amp;", "&amp;IF(J22="","sem DVA","em uso de "&amp;J22)&amp;".",IF(K22&lt;&gt;"","Em "&amp;K22&amp;IF(L22&lt;&gt;""," ("&amp;L22&amp;")","")&amp;IF(M22&lt;&gt;"", ", "&amp;M22,"")&amp;IF(N22&lt;&gt;"", ", sob analgosedação com "&amp;N22,"")&amp;".",""),IF(O22&lt;&gt;"",O22&amp;IF(P22&lt;&gt;"", ", com "&amp;LOWER(P22),"")&amp;IF(Q22&lt;&gt;"", " — "&amp;Q22,"")&amp;".",""),IF(R22="Febre","Apresentou episódio febril nas últimas 24h"&amp;IF(S22&lt;&gt;""," ("&amp;S22&amp;")","")&amp;".",IF(R22="Afebril","Encontra-se afebril.","")),IF(T22&lt;&gt;"",IF(U22="Sim","Apresenta disfunção renal aguda ","Função renal preservada ")&amp;"("&amp;T22&amp;").",""),IF(V22&lt;&gt;"","Em uso do esquema antimicrobiano com "&amp;V22&amp;".",""),IF(TEXTJOIN(", ",TRUE,IF(W22&lt;&gt;"","TEV ("&amp;W22&amp;")",""),IF(X22&lt;&gt;"","LAMG ("&amp;X22&amp;")",""),IF(Y22&lt;&gt;"","úlcera de córnea com "&amp;Y22,""))&lt;&gt;"","Em uso de profilaxia: "&amp;TEXTJOIN(", ",TRUE,IF(W22&lt;&gt;"","TEV ("&amp;W22&amp;")",""),IF(X22&lt;&gt;"","LAMG ("&amp;X22&amp;")",""),IF(Y22&lt;&gt;"","úlcera de córnea com "&amp;Y22,""))&amp;".",""))&amp;CHAR(10)&amp;CHAR(10)&amp;"2. Farmacoterapia"&amp;CHAR(10)&amp;IF(Z22&lt;&gt;"","Corticoide/DART: "&amp;Z22,"Sem corticoide/DART registrado.")&amp;CHAR(10)&amp;CHAR(10)&amp;"3. Conduta Farmacêutica"&amp;CHAR(10)&amp;IF(TEXTJOIN(CHAR(10),TRUE,AB22,AC22,AD22)="","Nenhuma intervenção registrada hoje.",TEXTJOIN(CHAR(10),TRUE,AB22,AC22,AD22))&amp;CHAR(10)&amp;CHAR(10)&amp;"4. Plano Terapêutico"&amp;CHAR(10)&amp;IF(AA22&lt;&gt;"",AA22,"Não definido.")</f>
      </c>
    </row>
    <row r="23" spans="1:32" x14ac:dyDescent="0.25">
      <c r="A23" s="4"/>
      <c r="B23" s="6">
        <f>IFERROR(INDEX(Pacientes!$A:$A,MATCH($A23,Pacientes!$B:$B,0)),"")</f>
      </c>
      <c r="C23" s="6">
        <f>IFERROR(INDEX(Pacientes!$C:$C,MATCH($A23,Pacientes!$B:$B,0)),"")</f>
      </c>
      <c r="D23" s="6">
        <f>IFERROR(INDEX(Pacientes!$D:$D,MATCH($A23,Pacientes!$B:$B,0)),"")</f>
      </c>
      <c r="E23" s="6">
        <f>IFERROR(INDEX(Pacientes!$E:$E,MATCH($A23,Pacientes!$B:$B,0)),"")</f>
      </c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>
        <f>IFERROR(INDEX(Intervenções!$K$2:$K$300,AGGREGATE(15,6,(ROW(Intervenções!$K$2:$K$300)-ROW(Intervenções!$K$2)+1)/((Intervenções!$B$2:$B$300=A23)*(Intervenções!$A$2:$A$300=F23)*(Intervenções!$K$2:$K$300&lt;&gt;"")),1)),"")</f>
      </c>
      <c r="AC23" s="4">
        <f>IFERROR(INDEX(Intervenções!$K$2:$K$300,AGGREGATE(15,6,(ROW(Intervenções!$K$2:$K$300)-ROW(Intervenções!$K$2)+1)/((Intervenções!$B$2:$B$300=A23)*(Intervenções!$A$2:$A$300=F23)*(Intervenções!$K$2:$K$300&lt;&gt;"")),2)),"")</f>
      </c>
      <c r="AD23" s="4">
        <f>IFERROR(INDEX(Intervenções!$K$2:$K$300,AGGREGATE(15,6,(ROW(Intervenções!$K$2:$K$300)-ROW(Intervenções!$K$2)+1)/((Intervenções!$B$2:$B$300=A23)*(Intervenções!$A$2:$A$300=F23)*(Intervenções!$K$2:$K$300&lt;&gt;"")),3)),"")</f>
      </c>
      <c r="AE23" s="4">
        <f>"RECONCILIAÇÃO MEDICAMENTOSA"&amp;CHAR(10)&amp;IF(G23&lt;&gt;"","Medicamentos de uso prévio: "&amp;G23&amp;".","Sem medicamentos de uso prévio relatados.")&amp;CHAR(10)&amp;IF(H23&lt;&gt;"","Histórico de alergia/RAM: "&amp;H23&amp;".","Nega alergias/RAM conhecidas.")</f>
      </c>
      <c r="AF23" s="4">
        <f>AE23&amp;CHAR(10)&amp;CHAR(10)&amp;"1. Evolução Clínica"&amp;CHAR(10)&amp;TEXTJOIN(" ",TRUE,"Paciente "&amp;I23&amp;", "&amp;IF(J23="","sem DVA","em uso de "&amp;J23)&amp;".",IF(K23&lt;&gt;"","Em "&amp;K23&amp;IF(L23&lt;&gt;""," ("&amp;L23&amp;")","")&amp;IF(M23&lt;&gt;"", ", "&amp;M23,"")&amp;IF(N23&lt;&gt;"", ", sob analgosedação com "&amp;N23,"")&amp;".",""),IF(O23&lt;&gt;"",O23&amp;IF(P23&lt;&gt;"", ", com "&amp;LOWER(P23),"")&amp;IF(Q23&lt;&gt;"", " — "&amp;Q23,"")&amp;".",""),IF(R23="Febre","Apresentou episódio febril nas últimas 24h"&amp;IF(S23&lt;&gt;""," ("&amp;S23&amp;")","")&amp;".",IF(R23="Afebril","Encontra-se afebril.","")),IF(T23&lt;&gt;"",IF(U23="Sim","Apresenta disfunção renal aguda ","Função renal preservada ")&amp;"("&amp;T23&amp;").",""),IF(V23&lt;&gt;"","Em uso do esquema antimicrobiano com "&amp;V23&amp;".",""),IF(TEXTJOIN(", ",TRUE,IF(W23&lt;&gt;"","TEV ("&amp;W23&amp;")",""),IF(X23&lt;&gt;"","LAMG ("&amp;X23&amp;")",""),IF(Y23&lt;&gt;"","úlcera de córnea com "&amp;Y23,""))&lt;&gt;"","Em uso de profilaxia: "&amp;TEXTJOIN(", ",TRUE,IF(W23&lt;&gt;"","TEV ("&amp;W23&amp;")",""),IF(X23&lt;&gt;"","LAMG ("&amp;X23&amp;")",""),IF(Y23&lt;&gt;"","úlcera de córnea com "&amp;Y23,""))&amp;".",""))&amp;CHAR(10)&amp;CHAR(10)&amp;"2. Farmacoterapia"&amp;CHAR(10)&amp;IF(Z23&lt;&gt;"","Corticoide/DART: "&amp;Z23,"Sem corticoide/DART registrado.")&amp;CHAR(10)&amp;CHAR(10)&amp;"3. Conduta Farmacêutica"&amp;CHAR(10)&amp;IF(TEXTJOIN(CHAR(10),TRUE,AB23,AC23,AD23)="","Nenhuma intervenção registrada hoje.",TEXTJOIN(CHAR(10),TRUE,AB23,AC23,AD23))&amp;CHAR(10)&amp;CHAR(10)&amp;"4. Plano Terapêutico"&amp;CHAR(10)&amp;IF(AA23&lt;&gt;"",AA23,"Não definido.")</f>
      </c>
    </row>
    <row r="24" spans="1:32" x14ac:dyDescent="0.25">
      <c r="A24" s="4"/>
      <c r="B24" s="6">
        <f>IFERROR(INDEX(Pacientes!$A:$A,MATCH($A24,Pacientes!$B:$B,0)),"")</f>
      </c>
      <c r="C24" s="6">
        <f>IFERROR(INDEX(Pacientes!$C:$C,MATCH($A24,Pacientes!$B:$B,0)),"")</f>
      </c>
      <c r="D24" s="6">
        <f>IFERROR(INDEX(Pacientes!$D:$D,MATCH($A24,Pacientes!$B:$B,0)),"")</f>
      </c>
      <c r="E24" s="6">
        <f>IFERROR(INDEX(Pacientes!$E:$E,MATCH($A24,Pacientes!$B:$B,0)),"")</f>
      </c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>
        <f>IFERROR(INDEX(Intervenções!$K$2:$K$300,AGGREGATE(15,6,(ROW(Intervenções!$K$2:$K$300)-ROW(Intervenções!$K$2)+1)/((Intervenções!$B$2:$B$300=A24)*(Intervenções!$A$2:$A$300=F24)*(Intervenções!$K$2:$K$300&lt;&gt;"")),1)),"")</f>
      </c>
      <c r="AC24" s="4">
        <f>IFERROR(INDEX(Intervenções!$K$2:$K$300,AGGREGATE(15,6,(ROW(Intervenções!$K$2:$K$300)-ROW(Intervenções!$K$2)+1)/((Intervenções!$B$2:$B$300=A24)*(Intervenções!$A$2:$A$300=F24)*(Intervenções!$K$2:$K$300&lt;&gt;"")),2)),"")</f>
      </c>
      <c r="AD24" s="4">
        <f>IFERROR(INDEX(Intervenções!$K$2:$K$300,AGGREGATE(15,6,(ROW(Intervenções!$K$2:$K$300)-ROW(Intervenções!$K$2)+1)/((Intervenções!$B$2:$B$300=A24)*(Intervenções!$A$2:$A$300=F24)*(Intervenções!$K$2:$K$300&lt;&gt;"")),3)),"")</f>
      </c>
      <c r="AE24" s="4">
        <f>"RECONCILIAÇÃO MEDICAMENTOSA"&amp;CHAR(10)&amp;IF(G24&lt;&gt;"","Medicamentos de uso prévio: "&amp;G24&amp;".","Sem medicamentos de uso prévio relatados.")&amp;CHAR(10)&amp;IF(H24&lt;&gt;"","Histórico de alergia/RAM: "&amp;H24&amp;".","Nega alergias/RAM conhecidas.")</f>
      </c>
      <c r="AF24" s="4">
        <f>AE24&amp;CHAR(10)&amp;CHAR(10)&amp;"1. Evolução Clínica"&amp;CHAR(10)&amp;TEXTJOIN(" ",TRUE,"Paciente "&amp;I24&amp;", "&amp;IF(J24="","sem DVA","em uso de "&amp;J24)&amp;".",IF(K24&lt;&gt;"","Em "&amp;K24&amp;IF(L24&lt;&gt;""," ("&amp;L24&amp;")","")&amp;IF(M24&lt;&gt;"", ", "&amp;M24,"")&amp;IF(N24&lt;&gt;"", ", sob analgosedação com "&amp;N24,"")&amp;".",""),IF(O24&lt;&gt;"",O24&amp;IF(P24&lt;&gt;"", ", com "&amp;LOWER(P24),"")&amp;IF(Q24&lt;&gt;"", " — "&amp;Q24,"")&amp;".",""),IF(R24="Febre","Apresentou episódio febril nas últimas 24h"&amp;IF(S24&lt;&gt;""," ("&amp;S24&amp;")","")&amp;".",IF(R24="Afebril","Encontra-se afebril.","")),IF(T24&lt;&gt;"",IF(U24="Sim","Apresenta disfunção renal aguda ","Função renal preservada ")&amp;"("&amp;T24&amp;").",""),IF(V24&lt;&gt;"","Em uso do esquema antimicrobiano com "&amp;V24&amp;".",""),IF(TEXTJOIN(", ",TRUE,IF(W24&lt;&gt;"","TEV ("&amp;W24&amp;")",""),IF(X24&lt;&gt;"","LAMG ("&amp;X24&amp;")",""),IF(Y24&lt;&gt;"","úlcera de córnea com "&amp;Y24,""))&lt;&gt;"","Em uso de profilaxia: "&amp;TEXTJOIN(", ",TRUE,IF(W24&lt;&gt;"","TEV ("&amp;W24&amp;")",""),IF(X24&lt;&gt;"","LAMG ("&amp;X24&amp;")",""),IF(Y24&lt;&gt;"","úlcera de córnea com "&amp;Y24,""))&amp;".",""))&amp;CHAR(10)&amp;CHAR(10)&amp;"2. Farmacoterapia"&amp;CHAR(10)&amp;IF(Z24&lt;&gt;"","Corticoide/DART: "&amp;Z24,"Sem corticoide/DART registrado.")&amp;CHAR(10)&amp;CHAR(10)&amp;"3. Conduta Farmacêutica"&amp;CHAR(10)&amp;IF(TEXTJOIN(CHAR(10),TRUE,AB24,AC24,AD24)="","Nenhuma intervenção registrada hoje.",TEXTJOIN(CHAR(10),TRUE,AB24,AC24,AD24))&amp;CHAR(10)&amp;CHAR(10)&amp;"4. Plano Terapêutico"&amp;CHAR(10)&amp;IF(AA24&lt;&gt;"",AA24,"Não definido.")</f>
      </c>
    </row>
    <row r="25" spans="1:32" x14ac:dyDescent="0.25">
      <c r="A25" s="4"/>
      <c r="B25" s="6">
        <f>IFERROR(INDEX(Pacientes!$A:$A,MATCH($A25,Pacientes!$B:$B,0)),"")</f>
      </c>
      <c r="C25" s="6">
        <f>IFERROR(INDEX(Pacientes!$C:$C,MATCH($A25,Pacientes!$B:$B,0)),"")</f>
      </c>
      <c r="D25" s="6">
        <f>IFERROR(INDEX(Pacientes!$D:$D,MATCH($A25,Pacientes!$B:$B,0)),"")</f>
      </c>
      <c r="E25" s="6">
        <f>IFERROR(INDEX(Pacientes!$E:$E,MATCH($A25,Pacientes!$B:$B,0)),"")</f>
      </c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>
        <f>IFERROR(INDEX(Intervenções!$K$2:$K$300,AGGREGATE(15,6,(ROW(Intervenções!$K$2:$K$300)-ROW(Intervenções!$K$2)+1)/((Intervenções!$B$2:$B$300=A25)*(Intervenções!$A$2:$A$300=F25)*(Intervenções!$K$2:$K$300&lt;&gt;"")),1)),"")</f>
      </c>
      <c r="AC25" s="4">
        <f>IFERROR(INDEX(Intervenções!$K$2:$K$300,AGGREGATE(15,6,(ROW(Intervenções!$K$2:$K$300)-ROW(Intervenções!$K$2)+1)/((Intervenções!$B$2:$B$300=A25)*(Intervenções!$A$2:$A$300=F25)*(Intervenções!$K$2:$K$300&lt;&gt;"")),2)),"")</f>
      </c>
      <c r="AD25" s="4">
        <f>IFERROR(INDEX(Intervenções!$K$2:$K$300,AGGREGATE(15,6,(ROW(Intervenções!$K$2:$K$300)-ROW(Intervenções!$K$2)+1)/((Intervenções!$B$2:$B$300=A25)*(Intervenções!$A$2:$A$300=F25)*(Intervenções!$K$2:$K$300&lt;&gt;"")),3)),"")</f>
      </c>
      <c r="AE25" s="4">
        <f>"RECONCILIAÇÃO MEDICAMENTOSA"&amp;CHAR(10)&amp;IF(G25&lt;&gt;"","Medicamentos de uso prévio: "&amp;G25&amp;".","Sem medicamentos de uso prévio relatados.")&amp;CHAR(10)&amp;IF(H25&lt;&gt;"","Histórico de alergia/RAM: "&amp;H25&amp;".","Nega alergias/RAM conhecidas.")</f>
      </c>
      <c r="AF25" s="4">
        <f>AE25&amp;CHAR(10)&amp;CHAR(10)&amp;"1. Evolução Clínica"&amp;CHAR(10)&amp;TEXTJOIN(" ",TRUE,"Paciente "&amp;I25&amp;", "&amp;IF(J25="","sem DVA","em uso de "&amp;J25)&amp;".",IF(K25&lt;&gt;"","Em "&amp;K25&amp;IF(L25&lt;&gt;""," ("&amp;L25&amp;")","")&amp;IF(M25&lt;&gt;"", ", "&amp;M25,"")&amp;IF(N25&lt;&gt;"", ", sob analgosedação com "&amp;N25,"")&amp;".",""),IF(O25&lt;&gt;"",O25&amp;IF(P25&lt;&gt;"", ", com "&amp;LOWER(P25),"")&amp;IF(Q25&lt;&gt;"", " — "&amp;Q25,"")&amp;".",""),IF(R25="Febre","Apresentou episódio febril nas últimas 24h"&amp;IF(S25&lt;&gt;""," ("&amp;S25&amp;")","")&amp;".",IF(R25="Afebril","Encontra-se afebril.","")),IF(T25&lt;&gt;"",IF(U25="Sim","Apresenta disfunção renal aguda ","Função renal preservada ")&amp;"("&amp;T25&amp;").",""),IF(V25&lt;&gt;"","Em uso do esquema antimicrobiano com "&amp;V25&amp;".",""),IF(TEXTJOIN(", ",TRUE,IF(W25&lt;&gt;"","TEV ("&amp;W25&amp;")",""),IF(X25&lt;&gt;"","LAMG ("&amp;X25&amp;")",""),IF(Y25&lt;&gt;"","úlcera de córnea com "&amp;Y25,""))&lt;&gt;"","Em uso de profilaxia: "&amp;TEXTJOIN(", ",TRUE,IF(W25&lt;&gt;"","TEV ("&amp;W25&amp;")",""),IF(X25&lt;&gt;"","LAMG ("&amp;X25&amp;")",""),IF(Y25&lt;&gt;"","úlcera de córnea com "&amp;Y25,""))&amp;".",""))&amp;CHAR(10)&amp;CHAR(10)&amp;"2. Farmacoterapia"&amp;CHAR(10)&amp;IF(Z25&lt;&gt;"","Corticoide/DART: "&amp;Z25,"Sem corticoide/DART registrado.")&amp;CHAR(10)&amp;CHAR(10)&amp;"3. Conduta Farmacêutica"&amp;CHAR(10)&amp;IF(TEXTJOIN(CHAR(10),TRUE,AB25,AC25,AD25)="","Nenhuma intervenção registrada hoje.",TEXTJOIN(CHAR(10),TRUE,AB25,AC25,AD25))&amp;CHAR(10)&amp;CHAR(10)&amp;"4. Plano Terapêutico"&amp;CHAR(10)&amp;IF(AA25&lt;&gt;"",AA25,"Não definido.")</f>
      </c>
    </row>
    <row r="26" spans="1:32" x14ac:dyDescent="0.25">
      <c r="A26" s="4"/>
      <c r="B26" s="6">
        <f>IFERROR(INDEX(Pacientes!$A:$A,MATCH($A26,Pacientes!$B:$B,0)),"")</f>
      </c>
      <c r="C26" s="6">
        <f>IFERROR(INDEX(Pacientes!$C:$C,MATCH($A26,Pacientes!$B:$B,0)),"")</f>
      </c>
      <c r="D26" s="6">
        <f>IFERROR(INDEX(Pacientes!$D:$D,MATCH($A26,Pacientes!$B:$B,0)),"")</f>
      </c>
      <c r="E26" s="6">
        <f>IFERROR(INDEX(Pacientes!$E:$E,MATCH($A26,Pacientes!$B:$B,0)),"")</f>
      </c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>
        <f>IFERROR(INDEX(Intervenções!$K$2:$K$300,AGGREGATE(15,6,(ROW(Intervenções!$K$2:$K$300)-ROW(Intervenções!$K$2)+1)/((Intervenções!$B$2:$B$300=A26)*(Intervenções!$A$2:$A$300=F26)*(Intervenções!$K$2:$K$300&lt;&gt;"")),1)),"")</f>
      </c>
      <c r="AC26" s="4">
        <f>IFERROR(INDEX(Intervenções!$K$2:$K$300,AGGREGATE(15,6,(ROW(Intervenções!$K$2:$K$300)-ROW(Intervenções!$K$2)+1)/((Intervenções!$B$2:$B$300=A26)*(Intervenções!$A$2:$A$300=F26)*(Intervenções!$K$2:$K$300&lt;&gt;"")),2)),"")</f>
      </c>
      <c r="AD26" s="4">
        <f>IFERROR(INDEX(Intervenções!$K$2:$K$300,AGGREGATE(15,6,(ROW(Intervenções!$K$2:$K$300)-ROW(Intervenções!$K$2)+1)/((Intervenções!$B$2:$B$300=A26)*(Intervenções!$A$2:$A$300=F26)*(Intervenções!$K$2:$K$300&lt;&gt;"")),3)),"")</f>
      </c>
      <c r="AE26" s="4">
        <f>"RECONCILIAÇÃO MEDICAMENTOSA"&amp;CHAR(10)&amp;IF(G26&lt;&gt;"","Medicamentos de uso prévio: "&amp;G26&amp;".","Sem medicamentos de uso prévio relatados.")&amp;CHAR(10)&amp;IF(H26&lt;&gt;"","Histórico de alergia/RAM: "&amp;H26&amp;".","Nega alergias/RAM conhecidas.")</f>
      </c>
      <c r="AF26" s="4">
        <f>AE26&amp;CHAR(10)&amp;CHAR(10)&amp;"1. Evolução Clínica"&amp;CHAR(10)&amp;TEXTJOIN(" ",TRUE,"Paciente "&amp;I26&amp;", "&amp;IF(J26="","sem DVA","em uso de "&amp;J26)&amp;".",IF(K26&lt;&gt;"","Em "&amp;K26&amp;IF(L26&lt;&gt;""," ("&amp;L26&amp;")","")&amp;IF(M26&lt;&gt;"", ", "&amp;M26,"")&amp;IF(N26&lt;&gt;"", ", sob analgosedação com "&amp;N26,"")&amp;".",""),IF(O26&lt;&gt;"",O26&amp;IF(P26&lt;&gt;"", ", com "&amp;LOWER(P26),"")&amp;IF(Q26&lt;&gt;"", " — "&amp;Q26,"")&amp;".",""),IF(R26="Febre","Apresentou episódio febril nas últimas 24h"&amp;IF(S26&lt;&gt;""," ("&amp;S26&amp;")","")&amp;".",IF(R26="Afebril","Encontra-se afebril.","")),IF(T26&lt;&gt;"",IF(U26="Sim","Apresenta disfunção renal aguda ","Função renal preservada ")&amp;"("&amp;T26&amp;").",""),IF(V26&lt;&gt;"","Em uso do esquema antimicrobiano com "&amp;V26&amp;".",""),IF(TEXTJOIN(", ",TRUE,IF(W26&lt;&gt;"","TEV ("&amp;W26&amp;")",""),IF(X26&lt;&gt;"","LAMG ("&amp;X26&amp;")",""),IF(Y26&lt;&gt;"","úlcera de córnea com "&amp;Y26,""))&lt;&gt;"","Em uso de profilaxia: "&amp;TEXTJOIN(", ",TRUE,IF(W26&lt;&gt;"","TEV ("&amp;W26&amp;")",""),IF(X26&lt;&gt;"","LAMG ("&amp;X26&amp;")",""),IF(Y26&lt;&gt;"","úlcera de córnea com "&amp;Y26,""))&amp;".",""))&amp;CHAR(10)&amp;CHAR(10)&amp;"2. Farmacoterapia"&amp;CHAR(10)&amp;IF(Z26&lt;&gt;"","Corticoide/DART: "&amp;Z26,"Sem corticoide/DART registrado.")&amp;CHAR(10)&amp;CHAR(10)&amp;"3. Conduta Farmacêutica"&amp;CHAR(10)&amp;IF(TEXTJOIN(CHAR(10),TRUE,AB26,AC26,AD26)="","Nenhuma intervenção registrada hoje.",TEXTJOIN(CHAR(10),TRUE,AB26,AC26,AD26))&amp;CHAR(10)&amp;CHAR(10)&amp;"4. Plano Terapêutico"&amp;CHAR(10)&amp;IF(AA26&lt;&gt;"",AA26,"Não definido.")</f>
      </c>
    </row>
    <row r="27" spans="1:32" x14ac:dyDescent="0.25">
      <c r="A27" s="4"/>
      <c r="B27" s="6">
        <f>IFERROR(INDEX(Pacientes!$A:$A,MATCH($A27,Pacientes!$B:$B,0)),"")</f>
      </c>
      <c r="C27" s="6">
        <f>IFERROR(INDEX(Pacientes!$C:$C,MATCH($A27,Pacientes!$B:$B,0)),"")</f>
      </c>
      <c r="D27" s="6">
        <f>IFERROR(INDEX(Pacientes!$D:$D,MATCH($A27,Pacientes!$B:$B,0)),"")</f>
      </c>
      <c r="E27" s="6">
        <f>IFERROR(INDEX(Pacientes!$E:$E,MATCH($A27,Pacientes!$B:$B,0)),"")</f>
      </c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>
        <f>IFERROR(INDEX(Intervenções!$K$2:$K$300,AGGREGATE(15,6,(ROW(Intervenções!$K$2:$K$300)-ROW(Intervenções!$K$2)+1)/((Intervenções!$B$2:$B$300=A27)*(Intervenções!$A$2:$A$300=F27)*(Intervenções!$K$2:$K$300&lt;&gt;"")),1)),"")</f>
      </c>
      <c r="AC27" s="4">
        <f>IFERROR(INDEX(Intervenções!$K$2:$K$300,AGGREGATE(15,6,(ROW(Intervenções!$K$2:$K$300)-ROW(Intervenções!$K$2)+1)/((Intervenções!$B$2:$B$300=A27)*(Intervenções!$A$2:$A$300=F27)*(Intervenções!$K$2:$K$300&lt;&gt;"")),2)),"")</f>
      </c>
      <c r="AD27" s="4">
        <f>IFERROR(INDEX(Intervenções!$K$2:$K$300,AGGREGATE(15,6,(ROW(Intervenções!$K$2:$K$300)-ROW(Intervenções!$K$2)+1)/((Intervenções!$B$2:$B$300=A27)*(Intervenções!$A$2:$A$300=F27)*(Intervenções!$K$2:$K$300&lt;&gt;"")),3)),"")</f>
      </c>
      <c r="AE27" s="4">
        <f>"RECONCILIAÇÃO MEDICAMENTOSA"&amp;CHAR(10)&amp;IF(G27&lt;&gt;"","Medicamentos de uso prévio: "&amp;G27&amp;".","Sem medicamentos de uso prévio relatados.")&amp;CHAR(10)&amp;IF(H27&lt;&gt;"","Histórico de alergia/RAM: "&amp;H27&amp;".","Nega alergias/RAM conhecidas.")</f>
      </c>
      <c r="AF27" s="4">
        <f>AE27&amp;CHAR(10)&amp;CHAR(10)&amp;"1. Evolução Clínica"&amp;CHAR(10)&amp;TEXTJOIN(" ",TRUE,"Paciente "&amp;I27&amp;", "&amp;IF(J27="","sem DVA","em uso de "&amp;J27)&amp;".",IF(K27&lt;&gt;"","Em "&amp;K27&amp;IF(L27&lt;&gt;""," ("&amp;L27&amp;")","")&amp;IF(M27&lt;&gt;"", ", "&amp;M27,"")&amp;IF(N27&lt;&gt;"", ", sob analgosedação com "&amp;N27,"")&amp;".",""),IF(O27&lt;&gt;"",O27&amp;IF(P27&lt;&gt;"", ", com "&amp;LOWER(P27),"")&amp;IF(Q27&lt;&gt;"", " — "&amp;Q27,"")&amp;".",""),IF(R27="Febre","Apresentou episódio febril nas últimas 24h"&amp;IF(S27&lt;&gt;""," ("&amp;S27&amp;")","")&amp;".",IF(R27="Afebril","Encontra-se afebril.","")),IF(T27&lt;&gt;"",IF(U27="Sim","Apresenta disfunção renal aguda ","Função renal preservada ")&amp;"("&amp;T27&amp;").",""),IF(V27&lt;&gt;"","Em uso do esquema antimicrobiano com "&amp;V27&amp;".",""),IF(TEXTJOIN(", ",TRUE,IF(W27&lt;&gt;"","TEV ("&amp;W27&amp;")",""),IF(X27&lt;&gt;"","LAMG ("&amp;X27&amp;")",""),IF(Y27&lt;&gt;"","úlcera de córnea com "&amp;Y27,""))&lt;&gt;"","Em uso de profilaxia: "&amp;TEXTJOIN(", ",TRUE,IF(W27&lt;&gt;"","TEV ("&amp;W27&amp;")",""),IF(X27&lt;&gt;"","LAMG ("&amp;X27&amp;")",""),IF(Y27&lt;&gt;"","úlcera de córnea com "&amp;Y27,""))&amp;".",""))&amp;CHAR(10)&amp;CHAR(10)&amp;"2. Farmacoterapia"&amp;CHAR(10)&amp;IF(Z27&lt;&gt;"","Corticoide/DART: "&amp;Z27,"Sem corticoide/DART registrado.")&amp;CHAR(10)&amp;CHAR(10)&amp;"3. Conduta Farmacêutica"&amp;CHAR(10)&amp;IF(TEXTJOIN(CHAR(10),TRUE,AB27,AC27,AD27)="","Nenhuma intervenção registrada hoje.",TEXTJOIN(CHAR(10),TRUE,AB27,AC27,AD27))&amp;CHAR(10)&amp;CHAR(10)&amp;"4. Plano Terapêutico"&amp;CHAR(10)&amp;IF(AA27&lt;&gt;"",AA27,"Não definido.")</f>
      </c>
    </row>
    <row r="28" spans="1:32" x14ac:dyDescent="0.25">
      <c r="A28" s="4"/>
      <c r="B28" s="6">
        <f>IFERROR(INDEX(Pacientes!$A:$A,MATCH($A28,Pacientes!$B:$B,0)),"")</f>
      </c>
      <c r="C28" s="6">
        <f>IFERROR(INDEX(Pacientes!$C:$C,MATCH($A28,Pacientes!$B:$B,0)),"")</f>
      </c>
      <c r="D28" s="6">
        <f>IFERROR(INDEX(Pacientes!$D:$D,MATCH($A28,Pacientes!$B:$B,0)),"")</f>
      </c>
      <c r="E28" s="6">
        <f>IFERROR(INDEX(Pacientes!$E:$E,MATCH($A28,Pacientes!$B:$B,0)),"")</f>
      </c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>
        <f>IFERROR(INDEX(Intervenções!$K$2:$K$300,AGGREGATE(15,6,(ROW(Intervenções!$K$2:$K$300)-ROW(Intervenções!$K$2)+1)/((Intervenções!$B$2:$B$300=A28)*(Intervenções!$A$2:$A$300=F28)*(Intervenções!$K$2:$K$300&lt;&gt;"")),1)),"")</f>
      </c>
      <c r="AC28" s="4">
        <f>IFERROR(INDEX(Intervenções!$K$2:$K$300,AGGREGATE(15,6,(ROW(Intervenções!$K$2:$K$300)-ROW(Intervenções!$K$2)+1)/((Intervenções!$B$2:$B$300=A28)*(Intervenções!$A$2:$A$300=F28)*(Intervenções!$K$2:$K$300&lt;&gt;"")),2)),"")</f>
      </c>
      <c r="AD28" s="4">
        <f>IFERROR(INDEX(Intervenções!$K$2:$K$300,AGGREGATE(15,6,(ROW(Intervenções!$K$2:$K$300)-ROW(Intervenções!$K$2)+1)/((Intervenções!$B$2:$B$300=A28)*(Intervenções!$A$2:$A$300=F28)*(Intervenções!$K$2:$K$300&lt;&gt;"")),3)),"")</f>
      </c>
      <c r="AE28" s="4">
        <f>"RECONCILIAÇÃO MEDICAMENTOSA"&amp;CHAR(10)&amp;IF(G28&lt;&gt;"","Medicamentos de uso prévio: "&amp;G28&amp;".","Sem medicamentos de uso prévio relatados.")&amp;CHAR(10)&amp;IF(H28&lt;&gt;"","Histórico de alergia/RAM: "&amp;H28&amp;".","Nega alergias/RAM conhecidas.")</f>
      </c>
      <c r="AF28" s="4">
        <f>AE28&amp;CHAR(10)&amp;CHAR(10)&amp;"1. Evolução Clínica"&amp;CHAR(10)&amp;TEXTJOIN(" ",TRUE,"Paciente "&amp;I28&amp;", "&amp;IF(J28="","sem DVA","em uso de "&amp;J28)&amp;".",IF(K28&lt;&gt;"","Em "&amp;K28&amp;IF(L28&lt;&gt;""," ("&amp;L28&amp;")","")&amp;IF(M28&lt;&gt;"", ", "&amp;M28,"")&amp;IF(N28&lt;&gt;"", ", sob analgosedação com "&amp;N28,"")&amp;".",""),IF(O28&lt;&gt;"",O28&amp;IF(P28&lt;&gt;"", ", com "&amp;LOWER(P28),"")&amp;IF(Q28&lt;&gt;"", " — "&amp;Q28,"")&amp;".",""),IF(R28="Febre","Apresentou episódio febril nas últimas 24h"&amp;IF(S28&lt;&gt;""," ("&amp;S28&amp;")","")&amp;".",IF(R28="Afebril","Encontra-se afebril.","")),IF(T28&lt;&gt;"",IF(U28="Sim","Apresenta disfunção renal aguda ","Função renal preservada ")&amp;"("&amp;T28&amp;").",""),IF(V28&lt;&gt;"","Em uso do esquema antimicrobiano com "&amp;V28&amp;".",""),IF(TEXTJOIN(", ",TRUE,IF(W28&lt;&gt;"","TEV ("&amp;W28&amp;")",""),IF(X28&lt;&gt;"","LAMG ("&amp;X28&amp;")",""),IF(Y28&lt;&gt;"","úlcera de córnea com "&amp;Y28,""))&lt;&gt;"","Em uso de profilaxia: "&amp;TEXTJOIN(", ",TRUE,IF(W28&lt;&gt;"","TEV ("&amp;W28&amp;")",""),IF(X28&lt;&gt;"","LAMG ("&amp;X28&amp;")",""),IF(Y28&lt;&gt;"","úlcera de córnea com "&amp;Y28,""))&amp;".",""))&amp;CHAR(10)&amp;CHAR(10)&amp;"2. Farmacoterapia"&amp;CHAR(10)&amp;IF(Z28&lt;&gt;"","Corticoide/DART: "&amp;Z28,"Sem corticoide/DART registrado.")&amp;CHAR(10)&amp;CHAR(10)&amp;"3. Conduta Farmacêutica"&amp;CHAR(10)&amp;IF(TEXTJOIN(CHAR(10),TRUE,AB28,AC28,AD28)="","Nenhuma intervenção registrada hoje.",TEXTJOIN(CHAR(10),TRUE,AB28,AC28,AD28))&amp;CHAR(10)&amp;CHAR(10)&amp;"4. Plano Terapêutico"&amp;CHAR(10)&amp;IF(AA28&lt;&gt;"",AA28,"Não definido.")</f>
      </c>
    </row>
    <row r="29" spans="1:32" x14ac:dyDescent="0.25">
      <c r="A29" s="4"/>
      <c r="B29" s="6">
        <f>IFERROR(INDEX(Pacientes!$A:$A,MATCH($A29,Pacientes!$B:$B,0)),"")</f>
      </c>
      <c r="C29" s="6">
        <f>IFERROR(INDEX(Pacientes!$C:$C,MATCH($A29,Pacientes!$B:$B,0)),"")</f>
      </c>
      <c r="D29" s="6">
        <f>IFERROR(INDEX(Pacientes!$D:$D,MATCH($A29,Pacientes!$B:$B,0)),"")</f>
      </c>
      <c r="E29" s="6">
        <f>IFERROR(INDEX(Pacientes!$E:$E,MATCH($A29,Pacientes!$B:$B,0)),"")</f>
      </c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>
        <f>IFERROR(INDEX(Intervenções!$K$2:$K$300,AGGREGATE(15,6,(ROW(Intervenções!$K$2:$K$300)-ROW(Intervenções!$K$2)+1)/((Intervenções!$B$2:$B$300=A29)*(Intervenções!$A$2:$A$300=F29)*(Intervenções!$K$2:$K$300&lt;&gt;"")),1)),"")</f>
      </c>
      <c r="AC29" s="4">
        <f>IFERROR(INDEX(Intervenções!$K$2:$K$300,AGGREGATE(15,6,(ROW(Intervenções!$K$2:$K$300)-ROW(Intervenções!$K$2)+1)/((Intervenções!$B$2:$B$300=A29)*(Intervenções!$A$2:$A$300=F29)*(Intervenções!$K$2:$K$300&lt;&gt;"")),2)),"")</f>
      </c>
      <c r="AD29" s="4">
        <f>IFERROR(INDEX(Intervenções!$K$2:$K$300,AGGREGATE(15,6,(ROW(Intervenções!$K$2:$K$300)-ROW(Intervenções!$K$2)+1)/((Intervenções!$B$2:$B$300=A29)*(Intervenções!$A$2:$A$300=F29)*(Intervenções!$K$2:$K$300&lt;&gt;"")),3)),"")</f>
      </c>
      <c r="AE29" s="4">
        <f>"RECONCILIAÇÃO MEDICAMENTOSA"&amp;CHAR(10)&amp;IF(G29&lt;&gt;"","Medicamentos de uso prévio: "&amp;G29&amp;".","Sem medicamentos de uso prévio relatados.")&amp;CHAR(10)&amp;IF(H29&lt;&gt;"","Histórico de alergia/RAM: "&amp;H29&amp;".","Nega alergias/RAM conhecidas.")</f>
      </c>
      <c r="AF29" s="4">
        <f>AE29&amp;CHAR(10)&amp;CHAR(10)&amp;"1. Evolução Clínica"&amp;CHAR(10)&amp;TEXTJOIN(" ",TRUE,"Paciente "&amp;I29&amp;", "&amp;IF(J29="","sem DVA","em uso de "&amp;J29)&amp;".",IF(K29&lt;&gt;"","Em "&amp;K29&amp;IF(L29&lt;&gt;""," ("&amp;L29&amp;")","")&amp;IF(M29&lt;&gt;"", ", "&amp;M29,"")&amp;IF(N29&lt;&gt;"", ", sob analgosedação com "&amp;N29,"")&amp;".",""),IF(O29&lt;&gt;"",O29&amp;IF(P29&lt;&gt;"", ", com "&amp;LOWER(P29),"")&amp;IF(Q29&lt;&gt;"", " — "&amp;Q29,"")&amp;".",""),IF(R29="Febre","Apresentou episódio febril nas últimas 24h"&amp;IF(S29&lt;&gt;""," ("&amp;S29&amp;")","")&amp;".",IF(R29="Afebril","Encontra-se afebril.","")),IF(T29&lt;&gt;"",IF(U29="Sim","Apresenta disfunção renal aguda ","Função renal preservada ")&amp;"("&amp;T29&amp;").",""),IF(V29&lt;&gt;"","Em uso do esquema antimicrobiano com "&amp;V29&amp;".",""),IF(TEXTJOIN(", ",TRUE,IF(W29&lt;&gt;"","TEV ("&amp;W29&amp;")",""),IF(X29&lt;&gt;"","LAMG ("&amp;X29&amp;")",""),IF(Y29&lt;&gt;"","úlcera de córnea com "&amp;Y29,""))&lt;&gt;"","Em uso de profilaxia: "&amp;TEXTJOIN(", ",TRUE,IF(W29&lt;&gt;"","TEV ("&amp;W29&amp;")",""),IF(X29&lt;&gt;"","LAMG ("&amp;X29&amp;")",""),IF(Y29&lt;&gt;"","úlcera de córnea com "&amp;Y29,""))&amp;".",""))&amp;CHAR(10)&amp;CHAR(10)&amp;"2. Farmacoterapia"&amp;CHAR(10)&amp;IF(Z29&lt;&gt;"","Corticoide/DART: "&amp;Z29,"Sem corticoide/DART registrado.")&amp;CHAR(10)&amp;CHAR(10)&amp;"3. Conduta Farmacêutica"&amp;CHAR(10)&amp;IF(TEXTJOIN(CHAR(10),TRUE,AB29,AC29,AD29)="","Nenhuma intervenção registrada hoje.",TEXTJOIN(CHAR(10),TRUE,AB29,AC29,AD29))&amp;CHAR(10)&amp;CHAR(10)&amp;"4. Plano Terapêutico"&amp;CHAR(10)&amp;IF(AA29&lt;&gt;"",AA29,"Não definido.")</f>
      </c>
    </row>
    <row r="30" spans="1:32" x14ac:dyDescent="0.25">
      <c r="A30" s="4"/>
      <c r="B30" s="6">
        <f>IFERROR(INDEX(Pacientes!$A:$A,MATCH($A30,Pacientes!$B:$B,0)),"")</f>
      </c>
      <c r="C30" s="6">
        <f>IFERROR(INDEX(Pacientes!$C:$C,MATCH($A30,Pacientes!$B:$B,0)),"")</f>
      </c>
      <c r="D30" s="6">
        <f>IFERROR(INDEX(Pacientes!$D:$D,MATCH($A30,Pacientes!$B:$B,0)),"")</f>
      </c>
      <c r="E30" s="6">
        <f>IFERROR(INDEX(Pacientes!$E:$E,MATCH($A30,Pacientes!$B:$B,0)),"")</f>
      </c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>
        <f>IFERROR(INDEX(Intervenções!$K$2:$K$300,AGGREGATE(15,6,(ROW(Intervenções!$K$2:$K$300)-ROW(Intervenções!$K$2)+1)/((Intervenções!$B$2:$B$300=A30)*(Intervenções!$A$2:$A$300=F30)*(Intervenções!$K$2:$K$300&lt;&gt;"")),1)),"")</f>
      </c>
      <c r="AC30" s="4">
        <f>IFERROR(INDEX(Intervenções!$K$2:$K$300,AGGREGATE(15,6,(ROW(Intervenções!$K$2:$K$300)-ROW(Intervenções!$K$2)+1)/((Intervenções!$B$2:$B$300=A30)*(Intervenções!$A$2:$A$300=F30)*(Intervenções!$K$2:$K$300&lt;&gt;"")),2)),"")</f>
      </c>
      <c r="AD30" s="4">
        <f>IFERROR(INDEX(Intervenções!$K$2:$K$300,AGGREGATE(15,6,(ROW(Intervenções!$K$2:$K$300)-ROW(Intervenções!$K$2)+1)/((Intervenções!$B$2:$B$300=A30)*(Intervenções!$A$2:$A$300=F30)*(Intervenções!$K$2:$K$300&lt;&gt;"")),3)),"")</f>
      </c>
      <c r="AE30" s="4">
        <f>"RECONCILIAÇÃO MEDICAMENTOSA"&amp;CHAR(10)&amp;IF(G30&lt;&gt;"","Medicamentos de uso prévio: "&amp;G30&amp;".","Sem medicamentos de uso prévio relatados.")&amp;CHAR(10)&amp;IF(H30&lt;&gt;"","Histórico de alergia/RAM: "&amp;H30&amp;".","Nega alergias/RAM conhecidas.")</f>
      </c>
      <c r="AF30" s="4">
        <f>AE30&amp;CHAR(10)&amp;CHAR(10)&amp;"1. Evolução Clínica"&amp;CHAR(10)&amp;TEXTJOIN(" ",TRUE,"Paciente "&amp;I30&amp;", "&amp;IF(J30="","sem DVA","em uso de "&amp;J30)&amp;".",IF(K30&lt;&gt;"","Em "&amp;K30&amp;IF(L30&lt;&gt;""," ("&amp;L30&amp;")","")&amp;IF(M30&lt;&gt;"", ", "&amp;M30,"")&amp;IF(N30&lt;&gt;"", ", sob analgosedação com "&amp;N30,"")&amp;".",""),IF(O30&lt;&gt;"",O30&amp;IF(P30&lt;&gt;"", ", com "&amp;LOWER(P30),"")&amp;IF(Q30&lt;&gt;"", " — "&amp;Q30,"")&amp;".",""),IF(R30="Febre","Apresentou episódio febril nas últimas 24h"&amp;IF(S30&lt;&gt;""," ("&amp;S30&amp;")","")&amp;".",IF(R30="Afebril","Encontra-se afebril.","")),IF(T30&lt;&gt;"",IF(U30="Sim","Apresenta disfunção renal aguda ","Função renal preservada ")&amp;"("&amp;T30&amp;").",""),IF(V30&lt;&gt;"","Em uso do esquema antimicrobiano com "&amp;V30&amp;".",""),IF(TEXTJOIN(", ",TRUE,IF(W30&lt;&gt;"","TEV ("&amp;W30&amp;")",""),IF(X30&lt;&gt;"","LAMG ("&amp;X30&amp;")",""),IF(Y30&lt;&gt;"","úlcera de córnea com "&amp;Y30,""))&lt;&gt;"","Em uso de profilaxia: "&amp;TEXTJOIN(", ",TRUE,IF(W30&lt;&gt;"","TEV ("&amp;W30&amp;")",""),IF(X30&lt;&gt;"","LAMG ("&amp;X30&amp;")",""),IF(Y30&lt;&gt;"","úlcera de córnea com "&amp;Y30,""))&amp;".",""))&amp;CHAR(10)&amp;CHAR(10)&amp;"2. Farmacoterapia"&amp;CHAR(10)&amp;IF(Z30&lt;&gt;"","Corticoide/DART: "&amp;Z30,"Sem corticoide/DART registrado.")&amp;CHAR(10)&amp;CHAR(10)&amp;"3. Conduta Farmacêutica"&amp;CHAR(10)&amp;IF(TEXTJOIN(CHAR(10),TRUE,AB30,AC30,AD30)="","Nenhuma intervenção registrada hoje.",TEXTJOIN(CHAR(10),TRUE,AB30,AC30,AD30))&amp;CHAR(10)&amp;CHAR(10)&amp;"4. Plano Terapêutico"&amp;CHAR(10)&amp;IF(AA30&lt;&gt;"",AA30,"Não definido.")</f>
      </c>
    </row>
    <row r="31" spans="1:32" x14ac:dyDescent="0.25">
      <c r="A31" s="4"/>
      <c r="B31" s="6">
        <f>IFERROR(INDEX(Pacientes!$A:$A,MATCH($A31,Pacientes!$B:$B,0)),"")</f>
      </c>
      <c r="C31" s="6">
        <f>IFERROR(INDEX(Pacientes!$C:$C,MATCH($A31,Pacientes!$B:$B,0)),"")</f>
      </c>
      <c r="D31" s="6">
        <f>IFERROR(INDEX(Pacientes!$D:$D,MATCH($A31,Pacientes!$B:$B,0)),"")</f>
      </c>
      <c r="E31" s="6">
        <f>IFERROR(INDEX(Pacientes!$E:$E,MATCH($A31,Pacientes!$B:$B,0)),"")</f>
      </c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>
        <f>IFERROR(INDEX(Intervenções!$K$2:$K$300,AGGREGATE(15,6,(ROW(Intervenções!$K$2:$K$300)-ROW(Intervenções!$K$2)+1)/((Intervenções!$B$2:$B$300=A31)*(Intervenções!$A$2:$A$300=F31)*(Intervenções!$K$2:$K$300&lt;&gt;"")),1)),"")</f>
      </c>
      <c r="AC31" s="4">
        <f>IFERROR(INDEX(Intervenções!$K$2:$K$300,AGGREGATE(15,6,(ROW(Intervenções!$K$2:$K$300)-ROW(Intervenções!$K$2)+1)/((Intervenções!$B$2:$B$300=A31)*(Intervenções!$A$2:$A$300=F31)*(Intervenções!$K$2:$K$300&lt;&gt;"")),2)),"")</f>
      </c>
      <c r="AD31" s="4">
        <f>IFERROR(INDEX(Intervenções!$K$2:$K$300,AGGREGATE(15,6,(ROW(Intervenções!$K$2:$K$300)-ROW(Intervenções!$K$2)+1)/((Intervenções!$B$2:$B$300=A31)*(Intervenções!$A$2:$A$300=F31)*(Intervenções!$K$2:$K$300&lt;&gt;"")),3)),"")</f>
      </c>
      <c r="AE31" s="4">
        <f>"RECONCILIAÇÃO MEDICAMENTOSA"&amp;CHAR(10)&amp;IF(G31&lt;&gt;"","Medicamentos de uso prévio: "&amp;G31&amp;".","Sem medicamentos de uso prévio relatados.")&amp;CHAR(10)&amp;IF(H31&lt;&gt;"","Histórico de alergia/RAM: "&amp;H31&amp;".","Nega alergias/RAM conhecidas.")</f>
      </c>
      <c r="AF31" s="4">
        <f>AE31&amp;CHAR(10)&amp;CHAR(10)&amp;"1. Evolução Clínica"&amp;CHAR(10)&amp;TEXTJOIN(" ",TRUE,"Paciente "&amp;I31&amp;", "&amp;IF(J31="","sem DVA","em uso de "&amp;J31)&amp;".",IF(K31&lt;&gt;"","Em "&amp;K31&amp;IF(L31&lt;&gt;""," ("&amp;L31&amp;")","")&amp;IF(M31&lt;&gt;"", ", "&amp;M31,"")&amp;IF(N31&lt;&gt;"", ", sob analgosedação com "&amp;N31,"")&amp;".",""),IF(O31&lt;&gt;"",O31&amp;IF(P31&lt;&gt;"", ", com "&amp;LOWER(P31),"")&amp;IF(Q31&lt;&gt;"", " — "&amp;Q31,"")&amp;".",""),IF(R31="Febre","Apresentou episódio febril nas últimas 24h"&amp;IF(S31&lt;&gt;""," ("&amp;S31&amp;")","")&amp;".",IF(R31="Afebril","Encontra-se afebril.","")),IF(T31&lt;&gt;"",IF(U31="Sim","Apresenta disfunção renal aguda ","Função renal preservada ")&amp;"("&amp;T31&amp;").",""),IF(V31&lt;&gt;"","Em uso do esquema antimicrobiano com "&amp;V31&amp;".",""),IF(TEXTJOIN(", ",TRUE,IF(W31&lt;&gt;"","TEV ("&amp;W31&amp;")",""),IF(X31&lt;&gt;"","LAMG ("&amp;X31&amp;")",""),IF(Y31&lt;&gt;"","úlcera de córnea com "&amp;Y31,""))&lt;&gt;"","Em uso de profilaxia: "&amp;TEXTJOIN(", ",TRUE,IF(W31&lt;&gt;"","TEV ("&amp;W31&amp;")",""),IF(X31&lt;&gt;"","LAMG ("&amp;X31&amp;")",""),IF(Y31&lt;&gt;"","úlcera de córnea com "&amp;Y31,""))&amp;".",""))&amp;CHAR(10)&amp;CHAR(10)&amp;"2. Farmacoterapia"&amp;CHAR(10)&amp;IF(Z31&lt;&gt;"","Corticoide/DART: "&amp;Z31,"Sem corticoide/DART registrado.")&amp;CHAR(10)&amp;CHAR(10)&amp;"3. Conduta Farmacêutica"&amp;CHAR(10)&amp;IF(TEXTJOIN(CHAR(10),TRUE,AB31,AC31,AD31)="","Nenhuma intervenção registrada hoje.",TEXTJOIN(CHAR(10),TRUE,AB31,AC31,AD31))&amp;CHAR(10)&amp;CHAR(10)&amp;"4. Plano Terapêutico"&amp;CHAR(10)&amp;IF(AA31&lt;&gt;"",AA31,"Não definido.")</f>
      </c>
    </row>
    <row r="32" spans="1:32" x14ac:dyDescent="0.25">
      <c r="A32" s="4"/>
      <c r="B32" s="6">
        <f>IFERROR(INDEX(Pacientes!$A:$A,MATCH($A32,Pacientes!$B:$B,0)),"")</f>
      </c>
      <c r="C32" s="6">
        <f>IFERROR(INDEX(Pacientes!$C:$C,MATCH($A32,Pacientes!$B:$B,0)),"")</f>
      </c>
      <c r="D32" s="6">
        <f>IFERROR(INDEX(Pacientes!$D:$D,MATCH($A32,Pacientes!$B:$B,0)),"")</f>
      </c>
      <c r="E32" s="6">
        <f>IFERROR(INDEX(Pacientes!$E:$E,MATCH($A32,Pacientes!$B:$B,0)),"")</f>
      </c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>
        <f>IFERROR(INDEX(Intervenções!$K$2:$K$300,AGGREGATE(15,6,(ROW(Intervenções!$K$2:$K$300)-ROW(Intervenções!$K$2)+1)/((Intervenções!$B$2:$B$300=A32)*(Intervenções!$A$2:$A$300=F32)*(Intervenções!$K$2:$K$300&lt;&gt;"")),1)),"")</f>
      </c>
      <c r="AC32" s="4">
        <f>IFERROR(INDEX(Intervenções!$K$2:$K$300,AGGREGATE(15,6,(ROW(Intervenções!$K$2:$K$300)-ROW(Intervenções!$K$2)+1)/((Intervenções!$B$2:$B$300=A32)*(Intervenções!$A$2:$A$300=F32)*(Intervenções!$K$2:$K$300&lt;&gt;"")),2)),"")</f>
      </c>
      <c r="AD32" s="4">
        <f>IFERROR(INDEX(Intervenções!$K$2:$K$300,AGGREGATE(15,6,(ROW(Intervenções!$K$2:$K$300)-ROW(Intervenções!$K$2)+1)/((Intervenções!$B$2:$B$300=A32)*(Intervenções!$A$2:$A$300=F32)*(Intervenções!$K$2:$K$300&lt;&gt;"")),3)),"")</f>
      </c>
      <c r="AE32" s="4">
        <f>"RECONCILIAÇÃO MEDICAMENTOSA"&amp;CHAR(10)&amp;IF(G32&lt;&gt;"","Medicamentos de uso prévio: "&amp;G32&amp;".","Sem medicamentos de uso prévio relatados.")&amp;CHAR(10)&amp;IF(H32&lt;&gt;"","Histórico de alergia/RAM: "&amp;H32&amp;".","Nega alergias/RAM conhecidas.")</f>
      </c>
      <c r="AF32" s="4">
        <f>AE32&amp;CHAR(10)&amp;CHAR(10)&amp;"1. Evolução Clínica"&amp;CHAR(10)&amp;TEXTJOIN(" ",TRUE,"Paciente "&amp;I32&amp;", "&amp;IF(J32="","sem DVA","em uso de "&amp;J32)&amp;".",IF(K32&lt;&gt;"","Em "&amp;K32&amp;IF(L32&lt;&gt;""," ("&amp;L32&amp;")","")&amp;IF(M32&lt;&gt;"", ", "&amp;M32,"")&amp;IF(N32&lt;&gt;"", ", sob analgosedação com "&amp;N32,"")&amp;".",""),IF(O32&lt;&gt;"",O32&amp;IF(P32&lt;&gt;"", ", com "&amp;LOWER(P32),"")&amp;IF(Q32&lt;&gt;"", " — "&amp;Q32,"")&amp;".",""),IF(R32="Febre","Apresentou episódio febril nas últimas 24h"&amp;IF(S32&lt;&gt;""," ("&amp;S32&amp;")","")&amp;".",IF(R32="Afebril","Encontra-se afebril.","")),IF(T32&lt;&gt;"",IF(U32="Sim","Apresenta disfunção renal aguda ","Função renal preservada ")&amp;"("&amp;T32&amp;").",""),IF(V32&lt;&gt;"","Em uso do esquema antimicrobiano com "&amp;V32&amp;".",""),IF(TEXTJOIN(", ",TRUE,IF(W32&lt;&gt;"","TEV ("&amp;W32&amp;")",""),IF(X32&lt;&gt;"","LAMG ("&amp;X32&amp;")",""),IF(Y32&lt;&gt;"","úlcera de córnea com "&amp;Y32,""))&lt;&gt;"","Em uso de profilaxia: "&amp;TEXTJOIN(", ",TRUE,IF(W32&lt;&gt;"","TEV ("&amp;W32&amp;")",""),IF(X32&lt;&gt;"","LAMG ("&amp;X32&amp;")",""),IF(Y32&lt;&gt;"","úlcera de córnea com "&amp;Y32,""))&amp;".",""))&amp;CHAR(10)&amp;CHAR(10)&amp;"2. Farmacoterapia"&amp;CHAR(10)&amp;IF(Z32&lt;&gt;"","Corticoide/DART: "&amp;Z32,"Sem corticoide/DART registrado.")&amp;CHAR(10)&amp;CHAR(10)&amp;"3. Conduta Farmacêutica"&amp;CHAR(10)&amp;IF(TEXTJOIN(CHAR(10),TRUE,AB32,AC32,AD32)="","Nenhuma intervenção registrada hoje.",TEXTJOIN(CHAR(10),TRUE,AB32,AC32,AD32))&amp;CHAR(10)&amp;CHAR(10)&amp;"4. Plano Terapêutico"&amp;CHAR(10)&amp;IF(AA32&lt;&gt;"",AA32,"Não definido.")</f>
      </c>
    </row>
    <row r="33" spans="1:32" x14ac:dyDescent="0.25">
      <c r="A33" s="4"/>
      <c r="B33" s="6">
        <f>IFERROR(INDEX(Pacientes!$A:$A,MATCH($A33,Pacientes!$B:$B,0)),"")</f>
      </c>
      <c r="C33" s="6">
        <f>IFERROR(INDEX(Pacientes!$C:$C,MATCH($A33,Pacientes!$B:$B,0)),"")</f>
      </c>
      <c r="D33" s="6">
        <f>IFERROR(INDEX(Pacientes!$D:$D,MATCH($A33,Pacientes!$B:$B,0)),"")</f>
      </c>
      <c r="E33" s="6">
        <f>IFERROR(INDEX(Pacientes!$E:$E,MATCH($A33,Pacientes!$B:$B,0)),"")</f>
      </c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>
        <f>IFERROR(INDEX(Intervenções!$K$2:$K$300,AGGREGATE(15,6,(ROW(Intervenções!$K$2:$K$300)-ROW(Intervenções!$K$2)+1)/((Intervenções!$B$2:$B$300=A33)*(Intervenções!$A$2:$A$300=F33)*(Intervenções!$K$2:$K$300&lt;&gt;"")),1)),"")</f>
      </c>
      <c r="AC33" s="4">
        <f>IFERROR(INDEX(Intervenções!$K$2:$K$300,AGGREGATE(15,6,(ROW(Intervenções!$K$2:$K$300)-ROW(Intervenções!$K$2)+1)/((Intervenções!$B$2:$B$300=A33)*(Intervenções!$A$2:$A$300=F33)*(Intervenções!$K$2:$K$300&lt;&gt;"")),2)),"")</f>
      </c>
      <c r="AD33" s="4">
        <f>IFERROR(INDEX(Intervenções!$K$2:$K$300,AGGREGATE(15,6,(ROW(Intervenções!$K$2:$K$300)-ROW(Intervenções!$K$2)+1)/((Intervenções!$B$2:$B$300=A33)*(Intervenções!$A$2:$A$300=F33)*(Intervenções!$K$2:$K$300&lt;&gt;"")),3)),"")</f>
      </c>
      <c r="AE33" s="4">
        <f>"RECONCILIAÇÃO MEDICAMENTOSA"&amp;CHAR(10)&amp;IF(G33&lt;&gt;"","Medicamentos de uso prévio: "&amp;G33&amp;".","Sem medicamentos de uso prévio relatados.")&amp;CHAR(10)&amp;IF(H33&lt;&gt;"","Histórico de alergia/RAM: "&amp;H33&amp;".","Nega alergias/RAM conhecidas.")</f>
      </c>
      <c r="AF33" s="4">
        <f>AE33&amp;CHAR(10)&amp;CHAR(10)&amp;"1. Evolução Clínica"&amp;CHAR(10)&amp;TEXTJOIN(" ",TRUE,"Paciente "&amp;I33&amp;", "&amp;IF(J33="","sem DVA","em uso de "&amp;J33)&amp;".",IF(K33&lt;&gt;"","Em "&amp;K33&amp;IF(L33&lt;&gt;""," ("&amp;L33&amp;")","")&amp;IF(M33&lt;&gt;"", ", "&amp;M33,"")&amp;IF(N33&lt;&gt;"", ", sob analgosedação com "&amp;N33,"")&amp;".",""),IF(O33&lt;&gt;"",O33&amp;IF(P33&lt;&gt;"", ", com "&amp;LOWER(P33),"")&amp;IF(Q33&lt;&gt;"", " — "&amp;Q33,"")&amp;".",""),IF(R33="Febre","Apresentou episódio febril nas últimas 24h"&amp;IF(S33&lt;&gt;""," ("&amp;S33&amp;")","")&amp;".",IF(R33="Afebril","Encontra-se afebril.","")),IF(T33&lt;&gt;"",IF(U33="Sim","Apresenta disfunção renal aguda ","Função renal preservada ")&amp;"("&amp;T33&amp;").",""),IF(V33&lt;&gt;"","Em uso do esquema antimicrobiano com "&amp;V33&amp;".",""),IF(TEXTJOIN(", ",TRUE,IF(W33&lt;&gt;"","TEV ("&amp;W33&amp;")",""),IF(X33&lt;&gt;"","LAMG ("&amp;X33&amp;")",""),IF(Y33&lt;&gt;"","úlcera de córnea com "&amp;Y33,""))&lt;&gt;"","Em uso de profilaxia: "&amp;TEXTJOIN(", ",TRUE,IF(W33&lt;&gt;"","TEV ("&amp;W33&amp;")",""),IF(X33&lt;&gt;"","LAMG ("&amp;X33&amp;")",""),IF(Y33&lt;&gt;"","úlcera de córnea com "&amp;Y33,""))&amp;".",""))&amp;CHAR(10)&amp;CHAR(10)&amp;"2. Farmacoterapia"&amp;CHAR(10)&amp;IF(Z33&lt;&gt;"","Corticoide/DART: "&amp;Z33,"Sem corticoide/DART registrado.")&amp;CHAR(10)&amp;CHAR(10)&amp;"3. Conduta Farmacêutica"&amp;CHAR(10)&amp;IF(TEXTJOIN(CHAR(10),TRUE,AB33,AC33,AD33)="","Nenhuma intervenção registrada hoje.",TEXTJOIN(CHAR(10),TRUE,AB33,AC33,AD33))&amp;CHAR(10)&amp;CHAR(10)&amp;"4. Plano Terapêutico"&amp;CHAR(10)&amp;IF(AA33&lt;&gt;"",AA33,"Não definido.")</f>
      </c>
    </row>
    <row r="34" spans="1:32" x14ac:dyDescent="0.25">
      <c r="A34" s="4"/>
      <c r="B34" s="6">
        <f>IFERROR(INDEX(Pacientes!$A:$A,MATCH($A34,Pacientes!$B:$B,0)),"")</f>
      </c>
      <c r="C34" s="6">
        <f>IFERROR(INDEX(Pacientes!$C:$C,MATCH($A34,Pacientes!$B:$B,0)),"")</f>
      </c>
      <c r="D34" s="6">
        <f>IFERROR(INDEX(Pacientes!$D:$D,MATCH($A34,Pacientes!$B:$B,0)),"")</f>
      </c>
      <c r="E34" s="6">
        <f>IFERROR(INDEX(Pacientes!$E:$E,MATCH($A34,Pacientes!$B:$B,0)),"")</f>
      </c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>
        <f>IFERROR(INDEX(Intervenções!$K$2:$K$300,AGGREGATE(15,6,(ROW(Intervenções!$K$2:$K$300)-ROW(Intervenções!$K$2)+1)/((Intervenções!$B$2:$B$300=A34)*(Intervenções!$A$2:$A$300=F34)*(Intervenções!$K$2:$K$300&lt;&gt;"")),1)),"")</f>
      </c>
      <c r="AC34" s="4">
        <f>IFERROR(INDEX(Intervenções!$K$2:$K$300,AGGREGATE(15,6,(ROW(Intervenções!$K$2:$K$300)-ROW(Intervenções!$K$2)+1)/((Intervenções!$B$2:$B$300=A34)*(Intervenções!$A$2:$A$300=F34)*(Intervenções!$K$2:$K$300&lt;&gt;"")),2)),"")</f>
      </c>
      <c r="AD34" s="4">
        <f>IFERROR(INDEX(Intervenções!$K$2:$K$300,AGGREGATE(15,6,(ROW(Intervenções!$K$2:$K$300)-ROW(Intervenções!$K$2)+1)/((Intervenções!$B$2:$B$300=A34)*(Intervenções!$A$2:$A$300=F34)*(Intervenções!$K$2:$K$300&lt;&gt;"")),3)),"")</f>
      </c>
      <c r="AE34" s="4">
        <f>"RECONCILIAÇÃO MEDICAMENTOSA"&amp;CHAR(10)&amp;IF(G34&lt;&gt;"","Medicamentos de uso prévio: "&amp;G34&amp;".","Sem medicamentos de uso prévio relatados.")&amp;CHAR(10)&amp;IF(H34&lt;&gt;"","Histórico de alergia/RAM: "&amp;H34&amp;".","Nega alergias/RAM conhecidas.")</f>
      </c>
      <c r="AF34" s="4">
        <f>AE34&amp;CHAR(10)&amp;CHAR(10)&amp;"1. Evolução Clínica"&amp;CHAR(10)&amp;TEXTJOIN(" ",TRUE,"Paciente "&amp;I34&amp;", "&amp;IF(J34="","sem DVA","em uso de "&amp;J34)&amp;".",IF(K34&lt;&gt;"","Em "&amp;K34&amp;IF(L34&lt;&gt;""," ("&amp;L34&amp;")","")&amp;IF(M34&lt;&gt;"", ", "&amp;M34,"")&amp;IF(N34&lt;&gt;"", ", sob analgosedação com "&amp;N34,"")&amp;".",""),IF(O34&lt;&gt;"",O34&amp;IF(P34&lt;&gt;"", ", com "&amp;LOWER(P34),"")&amp;IF(Q34&lt;&gt;"", " — "&amp;Q34,"")&amp;".",""),IF(R34="Febre","Apresentou episódio febril nas últimas 24h"&amp;IF(S34&lt;&gt;""," ("&amp;S34&amp;")","")&amp;".",IF(R34="Afebril","Encontra-se afebril.","")),IF(T34&lt;&gt;"",IF(U34="Sim","Apresenta disfunção renal aguda ","Função renal preservada ")&amp;"("&amp;T34&amp;").",""),IF(V34&lt;&gt;"","Em uso do esquema antimicrobiano com "&amp;V34&amp;".",""),IF(TEXTJOIN(", ",TRUE,IF(W34&lt;&gt;"","TEV ("&amp;W34&amp;")",""),IF(X34&lt;&gt;"","LAMG ("&amp;X34&amp;")",""),IF(Y34&lt;&gt;"","úlcera de córnea com "&amp;Y34,""))&lt;&gt;"","Em uso de profilaxia: "&amp;TEXTJOIN(", ",TRUE,IF(W34&lt;&gt;"","TEV ("&amp;W34&amp;")",""),IF(X34&lt;&gt;"","LAMG ("&amp;X34&amp;")",""),IF(Y34&lt;&gt;"","úlcera de córnea com "&amp;Y34,""))&amp;".",""))&amp;CHAR(10)&amp;CHAR(10)&amp;"2. Farmacoterapia"&amp;CHAR(10)&amp;IF(Z34&lt;&gt;"","Corticoide/DART: "&amp;Z34,"Sem corticoide/DART registrado.")&amp;CHAR(10)&amp;CHAR(10)&amp;"3. Conduta Farmacêutica"&amp;CHAR(10)&amp;IF(TEXTJOIN(CHAR(10),TRUE,AB34,AC34,AD34)="","Nenhuma intervenção registrada hoje.",TEXTJOIN(CHAR(10),TRUE,AB34,AC34,AD34))&amp;CHAR(10)&amp;CHAR(10)&amp;"4. Plano Terapêutico"&amp;CHAR(10)&amp;IF(AA34&lt;&gt;"",AA34,"Não definido.")</f>
      </c>
    </row>
    <row r="35" spans="1:32" x14ac:dyDescent="0.25">
      <c r="A35" s="4"/>
      <c r="B35" s="6">
        <f>IFERROR(INDEX(Pacientes!$A:$A,MATCH($A35,Pacientes!$B:$B,0)),"")</f>
      </c>
      <c r="C35" s="6">
        <f>IFERROR(INDEX(Pacientes!$C:$C,MATCH($A35,Pacientes!$B:$B,0)),"")</f>
      </c>
      <c r="D35" s="6">
        <f>IFERROR(INDEX(Pacientes!$D:$D,MATCH($A35,Pacientes!$B:$B,0)),"")</f>
      </c>
      <c r="E35" s="6">
        <f>IFERROR(INDEX(Pacientes!$E:$E,MATCH($A35,Pacientes!$B:$B,0)),"")</f>
      </c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>
        <f>IFERROR(INDEX(Intervenções!$K$2:$K$300,AGGREGATE(15,6,(ROW(Intervenções!$K$2:$K$300)-ROW(Intervenções!$K$2)+1)/((Intervenções!$B$2:$B$300=A35)*(Intervenções!$A$2:$A$300=F35)*(Intervenções!$K$2:$K$300&lt;&gt;"")),1)),"")</f>
      </c>
      <c r="AC35" s="4">
        <f>IFERROR(INDEX(Intervenções!$K$2:$K$300,AGGREGATE(15,6,(ROW(Intervenções!$K$2:$K$300)-ROW(Intervenções!$K$2)+1)/((Intervenções!$B$2:$B$300=A35)*(Intervenções!$A$2:$A$300=F35)*(Intervenções!$K$2:$K$300&lt;&gt;"")),2)),"")</f>
      </c>
      <c r="AD35" s="4">
        <f>IFERROR(INDEX(Intervenções!$K$2:$K$300,AGGREGATE(15,6,(ROW(Intervenções!$K$2:$K$300)-ROW(Intervenções!$K$2)+1)/((Intervenções!$B$2:$B$300=A35)*(Intervenções!$A$2:$A$300=F35)*(Intervenções!$K$2:$K$300&lt;&gt;"")),3)),"")</f>
      </c>
      <c r="AE35" s="4">
        <f>"RECONCILIAÇÃO MEDICAMENTOSA"&amp;CHAR(10)&amp;IF(G35&lt;&gt;"","Medicamentos de uso prévio: "&amp;G35&amp;".","Sem medicamentos de uso prévio relatados.")&amp;CHAR(10)&amp;IF(H35&lt;&gt;"","Histórico de alergia/RAM: "&amp;H35&amp;".","Nega alergias/RAM conhecidas.")</f>
      </c>
      <c r="AF35" s="4">
        <f>AE35&amp;CHAR(10)&amp;CHAR(10)&amp;"1. Evolução Clínica"&amp;CHAR(10)&amp;TEXTJOIN(" ",TRUE,"Paciente "&amp;I35&amp;", "&amp;IF(J35="","sem DVA","em uso de "&amp;J35)&amp;".",IF(K35&lt;&gt;"","Em "&amp;K35&amp;IF(L35&lt;&gt;""," ("&amp;L35&amp;")","")&amp;IF(M35&lt;&gt;"", ", "&amp;M35,"")&amp;IF(N35&lt;&gt;"", ", sob analgosedação com "&amp;N35,"")&amp;".",""),IF(O35&lt;&gt;"",O35&amp;IF(P35&lt;&gt;"", ", com "&amp;LOWER(P35),"")&amp;IF(Q35&lt;&gt;"", " — "&amp;Q35,"")&amp;".",""),IF(R35="Febre","Apresentou episódio febril nas últimas 24h"&amp;IF(S35&lt;&gt;""," ("&amp;S35&amp;")","")&amp;".",IF(R35="Afebril","Encontra-se afebril.","")),IF(T35&lt;&gt;"",IF(U35="Sim","Apresenta disfunção renal aguda ","Função renal preservada ")&amp;"("&amp;T35&amp;").",""),IF(V35&lt;&gt;"","Em uso do esquema antimicrobiano com "&amp;V35&amp;".",""),IF(TEXTJOIN(", ",TRUE,IF(W35&lt;&gt;"","TEV ("&amp;W35&amp;")",""),IF(X35&lt;&gt;"","LAMG ("&amp;X35&amp;")",""),IF(Y35&lt;&gt;"","úlcera de córnea com "&amp;Y35,""))&lt;&gt;"","Em uso de profilaxia: "&amp;TEXTJOIN(", ",TRUE,IF(W35&lt;&gt;"","TEV ("&amp;W35&amp;")",""),IF(X35&lt;&gt;"","LAMG ("&amp;X35&amp;")",""),IF(Y35&lt;&gt;"","úlcera de córnea com "&amp;Y35,""))&amp;".",""))&amp;CHAR(10)&amp;CHAR(10)&amp;"2. Farmacoterapia"&amp;CHAR(10)&amp;IF(Z35&lt;&gt;"","Corticoide/DART: "&amp;Z35,"Sem corticoide/DART registrado.")&amp;CHAR(10)&amp;CHAR(10)&amp;"3. Conduta Farmacêutica"&amp;CHAR(10)&amp;IF(TEXTJOIN(CHAR(10),TRUE,AB35,AC35,AD35)="","Nenhuma intervenção registrada hoje.",TEXTJOIN(CHAR(10),TRUE,AB35,AC35,AD35))&amp;CHAR(10)&amp;CHAR(10)&amp;"4. Plano Terapêutico"&amp;CHAR(10)&amp;IF(AA35&lt;&gt;"",AA35,"Não definido.")</f>
      </c>
    </row>
    <row r="36" spans="1:32" x14ac:dyDescent="0.25">
      <c r="A36" s="4"/>
      <c r="B36" s="6">
        <f>IFERROR(INDEX(Pacientes!$A:$A,MATCH($A36,Pacientes!$B:$B,0)),"")</f>
      </c>
      <c r="C36" s="6">
        <f>IFERROR(INDEX(Pacientes!$C:$C,MATCH($A36,Pacientes!$B:$B,0)),"")</f>
      </c>
      <c r="D36" s="6">
        <f>IFERROR(INDEX(Pacientes!$D:$D,MATCH($A36,Pacientes!$B:$B,0)),"")</f>
      </c>
      <c r="E36" s="6">
        <f>IFERROR(INDEX(Pacientes!$E:$E,MATCH($A36,Pacientes!$B:$B,0)),"")</f>
      </c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>
        <f>IFERROR(INDEX(Intervenções!$K$2:$K$300,AGGREGATE(15,6,(ROW(Intervenções!$K$2:$K$300)-ROW(Intervenções!$K$2)+1)/((Intervenções!$B$2:$B$300=A36)*(Intervenções!$A$2:$A$300=F36)*(Intervenções!$K$2:$K$300&lt;&gt;"")),1)),"")</f>
      </c>
      <c r="AC36" s="4">
        <f>IFERROR(INDEX(Intervenções!$K$2:$K$300,AGGREGATE(15,6,(ROW(Intervenções!$K$2:$K$300)-ROW(Intervenções!$K$2)+1)/((Intervenções!$B$2:$B$300=A36)*(Intervenções!$A$2:$A$300=F36)*(Intervenções!$K$2:$K$300&lt;&gt;"")),2)),"")</f>
      </c>
      <c r="AD36" s="4">
        <f>IFERROR(INDEX(Intervenções!$K$2:$K$300,AGGREGATE(15,6,(ROW(Intervenções!$K$2:$K$300)-ROW(Intervenções!$K$2)+1)/((Intervenções!$B$2:$B$300=A36)*(Intervenções!$A$2:$A$300=F36)*(Intervenções!$K$2:$K$300&lt;&gt;"")),3)),"")</f>
      </c>
      <c r="AE36" s="4">
        <f>"RECONCILIAÇÃO MEDICAMENTOSA"&amp;CHAR(10)&amp;IF(G36&lt;&gt;"","Medicamentos de uso prévio: "&amp;G36&amp;".","Sem medicamentos de uso prévio relatados.")&amp;CHAR(10)&amp;IF(H36&lt;&gt;"","Histórico de alergia/RAM: "&amp;H36&amp;".","Nega alergias/RAM conhecidas.")</f>
      </c>
      <c r="AF36" s="4">
        <f>AE36&amp;CHAR(10)&amp;CHAR(10)&amp;"1. Evolução Clínica"&amp;CHAR(10)&amp;TEXTJOIN(" ",TRUE,"Paciente "&amp;I36&amp;", "&amp;IF(J36="","sem DVA","em uso de "&amp;J36)&amp;".",IF(K36&lt;&gt;"","Em "&amp;K36&amp;IF(L36&lt;&gt;""," ("&amp;L36&amp;")","")&amp;IF(M36&lt;&gt;"", ", "&amp;M36,"")&amp;IF(N36&lt;&gt;"", ", sob analgosedação com "&amp;N36,"")&amp;".",""),IF(O36&lt;&gt;"",O36&amp;IF(P36&lt;&gt;"", ", com "&amp;LOWER(P36),"")&amp;IF(Q36&lt;&gt;"", " — "&amp;Q36,"")&amp;".",""),IF(R36="Febre","Apresentou episódio febril nas últimas 24h"&amp;IF(S36&lt;&gt;""," ("&amp;S36&amp;")","")&amp;".",IF(R36="Afebril","Encontra-se afebril.","")),IF(T36&lt;&gt;"",IF(U36="Sim","Apresenta disfunção renal aguda ","Função renal preservada ")&amp;"("&amp;T36&amp;").",""),IF(V36&lt;&gt;"","Em uso do esquema antimicrobiano com "&amp;V36&amp;".",""),IF(TEXTJOIN(", ",TRUE,IF(W36&lt;&gt;"","TEV ("&amp;W36&amp;")",""),IF(X36&lt;&gt;"","LAMG ("&amp;X36&amp;")",""),IF(Y36&lt;&gt;"","úlcera de córnea com "&amp;Y36,""))&lt;&gt;"","Em uso de profilaxia: "&amp;TEXTJOIN(", ",TRUE,IF(W36&lt;&gt;"","TEV ("&amp;W36&amp;")",""),IF(X36&lt;&gt;"","LAMG ("&amp;X36&amp;")",""),IF(Y36&lt;&gt;"","úlcera de córnea com "&amp;Y36,""))&amp;".",""))&amp;CHAR(10)&amp;CHAR(10)&amp;"2. Farmacoterapia"&amp;CHAR(10)&amp;IF(Z36&lt;&gt;"","Corticoide/DART: "&amp;Z36,"Sem corticoide/DART registrado.")&amp;CHAR(10)&amp;CHAR(10)&amp;"3. Conduta Farmacêutica"&amp;CHAR(10)&amp;IF(TEXTJOIN(CHAR(10),TRUE,AB36,AC36,AD36)="","Nenhuma intervenção registrada hoje.",TEXTJOIN(CHAR(10),TRUE,AB36,AC36,AD36))&amp;CHAR(10)&amp;CHAR(10)&amp;"4. Plano Terapêutico"&amp;CHAR(10)&amp;IF(AA36&lt;&gt;"",AA36,"Não definido.")</f>
      </c>
    </row>
    <row r="37" spans="1:32" x14ac:dyDescent="0.25">
      <c r="A37" s="4"/>
      <c r="B37" s="6">
        <f>IFERROR(INDEX(Pacientes!$A:$A,MATCH($A37,Pacientes!$B:$B,0)),"")</f>
      </c>
      <c r="C37" s="6">
        <f>IFERROR(INDEX(Pacientes!$C:$C,MATCH($A37,Pacientes!$B:$B,0)),"")</f>
      </c>
      <c r="D37" s="6">
        <f>IFERROR(INDEX(Pacientes!$D:$D,MATCH($A37,Pacientes!$B:$B,0)),"")</f>
      </c>
      <c r="E37" s="6">
        <f>IFERROR(INDEX(Pacientes!$E:$E,MATCH($A37,Pacientes!$B:$B,0)),"")</f>
      </c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>
        <f>IFERROR(INDEX(Intervenções!$K$2:$K$300,AGGREGATE(15,6,(ROW(Intervenções!$K$2:$K$300)-ROW(Intervenções!$K$2)+1)/((Intervenções!$B$2:$B$300=A37)*(Intervenções!$A$2:$A$300=F37)*(Intervenções!$K$2:$K$300&lt;&gt;"")),1)),"")</f>
      </c>
      <c r="AC37" s="4">
        <f>IFERROR(INDEX(Intervenções!$K$2:$K$300,AGGREGATE(15,6,(ROW(Intervenções!$K$2:$K$300)-ROW(Intervenções!$K$2)+1)/((Intervenções!$B$2:$B$300=A37)*(Intervenções!$A$2:$A$300=F37)*(Intervenções!$K$2:$K$300&lt;&gt;"")),2)),"")</f>
      </c>
      <c r="AD37" s="4">
        <f>IFERROR(INDEX(Intervenções!$K$2:$K$300,AGGREGATE(15,6,(ROW(Intervenções!$K$2:$K$300)-ROW(Intervenções!$K$2)+1)/((Intervenções!$B$2:$B$300=A37)*(Intervenções!$A$2:$A$300=F37)*(Intervenções!$K$2:$K$300&lt;&gt;"")),3)),"")</f>
      </c>
      <c r="AE37" s="4">
        <f>"RECONCILIAÇÃO MEDICAMENTOSA"&amp;CHAR(10)&amp;IF(G37&lt;&gt;"","Medicamentos de uso prévio: "&amp;G37&amp;".","Sem medicamentos de uso prévio relatados.")&amp;CHAR(10)&amp;IF(H37&lt;&gt;"","Histórico de alergia/RAM: "&amp;H37&amp;".","Nega alergias/RAM conhecidas.")</f>
      </c>
      <c r="AF37" s="4">
        <f>AE37&amp;CHAR(10)&amp;CHAR(10)&amp;"1. Evolução Clínica"&amp;CHAR(10)&amp;TEXTJOIN(" ",TRUE,"Paciente "&amp;I37&amp;", "&amp;IF(J37="","sem DVA","em uso de "&amp;J37)&amp;".",IF(K37&lt;&gt;"","Em "&amp;K37&amp;IF(L37&lt;&gt;""," ("&amp;L37&amp;")","")&amp;IF(M37&lt;&gt;"", ", "&amp;M37,"")&amp;IF(N37&lt;&gt;"", ", sob analgosedação com "&amp;N37,"")&amp;".",""),IF(O37&lt;&gt;"",O37&amp;IF(P37&lt;&gt;"", ", com "&amp;LOWER(P37),"")&amp;IF(Q37&lt;&gt;"", " — "&amp;Q37,"")&amp;".",""),IF(R37="Febre","Apresentou episódio febril nas últimas 24h"&amp;IF(S37&lt;&gt;""," ("&amp;S37&amp;")","")&amp;".",IF(R37="Afebril","Encontra-se afebril.","")),IF(T37&lt;&gt;"",IF(U37="Sim","Apresenta disfunção renal aguda ","Função renal preservada ")&amp;"("&amp;T37&amp;").",""),IF(V37&lt;&gt;"","Em uso do esquema antimicrobiano com "&amp;V37&amp;".",""),IF(TEXTJOIN(", ",TRUE,IF(W37&lt;&gt;"","TEV ("&amp;W37&amp;")",""),IF(X37&lt;&gt;"","LAMG ("&amp;X37&amp;")",""),IF(Y37&lt;&gt;"","úlcera de córnea com "&amp;Y37,""))&lt;&gt;"","Em uso de profilaxia: "&amp;TEXTJOIN(", ",TRUE,IF(W37&lt;&gt;"","TEV ("&amp;W37&amp;")",""),IF(X37&lt;&gt;"","LAMG ("&amp;X37&amp;")",""),IF(Y37&lt;&gt;"","úlcera de córnea com "&amp;Y37,""))&amp;".",""))&amp;CHAR(10)&amp;CHAR(10)&amp;"2. Farmacoterapia"&amp;CHAR(10)&amp;IF(Z37&lt;&gt;"","Corticoide/DART: "&amp;Z37,"Sem corticoide/DART registrado.")&amp;CHAR(10)&amp;CHAR(10)&amp;"3. Conduta Farmacêutica"&amp;CHAR(10)&amp;IF(TEXTJOIN(CHAR(10),TRUE,AB37,AC37,AD37)="","Nenhuma intervenção registrada hoje.",TEXTJOIN(CHAR(10),TRUE,AB37,AC37,AD37))&amp;CHAR(10)&amp;CHAR(10)&amp;"4. Plano Terapêutico"&amp;CHAR(10)&amp;IF(AA37&lt;&gt;"",AA37,"Não definido.")</f>
      </c>
    </row>
    <row r="38" spans="1:32" x14ac:dyDescent="0.25">
      <c r="A38" s="4"/>
      <c r="B38" s="6">
        <f>IFERROR(INDEX(Pacientes!$A:$A,MATCH($A38,Pacientes!$B:$B,0)),"")</f>
      </c>
      <c r="C38" s="6">
        <f>IFERROR(INDEX(Pacientes!$C:$C,MATCH($A38,Pacientes!$B:$B,0)),"")</f>
      </c>
      <c r="D38" s="6">
        <f>IFERROR(INDEX(Pacientes!$D:$D,MATCH($A38,Pacientes!$B:$B,0)),"")</f>
      </c>
      <c r="E38" s="6">
        <f>IFERROR(INDEX(Pacientes!$E:$E,MATCH($A38,Pacientes!$B:$B,0)),"")</f>
      </c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>
        <f>IFERROR(INDEX(Intervenções!$K$2:$K$300,AGGREGATE(15,6,(ROW(Intervenções!$K$2:$K$300)-ROW(Intervenções!$K$2)+1)/((Intervenções!$B$2:$B$300=A38)*(Intervenções!$A$2:$A$300=F38)*(Intervenções!$K$2:$K$300&lt;&gt;"")),1)),"")</f>
      </c>
      <c r="AC38" s="4">
        <f>IFERROR(INDEX(Intervenções!$K$2:$K$300,AGGREGATE(15,6,(ROW(Intervenções!$K$2:$K$300)-ROW(Intervenções!$K$2)+1)/((Intervenções!$B$2:$B$300=A38)*(Intervenções!$A$2:$A$300=F38)*(Intervenções!$K$2:$K$300&lt;&gt;"")),2)),"")</f>
      </c>
      <c r="AD38" s="4">
        <f>IFERROR(INDEX(Intervenções!$K$2:$K$300,AGGREGATE(15,6,(ROW(Intervenções!$K$2:$K$300)-ROW(Intervenções!$K$2)+1)/((Intervenções!$B$2:$B$300=A38)*(Intervenções!$A$2:$A$300=F38)*(Intervenções!$K$2:$K$300&lt;&gt;"")),3)),"")</f>
      </c>
      <c r="AE38" s="4">
        <f>"RECONCILIAÇÃO MEDICAMENTOSA"&amp;CHAR(10)&amp;IF(G38&lt;&gt;"","Medicamentos de uso prévio: "&amp;G38&amp;".","Sem medicamentos de uso prévio relatados.")&amp;CHAR(10)&amp;IF(H38&lt;&gt;"","Histórico de alergia/RAM: "&amp;H38&amp;".","Nega alergias/RAM conhecidas.")</f>
      </c>
      <c r="AF38" s="4">
        <f>AE38&amp;CHAR(10)&amp;CHAR(10)&amp;"1. Evolução Clínica"&amp;CHAR(10)&amp;TEXTJOIN(" ",TRUE,"Paciente "&amp;I38&amp;", "&amp;IF(J38="","sem DVA","em uso de "&amp;J38)&amp;".",IF(K38&lt;&gt;"","Em "&amp;K38&amp;IF(L38&lt;&gt;""," ("&amp;L38&amp;")","")&amp;IF(M38&lt;&gt;"", ", "&amp;M38,"")&amp;IF(N38&lt;&gt;"", ", sob analgosedação com "&amp;N38,"")&amp;".",""),IF(O38&lt;&gt;"",O38&amp;IF(P38&lt;&gt;"", ", com "&amp;LOWER(P38),"")&amp;IF(Q38&lt;&gt;"", " — "&amp;Q38,"")&amp;".",""),IF(R38="Febre","Apresentou episódio febril nas últimas 24h"&amp;IF(S38&lt;&gt;""," ("&amp;S38&amp;")","")&amp;".",IF(R38="Afebril","Encontra-se afebril.","")),IF(T38&lt;&gt;"",IF(U38="Sim","Apresenta disfunção renal aguda ","Função renal preservada ")&amp;"("&amp;T38&amp;").",""),IF(V38&lt;&gt;"","Em uso do esquema antimicrobiano com "&amp;V38&amp;".",""),IF(TEXTJOIN(", ",TRUE,IF(W38&lt;&gt;"","TEV ("&amp;W38&amp;")",""),IF(X38&lt;&gt;"","LAMG ("&amp;X38&amp;")",""),IF(Y38&lt;&gt;"","úlcera de córnea com "&amp;Y38,""))&lt;&gt;"","Em uso de profilaxia: "&amp;TEXTJOIN(", ",TRUE,IF(W38&lt;&gt;"","TEV ("&amp;W38&amp;")",""),IF(X38&lt;&gt;"","LAMG ("&amp;X38&amp;")",""),IF(Y38&lt;&gt;"","úlcera de córnea com "&amp;Y38,""))&amp;".",""))&amp;CHAR(10)&amp;CHAR(10)&amp;"2. Farmacoterapia"&amp;CHAR(10)&amp;IF(Z38&lt;&gt;"","Corticoide/DART: "&amp;Z38,"Sem corticoide/DART registrado.")&amp;CHAR(10)&amp;CHAR(10)&amp;"3. Conduta Farmacêutica"&amp;CHAR(10)&amp;IF(TEXTJOIN(CHAR(10),TRUE,AB38,AC38,AD38)="","Nenhuma intervenção registrada hoje.",TEXTJOIN(CHAR(10),TRUE,AB38,AC38,AD38))&amp;CHAR(10)&amp;CHAR(10)&amp;"4. Plano Terapêutico"&amp;CHAR(10)&amp;IF(AA38&lt;&gt;"",AA38,"Não definido.")</f>
      </c>
    </row>
    <row r="39" spans="1:32" x14ac:dyDescent="0.25">
      <c r="A39" s="4"/>
      <c r="B39" s="6">
        <f>IFERROR(INDEX(Pacientes!$A:$A,MATCH($A39,Pacientes!$B:$B,0)),"")</f>
      </c>
      <c r="C39" s="6">
        <f>IFERROR(INDEX(Pacientes!$C:$C,MATCH($A39,Pacientes!$B:$B,0)),"")</f>
      </c>
      <c r="D39" s="6">
        <f>IFERROR(INDEX(Pacientes!$D:$D,MATCH($A39,Pacientes!$B:$B,0)),"")</f>
      </c>
      <c r="E39" s="6">
        <f>IFERROR(INDEX(Pacientes!$E:$E,MATCH($A39,Pacientes!$B:$B,0)),"")</f>
      </c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>
        <f>IFERROR(INDEX(Intervenções!$K$2:$K$300,AGGREGATE(15,6,(ROW(Intervenções!$K$2:$K$300)-ROW(Intervenções!$K$2)+1)/((Intervenções!$B$2:$B$300=A39)*(Intervenções!$A$2:$A$300=F39)*(Intervenções!$K$2:$K$300&lt;&gt;"")),1)),"")</f>
      </c>
      <c r="AC39" s="4">
        <f>IFERROR(INDEX(Intervenções!$K$2:$K$300,AGGREGATE(15,6,(ROW(Intervenções!$K$2:$K$300)-ROW(Intervenções!$K$2)+1)/((Intervenções!$B$2:$B$300=A39)*(Intervenções!$A$2:$A$300=F39)*(Intervenções!$K$2:$K$300&lt;&gt;"")),2)),"")</f>
      </c>
      <c r="AD39" s="4">
        <f>IFERROR(INDEX(Intervenções!$K$2:$K$300,AGGREGATE(15,6,(ROW(Intervenções!$K$2:$K$300)-ROW(Intervenções!$K$2)+1)/((Intervenções!$B$2:$B$300=A39)*(Intervenções!$A$2:$A$300=F39)*(Intervenções!$K$2:$K$300&lt;&gt;"")),3)),"")</f>
      </c>
      <c r="AE39" s="4">
        <f>"RECONCILIAÇÃO MEDICAMENTOSA"&amp;CHAR(10)&amp;IF(G39&lt;&gt;"","Medicamentos de uso prévio: "&amp;G39&amp;".","Sem medicamentos de uso prévio relatados.")&amp;CHAR(10)&amp;IF(H39&lt;&gt;"","Histórico de alergia/RAM: "&amp;H39&amp;".","Nega alergias/RAM conhecidas.")</f>
      </c>
      <c r="AF39" s="4">
        <f>AE39&amp;CHAR(10)&amp;CHAR(10)&amp;"1. Evolução Clínica"&amp;CHAR(10)&amp;TEXTJOIN(" ",TRUE,"Paciente "&amp;I39&amp;", "&amp;IF(J39="","sem DVA","em uso de "&amp;J39)&amp;".",IF(K39&lt;&gt;"","Em "&amp;K39&amp;IF(L39&lt;&gt;""," ("&amp;L39&amp;")","")&amp;IF(M39&lt;&gt;"", ", "&amp;M39,"")&amp;IF(N39&lt;&gt;"", ", sob analgosedação com "&amp;N39,"")&amp;".",""),IF(O39&lt;&gt;"",O39&amp;IF(P39&lt;&gt;"", ", com "&amp;LOWER(P39),"")&amp;IF(Q39&lt;&gt;"", " — "&amp;Q39,"")&amp;".",""),IF(R39="Febre","Apresentou episódio febril nas últimas 24h"&amp;IF(S39&lt;&gt;""," ("&amp;S39&amp;")","")&amp;".",IF(R39="Afebril","Encontra-se afebril.","")),IF(T39&lt;&gt;"",IF(U39="Sim","Apresenta disfunção renal aguda ","Função renal preservada ")&amp;"("&amp;T39&amp;").",""),IF(V39&lt;&gt;"","Em uso do esquema antimicrobiano com "&amp;V39&amp;".",""),IF(TEXTJOIN(", ",TRUE,IF(W39&lt;&gt;"","TEV ("&amp;W39&amp;")",""),IF(X39&lt;&gt;"","LAMG ("&amp;X39&amp;")",""),IF(Y39&lt;&gt;"","úlcera de córnea com "&amp;Y39,""))&lt;&gt;"","Em uso de profilaxia: "&amp;TEXTJOIN(", ",TRUE,IF(W39&lt;&gt;"","TEV ("&amp;W39&amp;")",""),IF(X39&lt;&gt;"","LAMG ("&amp;X39&amp;")",""),IF(Y39&lt;&gt;"","úlcera de córnea com "&amp;Y39,""))&amp;".",""))&amp;CHAR(10)&amp;CHAR(10)&amp;"2. Farmacoterapia"&amp;CHAR(10)&amp;IF(Z39&lt;&gt;"","Corticoide/DART: "&amp;Z39,"Sem corticoide/DART registrado.")&amp;CHAR(10)&amp;CHAR(10)&amp;"3. Conduta Farmacêutica"&amp;CHAR(10)&amp;IF(TEXTJOIN(CHAR(10),TRUE,AB39,AC39,AD39)="","Nenhuma intervenção registrada hoje.",TEXTJOIN(CHAR(10),TRUE,AB39,AC39,AD39))&amp;CHAR(10)&amp;CHAR(10)&amp;"4. Plano Terapêutico"&amp;CHAR(10)&amp;IF(AA39&lt;&gt;"",AA39,"Não definido.")</f>
      </c>
    </row>
    <row r="40" spans="1:32" x14ac:dyDescent="0.25">
      <c r="A40" s="4"/>
      <c r="B40" s="6">
        <f>IFERROR(INDEX(Pacientes!$A:$A,MATCH($A40,Pacientes!$B:$B,0)),"")</f>
      </c>
      <c r="C40" s="6">
        <f>IFERROR(INDEX(Pacientes!$C:$C,MATCH($A40,Pacientes!$B:$B,0)),"")</f>
      </c>
      <c r="D40" s="6">
        <f>IFERROR(INDEX(Pacientes!$D:$D,MATCH($A40,Pacientes!$B:$B,0)),"")</f>
      </c>
      <c r="E40" s="6">
        <f>IFERROR(INDEX(Pacientes!$E:$E,MATCH($A40,Pacientes!$B:$B,0)),"")</f>
      </c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>
        <f>IFERROR(INDEX(Intervenções!$K$2:$K$300,AGGREGATE(15,6,(ROW(Intervenções!$K$2:$K$300)-ROW(Intervenções!$K$2)+1)/((Intervenções!$B$2:$B$300=A40)*(Intervenções!$A$2:$A$300=F40)*(Intervenções!$K$2:$K$300&lt;&gt;"")),1)),"")</f>
      </c>
      <c r="AC40" s="4">
        <f>IFERROR(INDEX(Intervenções!$K$2:$K$300,AGGREGATE(15,6,(ROW(Intervenções!$K$2:$K$300)-ROW(Intervenções!$K$2)+1)/((Intervenções!$B$2:$B$300=A40)*(Intervenções!$A$2:$A$300=F40)*(Intervenções!$K$2:$K$300&lt;&gt;"")),2)),"")</f>
      </c>
      <c r="AD40" s="4">
        <f>IFERROR(INDEX(Intervenções!$K$2:$K$300,AGGREGATE(15,6,(ROW(Intervenções!$K$2:$K$300)-ROW(Intervenções!$K$2)+1)/((Intervenções!$B$2:$B$300=A40)*(Intervenções!$A$2:$A$300=F40)*(Intervenções!$K$2:$K$300&lt;&gt;"")),3)),"")</f>
      </c>
      <c r="AE40" s="4">
        <f>"RECONCILIAÇÃO MEDICAMENTOSA"&amp;CHAR(10)&amp;IF(G40&lt;&gt;"","Medicamentos de uso prévio: "&amp;G40&amp;".","Sem medicamentos de uso prévio relatados.")&amp;CHAR(10)&amp;IF(H40&lt;&gt;"","Histórico de alergia/RAM: "&amp;H40&amp;".","Nega alergias/RAM conhecidas.")</f>
      </c>
      <c r="AF40" s="4">
        <f>AE40&amp;CHAR(10)&amp;CHAR(10)&amp;"1. Evolução Clínica"&amp;CHAR(10)&amp;TEXTJOIN(" ",TRUE,"Paciente "&amp;I40&amp;", "&amp;IF(J40="","sem DVA","em uso de "&amp;J40)&amp;".",IF(K40&lt;&gt;"","Em "&amp;K40&amp;IF(L40&lt;&gt;""," ("&amp;L40&amp;")","")&amp;IF(M40&lt;&gt;"", ", "&amp;M40,"")&amp;IF(N40&lt;&gt;"", ", sob analgosedação com "&amp;N40,"")&amp;".",""),IF(O40&lt;&gt;"",O40&amp;IF(P40&lt;&gt;"", ", com "&amp;LOWER(P40),"")&amp;IF(Q40&lt;&gt;"", " — "&amp;Q40,"")&amp;".",""),IF(R40="Febre","Apresentou episódio febril nas últimas 24h"&amp;IF(S40&lt;&gt;""," ("&amp;S40&amp;")","")&amp;".",IF(R40="Afebril","Encontra-se afebril.","")),IF(T40&lt;&gt;"",IF(U40="Sim","Apresenta disfunção renal aguda ","Função renal preservada ")&amp;"("&amp;T40&amp;").",""),IF(V40&lt;&gt;"","Em uso do esquema antimicrobiano com "&amp;V40&amp;".",""),IF(TEXTJOIN(", ",TRUE,IF(W40&lt;&gt;"","TEV ("&amp;W40&amp;")",""),IF(X40&lt;&gt;"","LAMG ("&amp;X40&amp;")",""),IF(Y40&lt;&gt;"","úlcera de córnea com "&amp;Y40,""))&lt;&gt;"","Em uso de profilaxia: "&amp;TEXTJOIN(", ",TRUE,IF(W40&lt;&gt;"","TEV ("&amp;W40&amp;")",""),IF(X40&lt;&gt;"","LAMG ("&amp;X40&amp;")",""),IF(Y40&lt;&gt;"","úlcera de córnea com "&amp;Y40,""))&amp;".",""))&amp;CHAR(10)&amp;CHAR(10)&amp;"2. Farmacoterapia"&amp;CHAR(10)&amp;IF(Z40&lt;&gt;"","Corticoide/DART: "&amp;Z40,"Sem corticoide/DART registrado.")&amp;CHAR(10)&amp;CHAR(10)&amp;"3. Conduta Farmacêutica"&amp;CHAR(10)&amp;IF(TEXTJOIN(CHAR(10),TRUE,AB40,AC40,AD40)="","Nenhuma intervenção registrada hoje.",TEXTJOIN(CHAR(10),TRUE,AB40,AC40,AD40))&amp;CHAR(10)&amp;CHAR(10)&amp;"4. Plano Terapêutico"&amp;CHAR(10)&amp;IF(AA40&lt;&gt;"",AA40,"Não definido.")</f>
      </c>
    </row>
    <row r="41" spans="1:32" x14ac:dyDescent="0.25">
      <c r="A41" s="4"/>
      <c r="B41" s="6">
        <f>IFERROR(INDEX(Pacientes!$A:$A,MATCH($A41,Pacientes!$B:$B,0)),"")</f>
      </c>
      <c r="C41" s="6">
        <f>IFERROR(INDEX(Pacientes!$C:$C,MATCH($A41,Pacientes!$B:$B,0)),"")</f>
      </c>
      <c r="D41" s="6">
        <f>IFERROR(INDEX(Pacientes!$D:$D,MATCH($A41,Pacientes!$B:$B,0)),"")</f>
      </c>
      <c r="E41" s="6">
        <f>IFERROR(INDEX(Pacientes!$E:$E,MATCH($A41,Pacientes!$B:$B,0)),"")</f>
      </c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>
        <f>IFERROR(INDEX(Intervenções!$K$2:$K$300,AGGREGATE(15,6,(ROW(Intervenções!$K$2:$K$300)-ROW(Intervenções!$K$2)+1)/((Intervenções!$B$2:$B$300=A41)*(Intervenções!$A$2:$A$300=F41)*(Intervenções!$K$2:$K$300&lt;&gt;"")),1)),"")</f>
      </c>
      <c r="AC41" s="4">
        <f>IFERROR(INDEX(Intervenções!$K$2:$K$300,AGGREGATE(15,6,(ROW(Intervenções!$K$2:$K$300)-ROW(Intervenções!$K$2)+1)/((Intervenções!$B$2:$B$300=A41)*(Intervenções!$A$2:$A$300=F41)*(Intervenções!$K$2:$K$300&lt;&gt;"")),2)),"")</f>
      </c>
      <c r="AD41" s="4">
        <f>IFERROR(INDEX(Intervenções!$K$2:$K$300,AGGREGATE(15,6,(ROW(Intervenções!$K$2:$K$300)-ROW(Intervenções!$K$2)+1)/((Intervenções!$B$2:$B$300=A41)*(Intervenções!$A$2:$A$300=F41)*(Intervenções!$K$2:$K$300&lt;&gt;"")),3)),"")</f>
      </c>
      <c r="AE41" s="4">
        <f>"RECONCILIAÇÃO MEDICAMENTOSA"&amp;CHAR(10)&amp;IF(G41&lt;&gt;"","Medicamentos de uso prévio: "&amp;G41&amp;".","Sem medicamentos de uso prévio relatados.")&amp;CHAR(10)&amp;IF(H41&lt;&gt;"","Histórico de alergia/RAM: "&amp;H41&amp;".","Nega alergias/RAM conhecidas.")</f>
      </c>
      <c r="AF41" s="4">
        <f>AE41&amp;CHAR(10)&amp;CHAR(10)&amp;"1. Evolução Clínica"&amp;CHAR(10)&amp;TEXTJOIN(" ",TRUE,"Paciente "&amp;I41&amp;", "&amp;IF(J41="","sem DVA","em uso de "&amp;J41)&amp;".",IF(K41&lt;&gt;"","Em "&amp;K41&amp;IF(L41&lt;&gt;""," ("&amp;L41&amp;")","")&amp;IF(M41&lt;&gt;"", ", "&amp;M41,"")&amp;IF(N41&lt;&gt;"", ", sob analgosedação com "&amp;N41,"")&amp;".",""),IF(O41&lt;&gt;"",O41&amp;IF(P41&lt;&gt;"", ", com "&amp;LOWER(P41),"")&amp;IF(Q41&lt;&gt;"", " — "&amp;Q41,"")&amp;".",""),IF(R41="Febre","Apresentou episódio febril nas últimas 24h"&amp;IF(S41&lt;&gt;""," ("&amp;S41&amp;")","")&amp;".",IF(R41="Afebril","Encontra-se afebril.","")),IF(T41&lt;&gt;"",IF(U41="Sim","Apresenta disfunção renal aguda ","Função renal preservada ")&amp;"("&amp;T41&amp;").",""),IF(V41&lt;&gt;"","Em uso do esquema antimicrobiano com "&amp;V41&amp;".",""),IF(TEXTJOIN(", ",TRUE,IF(W41&lt;&gt;"","TEV ("&amp;W41&amp;")",""),IF(X41&lt;&gt;"","LAMG ("&amp;X41&amp;")",""),IF(Y41&lt;&gt;"","úlcera de córnea com "&amp;Y41,""))&lt;&gt;"","Em uso de profilaxia: "&amp;TEXTJOIN(", ",TRUE,IF(W41&lt;&gt;"","TEV ("&amp;W41&amp;")",""),IF(X41&lt;&gt;"","LAMG ("&amp;X41&amp;")",""),IF(Y41&lt;&gt;"","úlcera de córnea com "&amp;Y41,""))&amp;".",""))&amp;CHAR(10)&amp;CHAR(10)&amp;"2. Farmacoterapia"&amp;CHAR(10)&amp;IF(Z41&lt;&gt;"","Corticoide/DART: "&amp;Z41,"Sem corticoide/DART registrado.")&amp;CHAR(10)&amp;CHAR(10)&amp;"3. Conduta Farmacêutica"&amp;CHAR(10)&amp;IF(TEXTJOIN(CHAR(10),TRUE,AB41,AC41,AD41)="","Nenhuma intervenção registrada hoje.",TEXTJOIN(CHAR(10),TRUE,AB41,AC41,AD41))&amp;CHAR(10)&amp;CHAR(10)&amp;"4. Plano Terapêutico"&amp;CHAR(10)&amp;IF(AA41&lt;&gt;"",AA41,"Não definido.")</f>
      </c>
    </row>
    <row r="42" spans="1:32" x14ac:dyDescent="0.25">
      <c r="A42" s="4"/>
      <c r="B42" s="6">
        <f>IFERROR(INDEX(Pacientes!$A:$A,MATCH($A42,Pacientes!$B:$B,0)),"")</f>
      </c>
      <c r="C42" s="6">
        <f>IFERROR(INDEX(Pacientes!$C:$C,MATCH($A42,Pacientes!$B:$B,0)),"")</f>
      </c>
      <c r="D42" s="6">
        <f>IFERROR(INDEX(Pacientes!$D:$D,MATCH($A42,Pacientes!$B:$B,0)),"")</f>
      </c>
      <c r="E42" s="6">
        <f>IFERROR(INDEX(Pacientes!$E:$E,MATCH($A42,Pacientes!$B:$B,0)),"")</f>
      </c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>
        <f>IFERROR(INDEX(Intervenções!$K$2:$K$300,AGGREGATE(15,6,(ROW(Intervenções!$K$2:$K$300)-ROW(Intervenções!$K$2)+1)/((Intervenções!$B$2:$B$300=A42)*(Intervenções!$A$2:$A$300=F42)*(Intervenções!$K$2:$K$300&lt;&gt;"")),1)),"")</f>
      </c>
      <c r="AC42" s="4">
        <f>IFERROR(INDEX(Intervenções!$K$2:$K$300,AGGREGATE(15,6,(ROW(Intervenções!$K$2:$K$300)-ROW(Intervenções!$K$2)+1)/((Intervenções!$B$2:$B$300=A42)*(Intervenções!$A$2:$A$300=F42)*(Intervenções!$K$2:$K$300&lt;&gt;"")),2)),"")</f>
      </c>
      <c r="AD42" s="4">
        <f>IFERROR(INDEX(Intervenções!$K$2:$K$300,AGGREGATE(15,6,(ROW(Intervenções!$K$2:$K$300)-ROW(Intervenções!$K$2)+1)/((Intervenções!$B$2:$B$300=A42)*(Intervenções!$A$2:$A$300=F42)*(Intervenções!$K$2:$K$300&lt;&gt;"")),3)),"")</f>
      </c>
      <c r="AE42" s="4">
        <f>"RECONCILIAÇÃO MEDICAMENTOSA"&amp;CHAR(10)&amp;IF(G42&lt;&gt;"","Medicamentos de uso prévio: "&amp;G42&amp;".","Sem medicamentos de uso prévio relatados.")&amp;CHAR(10)&amp;IF(H42&lt;&gt;"","Histórico de alergia/RAM: "&amp;H42&amp;".","Nega alergias/RAM conhecidas.")</f>
      </c>
      <c r="AF42" s="4">
        <f>AE42&amp;CHAR(10)&amp;CHAR(10)&amp;"1. Evolução Clínica"&amp;CHAR(10)&amp;TEXTJOIN(" ",TRUE,"Paciente "&amp;I42&amp;", "&amp;IF(J42="","sem DVA","em uso de "&amp;J42)&amp;".",IF(K42&lt;&gt;"","Em "&amp;K42&amp;IF(L42&lt;&gt;""," ("&amp;L42&amp;")","")&amp;IF(M42&lt;&gt;"", ", "&amp;M42,"")&amp;IF(N42&lt;&gt;"", ", sob analgosedação com "&amp;N42,"")&amp;".",""),IF(O42&lt;&gt;"",O42&amp;IF(P42&lt;&gt;"", ", com "&amp;LOWER(P42),"")&amp;IF(Q42&lt;&gt;"", " — "&amp;Q42,"")&amp;".",""),IF(R42="Febre","Apresentou episódio febril nas últimas 24h"&amp;IF(S42&lt;&gt;""," ("&amp;S42&amp;")","")&amp;".",IF(R42="Afebril","Encontra-se afebril.","")),IF(T42&lt;&gt;"",IF(U42="Sim","Apresenta disfunção renal aguda ","Função renal preservada ")&amp;"("&amp;T42&amp;").",""),IF(V42&lt;&gt;"","Em uso do esquema antimicrobiano com "&amp;V42&amp;".",""),IF(TEXTJOIN(", ",TRUE,IF(W42&lt;&gt;"","TEV ("&amp;W42&amp;")",""),IF(X42&lt;&gt;"","LAMG ("&amp;X42&amp;")",""),IF(Y42&lt;&gt;"","úlcera de córnea com "&amp;Y42,""))&lt;&gt;"","Em uso de profilaxia: "&amp;TEXTJOIN(", ",TRUE,IF(W42&lt;&gt;"","TEV ("&amp;W42&amp;")",""),IF(X42&lt;&gt;"","LAMG ("&amp;X42&amp;")",""),IF(Y42&lt;&gt;"","úlcera de córnea com "&amp;Y42,""))&amp;".",""))&amp;CHAR(10)&amp;CHAR(10)&amp;"2. Farmacoterapia"&amp;CHAR(10)&amp;IF(Z42&lt;&gt;"","Corticoide/DART: "&amp;Z42,"Sem corticoide/DART registrado.")&amp;CHAR(10)&amp;CHAR(10)&amp;"3. Conduta Farmacêutica"&amp;CHAR(10)&amp;IF(TEXTJOIN(CHAR(10),TRUE,AB42,AC42,AD42)="","Nenhuma intervenção registrada hoje.",TEXTJOIN(CHAR(10),TRUE,AB42,AC42,AD42))&amp;CHAR(10)&amp;CHAR(10)&amp;"4. Plano Terapêutico"&amp;CHAR(10)&amp;IF(AA42&lt;&gt;"",AA42,"Não definido.")</f>
      </c>
    </row>
    <row r="43" spans="1:32" x14ac:dyDescent="0.25">
      <c r="A43" s="4"/>
      <c r="B43" s="6">
        <f>IFERROR(INDEX(Pacientes!$A:$A,MATCH($A43,Pacientes!$B:$B,0)),"")</f>
      </c>
      <c r="C43" s="6">
        <f>IFERROR(INDEX(Pacientes!$C:$C,MATCH($A43,Pacientes!$B:$B,0)),"")</f>
      </c>
      <c r="D43" s="6">
        <f>IFERROR(INDEX(Pacientes!$D:$D,MATCH($A43,Pacientes!$B:$B,0)),"")</f>
      </c>
      <c r="E43" s="6">
        <f>IFERROR(INDEX(Pacientes!$E:$E,MATCH($A43,Pacientes!$B:$B,0)),"")</f>
      </c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>
        <f>IFERROR(INDEX(Intervenções!$K$2:$K$300,AGGREGATE(15,6,(ROW(Intervenções!$K$2:$K$300)-ROW(Intervenções!$K$2)+1)/((Intervenções!$B$2:$B$300=A43)*(Intervenções!$A$2:$A$300=F43)*(Intervenções!$K$2:$K$300&lt;&gt;"")),1)),"")</f>
      </c>
      <c r="AC43" s="4">
        <f>IFERROR(INDEX(Intervenções!$K$2:$K$300,AGGREGATE(15,6,(ROW(Intervenções!$K$2:$K$300)-ROW(Intervenções!$K$2)+1)/((Intervenções!$B$2:$B$300=A43)*(Intervenções!$A$2:$A$300=F43)*(Intervenções!$K$2:$K$300&lt;&gt;"")),2)),"")</f>
      </c>
      <c r="AD43" s="4">
        <f>IFERROR(INDEX(Intervenções!$K$2:$K$300,AGGREGATE(15,6,(ROW(Intervenções!$K$2:$K$300)-ROW(Intervenções!$K$2)+1)/((Intervenções!$B$2:$B$300=A43)*(Intervenções!$A$2:$A$300=F43)*(Intervenções!$K$2:$K$300&lt;&gt;"")),3)),"")</f>
      </c>
      <c r="AE43" s="4">
        <f>"RECONCILIAÇÃO MEDICAMENTOSA"&amp;CHAR(10)&amp;IF(G43&lt;&gt;"","Medicamentos de uso prévio: "&amp;G43&amp;".","Sem medicamentos de uso prévio relatados.")&amp;CHAR(10)&amp;IF(H43&lt;&gt;"","Histórico de alergia/RAM: "&amp;H43&amp;".","Nega alergias/RAM conhecidas.")</f>
      </c>
      <c r="AF43" s="4">
        <f>AE43&amp;CHAR(10)&amp;CHAR(10)&amp;"1. Evolução Clínica"&amp;CHAR(10)&amp;TEXTJOIN(" ",TRUE,"Paciente "&amp;I43&amp;", "&amp;IF(J43="","sem DVA","em uso de "&amp;J43)&amp;".",IF(K43&lt;&gt;"","Em "&amp;K43&amp;IF(L43&lt;&gt;""," ("&amp;L43&amp;")","")&amp;IF(M43&lt;&gt;"", ", "&amp;M43,"")&amp;IF(N43&lt;&gt;"", ", sob analgosedação com "&amp;N43,"")&amp;".",""),IF(O43&lt;&gt;"",O43&amp;IF(P43&lt;&gt;"", ", com "&amp;LOWER(P43),"")&amp;IF(Q43&lt;&gt;"", " — "&amp;Q43,"")&amp;".",""),IF(R43="Febre","Apresentou episódio febril nas últimas 24h"&amp;IF(S43&lt;&gt;""," ("&amp;S43&amp;")","")&amp;".",IF(R43="Afebril","Encontra-se afebril.","")),IF(T43&lt;&gt;"",IF(U43="Sim","Apresenta disfunção renal aguda ","Função renal preservada ")&amp;"("&amp;T43&amp;").",""),IF(V43&lt;&gt;"","Em uso do esquema antimicrobiano com "&amp;V43&amp;".",""),IF(TEXTJOIN(", ",TRUE,IF(W43&lt;&gt;"","TEV ("&amp;W43&amp;")",""),IF(X43&lt;&gt;"","LAMG ("&amp;X43&amp;")",""),IF(Y43&lt;&gt;"","úlcera de córnea com "&amp;Y43,""))&lt;&gt;"","Em uso de profilaxia: "&amp;TEXTJOIN(", ",TRUE,IF(W43&lt;&gt;"","TEV ("&amp;W43&amp;")",""),IF(X43&lt;&gt;"","LAMG ("&amp;X43&amp;")",""),IF(Y43&lt;&gt;"","úlcera de córnea com "&amp;Y43,""))&amp;".",""))&amp;CHAR(10)&amp;CHAR(10)&amp;"2. Farmacoterapia"&amp;CHAR(10)&amp;IF(Z43&lt;&gt;"","Corticoide/DART: "&amp;Z43,"Sem corticoide/DART registrado.")&amp;CHAR(10)&amp;CHAR(10)&amp;"3. Conduta Farmacêutica"&amp;CHAR(10)&amp;IF(TEXTJOIN(CHAR(10),TRUE,AB43,AC43,AD43)="","Nenhuma intervenção registrada hoje.",TEXTJOIN(CHAR(10),TRUE,AB43,AC43,AD43))&amp;CHAR(10)&amp;CHAR(10)&amp;"4. Plano Terapêutico"&amp;CHAR(10)&amp;IF(AA43&lt;&gt;"",AA43,"Não definido.")</f>
      </c>
    </row>
    <row r="44" spans="1:32" x14ac:dyDescent="0.25">
      <c r="A44" s="4"/>
      <c r="B44" s="6">
        <f>IFERROR(INDEX(Pacientes!$A:$A,MATCH($A44,Pacientes!$B:$B,0)),"")</f>
      </c>
      <c r="C44" s="6">
        <f>IFERROR(INDEX(Pacientes!$C:$C,MATCH($A44,Pacientes!$B:$B,0)),"")</f>
      </c>
      <c r="D44" s="6">
        <f>IFERROR(INDEX(Pacientes!$D:$D,MATCH($A44,Pacientes!$B:$B,0)),"")</f>
      </c>
      <c r="E44" s="6">
        <f>IFERROR(INDEX(Pacientes!$E:$E,MATCH($A44,Pacientes!$B:$B,0)),"")</f>
      </c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>
        <f>IFERROR(INDEX(Intervenções!$K$2:$K$300,AGGREGATE(15,6,(ROW(Intervenções!$K$2:$K$300)-ROW(Intervenções!$K$2)+1)/((Intervenções!$B$2:$B$300=A44)*(Intervenções!$A$2:$A$300=F44)*(Intervenções!$K$2:$K$300&lt;&gt;"")),1)),"")</f>
      </c>
      <c r="AC44" s="4">
        <f>IFERROR(INDEX(Intervenções!$K$2:$K$300,AGGREGATE(15,6,(ROW(Intervenções!$K$2:$K$300)-ROW(Intervenções!$K$2)+1)/((Intervenções!$B$2:$B$300=A44)*(Intervenções!$A$2:$A$300=F44)*(Intervenções!$K$2:$K$300&lt;&gt;"")),2)),"")</f>
      </c>
      <c r="AD44" s="4">
        <f>IFERROR(INDEX(Intervenções!$K$2:$K$300,AGGREGATE(15,6,(ROW(Intervenções!$K$2:$K$300)-ROW(Intervenções!$K$2)+1)/((Intervenções!$B$2:$B$300=A44)*(Intervenções!$A$2:$A$300=F44)*(Intervenções!$K$2:$K$300&lt;&gt;"")),3)),"")</f>
      </c>
      <c r="AE44" s="4">
        <f>"RECONCILIAÇÃO MEDICAMENTOSA"&amp;CHAR(10)&amp;IF(G44&lt;&gt;"","Medicamentos de uso prévio: "&amp;G44&amp;".","Sem medicamentos de uso prévio relatados.")&amp;CHAR(10)&amp;IF(H44&lt;&gt;"","Histórico de alergia/RAM: "&amp;H44&amp;".","Nega alergias/RAM conhecidas.")</f>
      </c>
      <c r="AF44" s="4">
        <f>AE44&amp;CHAR(10)&amp;CHAR(10)&amp;"1. Evolução Clínica"&amp;CHAR(10)&amp;TEXTJOIN(" ",TRUE,"Paciente "&amp;I44&amp;", "&amp;IF(J44="","sem DVA","em uso de "&amp;J44)&amp;".",IF(K44&lt;&gt;"","Em "&amp;K44&amp;IF(L44&lt;&gt;""," ("&amp;L44&amp;")","")&amp;IF(M44&lt;&gt;"", ", "&amp;M44,"")&amp;IF(N44&lt;&gt;"", ", sob analgosedação com "&amp;N44,"")&amp;".",""),IF(O44&lt;&gt;"",O44&amp;IF(P44&lt;&gt;"", ", com "&amp;LOWER(P44),"")&amp;IF(Q44&lt;&gt;"", " — "&amp;Q44,"")&amp;".",""),IF(R44="Febre","Apresentou episódio febril nas últimas 24h"&amp;IF(S44&lt;&gt;""," ("&amp;S44&amp;")","")&amp;".",IF(R44="Afebril","Encontra-se afebril.","")),IF(T44&lt;&gt;"",IF(U44="Sim","Apresenta disfunção renal aguda ","Função renal preservada ")&amp;"("&amp;T44&amp;").",""),IF(V44&lt;&gt;"","Em uso do esquema antimicrobiano com "&amp;V44&amp;".",""),IF(TEXTJOIN(", ",TRUE,IF(W44&lt;&gt;"","TEV ("&amp;W44&amp;")",""),IF(X44&lt;&gt;"","LAMG ("&amp;X44&amp;")",""),IF(Y44&lt;&gt;"","úlcera de córnea com "&amp;Y44,""))&lt;&gt;"","Em uso de profilaxia: "&amp;TEXTJOIN(", ",TRUE,IF(W44&lt;&gt;"","TEV ("&amp;W44&amp;")",""),IF(X44&lt;&gt;"","LAMG ("&amp;X44&amp;")",""),IF(Y44&lt;&gt;"","úlcera de córnea com "&amp;Y44,""))&amp;".",""))&amp;CHAR(10)&amp;CHAR(10)&amp;"2. Farmacoterapia"&amp;CHAR(10)&amp;IF(Z44&lt;&gt;"","Corticoide/DART: "&amp;Z44,"Sem corticoide/DART registrado.")&amp;CHAR(10)&amp;CHAR(10)&amp;"3. Conduta Farmacêutica"&amp;CHAR(10)&amp;IF(TEXTJOIN(CHAR(10),TRUE,AB44,AC44,AD44)="","Nenhuma intervenção registrada hoje.",TEXTJOIN(CHAR(10),TRUE,AB44,AC44,AD44))&amp;CHAR(10)&amp;CHAR(10)&amp;"4. Plano Terapêutico"&amp;CHAR(10)&amp;IF(AA44&lt;&gt;"",AA44,"Não definido.")</f>
      </c>
    </row>
    <row r="45" spans="1:32" x14ac:dyDescent="0.25">
      <c r="A45" s="4"/>
      <c r="B45" s="6">
        <f>IFERROR(INDEX(Pacientes!$A:$A,MATCH($A45,Pacientes!$B:$B,0)),"")</f>
      </c>
      <c r="C45" s="6">
        <f>IFERROR(INDEX(Pacientes!$C:$C,MATCH($A45,Pacientes!$B:$B,0)),"")</f>
      </c>
      <c r="D45" s="6">
        <f>IFERROR(INDEX(Pacientes!$D:$D,MATCH($A45,Pacientes!$B:$B,0)),"")</f>
      </c>
      <c r="E45" s="6">
        <f>IFERROR(INDEX(Pacientes!$E:$E,MATCH($A45,Pacientes!$B:$B,0)),"")</f>
      </c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>
        <f>IFERROR(INDEX(Intervenções!$K$2:$K$300,AGGREGATE(15,6,(ROW(Intervenções!$K$2:$K$300)-ROW(Intervenções!$K$2)+1)/((Intervenções!$B$2:$B$300=A45)*(Intervenções!$A$2:$A$300=F45)*(Intervenções!$K$2:$K$300&lt;&gt;"")),1)),"")</f>
      </c>
      <c r="AC45" s="4">
        <f>IFERROR(INDEX(Intervenções!$K$2:$K$300,AGGREGATE(15,6,(ROW(Intervenções!$K$2:$K$300)-ROW(Intervenções!$K$2)+1)/((Intervenções!$B$2:$B$300=A45)*(Intervenções!$A$2:$A$300=F45)*(Intervenções!$K$2:$K$300&lt;&gt;"")),2)),"")</f>
      </c>
      <c r="AD45" s="4">
        <f>IFERROR(INDEX(Intervenções!$K$2:$K$300,AGGREGATE(15,6,(ROW(Intervenções!$K$2:$K$300)-ROW(Intervenções!$K$2)+1)/((Intervenções!$B$2:$B$300=A45)*(Intervenções!$A$2:$A$300=F45)*(Intervenções!$K$2:$K$300&lt;&gt;"")),3)),"")</f>
      </c>
      <c r="AE45" s="4">
        <f>"RECONCILIAÇÃO MEDICAMENTOSA"&amp;CHAR(10)&amp;IF(G45&lt;&gt;"","Medicamentos de uso prévio: "&amp;G45&amp;".","Sem medicamentos de uso prévio relatados.")&amp;CHAR(10)&amp;IF(H45&lt;&gt;"","Histórico de alergia/RAM: "&amp;H45&amp;".","Nega alergias/RAM conhecidas.")</f>
      </c>
      <c r="AF45" s="4">
        <f>AE45&amp;CHAR(10)&amp;CHAR(10)&amp;"1. Evolução Clínica"&amp;CHAR(10)&amp;TEXTJOIN(" ",TRUE,"Paciente "&amp;I45&amp;", "&amp;IF(J45="","sem DVA","em uso de "&amp;J45)&amp;".",IF(K45&lt;&gt;"","Em "&amp;K45&amp;IF(L45&lt;&gt;""," ("&amp;L45&amp;")","")&amp;IF(M45&lt;&gt;"", ", "&amp;M45,"")&amp;IF(N45&lt;&gt;"", ", sob analgosedação com "&amp;N45,"")&amp;".",""),IF(O45&lt;&gt;"",O45&amp;IF(P45&lt;&gt;"", ", com "&amp;LOWER(P45),"")&amp;IF(Q45&lt;&gt;"", " — "&amp;Q45,"")&amp;".",""),IF(R45="Febre","Apresentou episódio febril nas últimas 24h"&amp;IF(S45&lt;&gt;""," ("&amp;S45&amp;")","")&amp;".",IF(R45="Afebril","Encontra-se afebril.","")),IF(T45&lt;&gt;"",IF(U45="Sim","Apresenta disfunção renal aguda ","Função renal preservada ")&amp;"("&amp;T45&amp;").",""),IF(V45&lt;&gt;"","Em uso do esquema antimicrobiano com "&amp;V45&amp;".",""),IF(TEXTJOIN(", ",TRUE,IF(W45&lt;&gt;"","TEV ("&amp;W45&amp;")",""),IF(X45&lt;&gt;"","LAMG ("&amp;X45&amp;")",""),IF(Y45&lt;&gt;"","úlcera de córnea com "&amp;Y45,""))&lt;&gt;"","Em uso de profilaxia: "&amp;TEXTJOIN(", ",TRUE,IF(W45&lt;&gt;"","TEV ("&amp;W45&amp;")",""),IF(X45&lt;&gt;"","LAMG ("&amp;X45&amp;")",""),IF(Y45&lt;&gt;"","úlcera de córnea com "&amp;Y45,""))&amp;".",""))&amp;CHAR(10)&amp;CHAR(10)&amp;"2. Farmacoterapia"&amp;CHAR(10)&amp;IF(Z45&lt;&gt;"","Corticoide/DART: "&amp;Z45,"Sem corticoide/DART registrado.")&amp;CHAR(10)&amp;CHAR(10)&amp;"3. Conduta Farmacêutica"&amp;CHAR(10)&amp;IF(TEXTJOIN(CHAR(10),TRUE,AB45,AC45,AD45)="","Nenhuma intervenção registrada hoje.",TEXTJOIN(CHAR(10),TRUE,AB45,AC45,AD45))&amp;CHAR(10)&amp;CHAR(10)&amp;"4. Plano Terapêutico"&amp;CHAR(10)&amp;IF(AA45&lt;&gt;"",AA45,"Não definido.")</f>
      </c>
    </row>
    <row r="46" spans="1:32" x14ac:dyDescent="0.25">
      <c r="A46" s="4"/>
      <c r="B46" s="6">
        <f>IFERROR(INDEX(Pacientes!$A:$A,MATCH($A46,Pacientes!$B:$B,0)),"")</f>
      </c>
      <c r="C46" s="6">
        <f>IFERROR(INDEX(Pacientes!$C:$C,MATCH($A46,Pacientes!$B:$B,0)),"")</f>
      </c>
      <c r="D46" s="6">
        <f>IFERROR(INDEX(Pacientes!$D:$D,MATCH($A46,Pacientes!$B:$B,0)),"")</f>
      </c>
      <c r="E46" s="6">
        <f>IFERROR(INDEX(Pacientes!$E:$E,MATCH($A46,Pacientes!$B:$B,0)),"")</f>
      </c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>
        <f>IFERROR(INDEX(Intervenções!$K$2:$K$300,AGGREGATE(15,6,(ROW(Intervenções!$K$2:$K$300)-ROW(Intervenções!$K$2)+1)/((Intervenções!$B$2:$B$300=A46)*(Intervenções!$A$2:$A$300=F46)*(Intervenções!$K$2:$K$300&lt;&gt;"")),1)),"")</f>
      </c>
      <c r="AC46" s="4">
        <f>IFERROR(INDEX(Intervenções!$K$2:$K$300,AGGREGATE(15,6,(ROW(Intervenções!$K$2:$K$300)-ROW(Intervenções!$K$2)+1)/((Intervenções!$B$2:$B$300=A46)*(Intervenções!$A$2:$A$300=F46)*(Intervenções!$K$2:$K$300&lt;&gt;"")),2)),"")</f>
      </c>
      <c r="AD46" s="4">
        <f>IFERROR(INDEX(Intervenções!$K$2:$K$300,AGGREGATE(15,6,(ROW(Intervenções!$K$2:$K$300)-ROW(Intervenções!$K$2)+1)/((Intervenções!$B$2:$B$300=A46)*(Intervenções!$A$2:$A$300=F46)*(Intervenções!$K$2:$K$300&lt;&gt;"")),3)),"")</f>
      </c>
      <c r="AE46" s="4">
        <f>"RECONCILIAÇÃO MEDICAMENTOSA"&amp;CHAR(10)&amp;IF(G46&lt;&gt;"","Medicamentos de uso prévio: "&amp;G46&amp;".","Sem medicamentos de uso prévio relatados.")&amp;CHAR(10)&amp;IF(H46&lt;&gt;"","Histórico de alergia/RAM: "&amp;H46&amp;".","Nega alergias/RAM conhecidas.")</f>
      </c>
      <c r="AF46" s="4">
        <f>AE46&amp;CHAR(10)&amp;CHAR(10)&amp;"1. Evolução Clínica"&amp;CHAR(10)&amp;TEXTJOIN(" ",TRUE,"Paciente "&amp;I46&amp;", "&amp;IF(J46="","sem DVA","em uso de "&amp;J46)&amp;".",IF(K46&lt;&gt;"","Em "&amp;K46&amp;IF(L46&lt;&gt;""," ("&amp;L46&amp;")","")&amp;IF(M46&lt;&gt;"", ", "&amp;M46,"")&amp;IF(N46&lt;&gt;"", ", sob analgosedação com "&amp;N46,"")&amp;".",""),IF(O46&lt;&gt;"",O46&amp;IF(P46&lt;&gt;"", ", com "&amp;LOWER(P46),"")&amp;IF(Q46&lt;&gt;"", " — "&amp;Q46,"")&amp;".",""),IF(R46="Febre","Apresentou episódio febril nas últimas 24h"&amp;IF(S46&lt;&gt;""," ("&amp;S46&amp;")","")&amp;".",IF(R46="Afebril","Encontra-se afebril.","")),IF(T46&lt;&gt;"",IF(U46="Sim","Apresenta disfunção renal aguda ","Função renal preservada ")&amp;"("&amp;T46&amp;").",""),IF(V46&lt;&gt;"","Em uso do esquema antimicrobiano com "&amp;V46&amp;".",""),IF(TEXTJOIN(", ",TRUE,IF(W46&lt;&gt;"","TEV ("&amp;W46&amp;")",""),IF(X46&lt;&gt;"","LAMG ("&amp;X46&amp;")",""),IF(Y46&lt;&gt;"","úlcera de córnea com "&amp;Y46,""))&lt;&gt;"","Em uso de profilaxia: "&amp;TEXTJOIN(", ",TRUE,IF(W46&lt;&gt;"","TEV ("&amp;W46&amp;")",""),IF(X46&lt;&gt;"","LAMG ("&amp;X46&amp;")",""),IF(Y46&lt;&gt;"","úlcera de córnea com "&amp;Y46,""))&amp;".",""))&amp;CHAR(10)&amp;CHAR(10)&amp;"2. Farmacoterapia"&amp;CHAR(10)&amp;IF(Z46&lt;&gt;"","Corticoide/DART: "&amp;Z46,"Sem corticoide/DART registrado.")&amp;CHAR(10)&amp;CHAR(10)&amp;"3. Conduta Farmacêutica"&amp;CHAR(10)&amp;IF(TEXTJOIN(CHAR(10),TRUE,AB46,AC46,AD46)="","Nenhuma intervenção registrada hoje.",TEXTJOIN(CHAR(10),TRUE,AB46,AC46,AD46))&amp;CHAR(10)&amp;CHAR(10)&amp;"4. Plano Terapêutico"&amp;CHAR(10)&amp;IF(AA46&lt;&gt;"",AA46,"Não definido.")</f>
      </c>
    </row>
    <row r="47" spans="1:32" x14ac:dyDescent="0.25">
      <c r="A47" s="4"/>
      <c r="B47" s="6">
        <f>IFERROR(INDEX(Pacientes!$A:$A,MATCH($A47,Pacientes!$B:$B,0)),"")</f>
      </c>
      <c r="C47" s="6">
        <f>IFERROR(INDEX(Pacientes!$C:$C,MATCH($A47,Pacientes!$B:$B,0)),"")</f>
      </c>
      <c r="D47" s="6">
        <f>IFERROR(INDEX(Pacientes!$D:$D,MATCH($A47,Pacientes!$B:$B,0)),"")</f>
      </c>
      <c r="E47" s="6">
        <f>IFERROR(INDEX(Pacientes!$E:$E,MATCH($A47,Pacientes!$B:$B,0)),"")</f>
      </c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>
        <f>IFERROR(INDEX(Intervenções!$K$2:$K$300,AGGREGATE(15,6,(ROW(Intervenções!$K$2:$K$300)-ROW(Intervenções!$K$2)+1)/((Intervenções!$B$2:$B$300=A47)*(Intervenções!$A$2:$A$300=F47)*(Intervenções!$K$2:$K$300&lt;&gt;"")),1)),"")</f>
      </c>
      <c r="AC47" s="4">
        <f>IFERROR(INDEX(Intervenções!$K$2:$K$300,AGGREGATE(15,6,(ROW(Intervenções!$K$2:$K$300)-ROW(Intervenções!$K$2)+1)/((Intervenções!$B$2:$B$300=A47)*(Intervenções!$A$2:$A$300=F47)*(Intervenções!$K$2:$K$300&lt;&gt;"")),2)),"")</f>
      </c>
      <c r="AD47" s="4">
        <f>IFERROR(INDEX(Intervenções!$K$2:$K$300,AGGREGATE(15,6,(ROW(Intervenções!$K$2:$K$300)-ROW(Intervenções!$K$2)+1)/((Intervenções!$B$2:$B$300=A47)*(Intervenções!$A$2:$A$300=F47)*(Intervenções!$K$2:$K$300&lt;&gt;"")),3)),"")</f>
      </c>
      <c r="AE47" s="4">
        <f>"RECONCILIAÇÃO MEDICAMENTOSA"&amp;CHAR(10)&amp;IF(G47&lt;&gt;"","Medicamentos de uso prévio: "&amp;G47&amp;".","Sem medicamentos de uso prévio relatados.")&amp;CHAR(10)&amp;IF(H47&lt;&gt;"","Histórico de alergia/RAM: "&amp;H47&amp;".","Nega alergias/RAM conhecidas.")</f>
      </c>
      <c r="AF47" s="4">
        <f>AE47&amp;CHAR(10)&amp;CHAR(10)&amp;"1. Evolução Clínica"&amp;CHAR(10)&amp;TEXTJOIN(" ",TRUE,"Paciente "&amp;I47&amp;", "&amp;IF(J47="","sem DVA","em uso de "&amp;J47)&amp;".",IF(K47&lt;&gt;"","Em "&amp;K47&amp;IF(L47&lt;&gt;""," ("&amp;L47&amp;")","")&amp;IF(M47&lt;&gt;"", ", "&amp;M47,"")&amp;IF(N47&lt;&gt;"", ", sob analgosedação com "&amp;N47,"")&amp;".",""),IF(O47&lt;&gt;"",O47&amp;IF(P47&lt;&gt;"", ", com "&amp;LOWER(P47),"")&amp;IF(Q47&lt;&gt;"", " — "&amp;Q47,"")&amp;".",""),IF(R47="Febre","Apresentou episódio febril nas últimas 24h"&amp;IF(S47&lt;&gt;""," ("&amp;S47&amp;")","")&amp;".",IF(R47="Afebril","Encontra-se afebril.","")),IF(T47&lt;&gt;"",IF(U47="Sim","Apresenta disfunção renal aguda ","Função renal preservada ")&amp;"("&amp;T47&amp;").",""),IF(V47&lt;&gt;"","Em uso do esquema antimicrobiano com "&amp;V47&amp;".",""),IF(TEXTJOIN(", ",TRUE,IF(W47&lt;&gt;"","TEV ("&amp;W47&amp;")",""),IF(X47&lt;&gt;"","LAMG ("&amp;X47&amp;")",""),IF(Y47&lt;&gt;"","úlcera de córnea com "&amp;Y47,""))&lt;&gt;"","Em uso de profilaxia: "&amp;TEXTJOIN(", ",TRUE,IF(W47&lt;&gt;"","TEV ("&amp;W47&amp;")",""),IF(X47&lt;&gt;"","LAMG ("&amp;X47&amp;")",""),IF(Y47&lt;&gt;"","úlcera de córnea com "&amp;Y47,""))&amp;".",""))&amp;CHAR(10)&amp;CHAR(10)&amp;"2. Farmacoterapia"&amp;CHAR(10)&amp;IF(Z47&lt;&gt;"","Corticoide/DART: "&amp;Z47,"Sem corticoide/DART registrado.")&amp;CHAR(10)&amp;CHAR(10)&amp;"3. Conduta Farmacêutica"&amp;CHAR(10)&amp;IF(TEXTJOIN(CHAR(10),TRUE,AB47,AC47,AD47)="","Nenhuma intervenção registrada hoje.",TEXTJOIN(CHAR(10),TRUE,AB47,AC47,AD47))&amp;CHAR(10)&amp;CHAR(10)&amp;"4. Plano Terapêutico"&amp;CHAR(10)&amp;IF(AA47&lt;&gt;"",AA47,"Não definido.")</f>
      </c>
    </row>
    <row r="48" spans="1:32" x14ac:dyDescent="0.25">
      <c r="A48" s="4"/>
      <c r="B48" s="6">
        <f>IFERROR(INDEX(Pacientes!$A:$A,MATCH($A48,Pacientes!$B:$B,0)),"")</f>
      </c>
      <c r="C48" s="6">
        <f>IFERROR(INDEX(Pacientes!$C:$C,MATCH($A48,Pacientes!$B:$B,0)),"")</f>
      </c>
      <c r="D48" s="6">
        <f>IFERROR(INDEX(Pacientes!$D:$D,MATCH($A48,Pacientes!$B:$B,0)),"")</f>
      </c>
      <c r="E48" s="6">
        <f>IFERROR(INDEX(Pacientes!$E:$E,MATCH($A48,Pacientes!$B:$B,0)),"")</f>
      </c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>
        <f>IFERROR(INDEX(Intervenções!$K$2:$K$300,AGGREGATE(15,6,(ROW(Intervenções!$K$2:$K$300)-ROW(Intervenções!$K$2)+1)/((Intervenções!$B$2:$B$300=A48)*(Intervenções!$A$2:$A$300=F48)*(Intervenções!$K$2:$K$300&lt;&gt;"")),1)),"")</f>
      </c>
      <c r="AC48" s="4">
        <f>IFERROR(INDEX(Intervenções!$K$2:$K$300,AGGREGATE(15,6,(ROW(Intervenções!$K$2:$K$300)-ROW(Intervenções!$K$2)+1)/((Intervenções!$B$2:$B$300=A48)*(Intervenções!$A$2:$A$300=F48)*(Intervenções!$K$2:$K$300&lt;&gt;"")),2)),"")</f>
      </c>
      <c r="AD48" s="4">
        <f>IFERROR(INDEX(Intervenções!$K$2:$K$300,AGGREGATE(15,6,(ROW(Intervenções!$K$2:$K$300)-ROW(Intervenções!$K$2)+1)/((Intervenções!$B$2:$B$300=A48)*(Intervenções!$A$2:$A$300=F48)*(Intervenções!$K$2:$K$300&lt;&gt;"")),3)),"")</f>
      </c>
      <c r="AE48" s="4">
        <f>"RECONCILIAÇÃO MEDICAMENTOSA"&amp;CHAR(10)&amp;IF(G48&lt;&gt;"","Medicamentos de uso prévio: "&amp;G48&amp;".","Sem medicamentos de uso prévio relatados.")&amp;CHAR(10)&amp;IF(H48&lt;&gt;"","Histórico de alergia/RAM: "&amp;H48&amp;".","Nega alergias/RAM conhecidas.")</f>
      </c>
      <c r="AF48" s="4">
        <f>AE48&amp;CHAR(10)&amp;CHAR(10)&amp;"1. Evolução Clínica"&amp;CHAR(10)&amp;TEXTJOIN(" ",TRUE,"Paciente "&amp;I48&amp;", "&amp;IF(J48="","sem DVA","em uso de "&amp;J48)&amp;".",IF(K48&lt;&gt;"","Em "&amp;K48&amp;IF(L48&lt;&gt;""," ("&amp;L48&amp;")","")&amp;IF(M48&lt;&gt;"", ", "&amp;M48,"")&amp;IF(N48&lt;&gt;"", ", sob analgosedação com "&amp;N48,"")&amp;".",""),IF(O48&lt;&gt;"",O48&amp;IF(P48&lt;&gt;"", ", com "&amp;LOWER(P48),"")&amp;IF(Q48&lt;&gt;"", " — "&amp;Q48,"")&amp;".",""),IF(R48="Febre","Apresentou episódio febril nas últimas 24h"&amp;IF(S48&lt;&gt;""," ("&amp;S48&amp;")","")&amp;".",IF(R48="Afebril","Encontra-se afebril.","")),IF(T48&lt;&gt;"",IF(U48="Sim","Apresenta disfunção renal aguda ","Função renal preservada ")&amp;"("&amp;T48&amp;").",""),IF(V48&lt;&gt;"","Em uso do esquema antimicrobiano com "&amp;V48&amp;".",""),IF(TEXTJOIN(", ",TRUE,IF(W48&lt;&gt;"","TEV ("&amp;W48&amp;")",""),IF(X48&lt;&gt;"","LAMG ("&amp;X48&amp;")",""),IF(Y48&lt;&gt;"","úlcera de córnea com "&amp;Y48,""))&lt;&gt;"","Em uso de profilaxia: "&amp;TEXTJOIN(", ",TRUE,IF(W48&lt;&gt;"","TEV ("&amp;W48&amp;")",""),IF(X48&lt;&gt;"","LAMG ("&amp;X48&amp;")",""),IF(Y48&lt;&gt;"","úlcera de córnea com "&amp;Y48,""))&amp;".",""))&amp;CHAR(10)&amp;CHAR(10)&amp;"2. Farmacoterapia"&amp;CHAR(10)&amp;IF(Z48&lt;&gt;"","Corticoide/DART: "&amp;Z48,"Sem corticoide/DART registrado.")&amp;CHAR(10)&amp;CHAR(10)&amp;"3. Conduta Farmacêutica"&amp;CHAR(10)&amp;IF(TEXTJOIN(CHAR(10),TRUE,AB48,AC48,AD48)="","Nenhuma intervenção registrada hoje.",TEXTJOIN(CHAR(10),TRUE,AB48,AC48,AD48))&amp;CHAR(10)&amp;CHAR(10)&amp;"4. Plano Terapêutico"&amp;CHAR(10)&amp;IF(AA48&lt;&gt;"",AA48,"Não definido.")</f>
      </c>
    </row>
    <row r="49" spans="1:32" x14ac:dyDescent="0.25">
      <c r="A49" s="4"/>
      <c r="B49" s="6">
        <f>IFERROR(INDEX(Pacientes!$A:$A,MATCH($A49,Pacientes!$B:$B,0)),"")</f>
      </c>
      <c r="C49" s="6">
        <f>IFERROR(INDEX(Pacientes!$C:$C,MATCH($A49,Pacientes!$B:$B,0)),"")</f>
      </c>
      <c r="D49" s="6">
        <f>IFERROR(INDEX(Pacientes!$D:$D,MATCH($A49,Pacientes!$B:$B,0)),"")</f>
      </c>
      <c r="E49" s="6">
        <f>IFERROR(INDEX(Pacientes!$E:$E,MATCH($A49,Pacientes!$B:$B,0)),"")</f>
      </c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>
        <f>IFERROR(INDEX(Intervenções!$K$2:$K$300,AGGREGATE(15,6,(ROW(Intervenções!$K$2:$K$300)-ROW(Intervenções!$K$2)+1)/((Intervenções!$B$2:$B$300=A49)*(Intervenções!$A$2:$A$300=F49)*(Intervenções!$K$2:$K$300&lt;&gt;"")),1)),"")</f>
      </c>
      <c r="AC49" s="4">
        <f>IFERROR(INDEX(Intervenções!$K$2:$K$300,AGGREGATE(15,6,(ROW(Intervenções!$K$2:$K$300)-ROW(Intervenções!$K$2)+1)/((Intervenções!$B$2:$B$300=A49)*(Intervenções!$A$2:$A$300=F49)*(Intervenções!$K$2:$K$300&lt;&gt;"")),2)),"")</f>
      </c>
      <c r="AD49" s="4">
        <f>IFERROR(INDEX(Intervenções!$K$2:$K$300,AGGREGATE(15,6,(ROW(Intervenções!$K$2:$K$300)-ROW(Intervenções!$K$2)+1)/((Intervenções!$B$2:$B$300=A49)*(Intervenções!$A$2:$A$300=F49)*(Intervenções!$K$2:$K$300&lt;&gt;"")),3)),"")</f>
      </c>
      <c r="AE49" s="4">
        <f>"RECONCILIAÇÃO MEDICAMENTOSA"&amp;CHAR(10)&amp;IF(G49&lt;&gt;"","Medicamentos de uso prévio: "&amp;G49&amp;".","Sem medicamentos de uso prévio relatados.")&amp;CHAR(10)&amp;IF(H49&lt;&gt;"","Histórico de alergia/RAM: "&amp;H49&amp;".","Nega alergias/RAM conhecidas.")</f>
      </c>
      <c r="AF49" s="4">
        <f>AE49&amp;CHAR(10)&amp;CHAR(10)&amp;"1. Evolução Clínica"&amp;CHAR(10)&amp;TEXTJOIN(" ",TRUE,"Paciente "&amp;I49&amp;", "&amp;IF(J49="","sem DVA","em uso de "&amp;J49)&amp;".",IF(K49&lt;&gt;"","Em "&amp;K49&amp;IF(L49&lt;&gt;""," ("&amp;L49&amp;")","")&amp;IF(M49&lt;&gt;"", ", "&amp;M49,"")&amp;IF(N49&lt;&gt;"", ", sob analgosedação com "&amp;N49,"")&amp;".",""),IF(O49&lt;&gt;"",O49&amp;IF(P49&lt;&gt;"", ", com "&amp;LOWER(P49),"")&amp;IF(Q49&lt;&gt;"", " — "&amp;Q49,"")&amp;".",""),IF(R49="Febre","Apresentou episódio febril nas últimas 24h"&amp;IF(S49&lt;&gt;""," ("&amp;S49&amp;")","")&amp;".",IF(R49="Afebril","Encontra-se afebril.","")),IF(T49&lt;&gt;"",IF(U49="Sim","Apresenta disfunção renal aguda ","Função renal preservada ")&amp;"("&amp;T49&amp;").",""),IF(V49&lt;&gt;"","Em uso do esquema antimicrobiano com "&amp;V49&amp;".",""),IF(TEXTJOIN(", ",TRUE,IF(W49&lt;&gt;"","TEV ("&amp;W49&amp;")",""),IF(X49&lt;&gt;"","LAMG ("&amp;X49&amp;")",""),IF(Y49&lt;&gt;"","úlcera de córnea com "&amp;Y49,""))&lt;&gt;"","Em uso de profilaxia: "&amp;TEXTJOIN(", ",TRUE,IF(W49&lt;&gt;"","TEV ("&amp;W49&amp;")",""),IF(X49&lt;&gt;"","LAMG ("&amp;X49&amp;")",""),IF(Y49&lt;&gt;"","úlcera de córnea com "&amp;Y49,""))&amp;".",""))&amp;CHAR(10)&amp;CHAR(10)&amp;"2. Farmacoterapia"&amp;CHAR(10)&amp;IF(Z49&lt;&gt;"","Corticoide/DART: "&amp;Z49,"Sem corticoide/DART registrado.")&amp;CHAR(10)&amp;CHAR(10)&amp;"3. Conduta Farmacêutica"&amp;CHAR(10)&amp;IF(TEXTJOIN(CHAR(10),TRUE,AB49,AC49,AD49)="","Nenhuma intervenção registrada hoje.",TEXTJOIN(CHAR(10),TRUE,AB49,AC49,AD49))&amp;CHAR(10)&amp;CHAR(10)&amp;"4. Plano Terapêutico"&amp;CHAR(10)&amp;IF(AA49&lt;&gt;"",AA49,"Não definido.")</f>
      </c>
    </row>
    <row r="50" spans="1:32" x14ac:dyDescent="0.25">
      <c r="A50" s="4"/>
      <c r="B50" s="6">
        <f>IFERROR(INDEX(Pacientes!$A:$A,MATCH($A50,Pacientes!$B:$B,0)),"")</f>
      </c>
      <c r="C50" s="6">
        <f>IFERROR(INDEX(Pacientes!$C:$C,MATCH($A50,Pacientes!$B:$B,0)),"")</f>
      </c>
      <c r="D50" s="6">
        <f>IFERROR(INDEX(Pacientes!$D:$D,MATCH($A50,Pacientes!$B:$B,0)),"")</f>
      </c>
      <c r="E50" s="6">
        <f>IFERROR(INDEX(Pacientes!$E:$E,MATCH($A50,Pacientes!$B:$B,0)),"")</f>
      </c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>
        <f>IFERROR(INDEX(Intervenções!$K$2:$K$300,AGGREGATE(15,6,(ROW(Intervenções!$K$2:$K$300)-ROW(Intervenções!$K$2)+1)/((Intervenções!$B$2:$B$300=A50)*(Intervenções!$A$2:$A$300=F50)*(Intervenções!$K$2:$K$300&lt;&gt;"")),1)),"")</f>
      </c>
      <c r="AC50" s="4">
        <f>IFERROR(INDEX(Intervenções!$K$2:$K$300,AGGREGATE(15,6,(ROW(Intervenções!$K$2:$K$300)-ROW(Intervenções!$K$2)+1)/((Intervenções!$B$2:$B$300=A50)*(Intervenções!$A$2:$A$300=F50)*(Intervenções!$K$2:$K$300&lt;&gt;"")),2)),"")</f>
      </c>
      <c r="AD50" s="4">
        <f>IFERROR(INDEX(Intervenções!$K$2:$K$300,AGGREGATE(15,6,(ROW(Intervenções!$K$2:$K$300)-ROW(Intervenções!$K$2)+1)/((Intervenções!$B$2:$B$300=A50)*(Intervenções!$A$2:$A$300=F50)*(Intervenções!$K$2:$K$300&lt;&gt;"")),3)),"")</f>
      </c>
      <c r="AE50" s="4">
        <f>"RECONCILIAÇÃO MEDICAMENTOSA"&amp;CHAR(10)&amp;IF(G50&lt;&gt;"","Medicamentos de uso prévio: "&amp;G50&amp;".","Sem medicamentos de uso prévio relatados.")&amp;CHAR(10)&amp;IF(H50&lt;&gt;"","Histórico de alergia/RAM: "&amp;H50&amp;".","Nega alergias/RAM conhecidas.")</f>
      </c>
      <c r="AF50" s="4">
        <f>AE50&amp;CHAR(10)&amp;CHAR(10)&amp;"1. Evolução Clínica"&amp;CHAR(10)&amp;TEXTJOIN(" ",TRUE,"Paciente "&amp;I50&amp;", "&amp;IF(J50="","sem DVA","em uso de "&amp;J50)&amp;".",IF(K50&lt;&gt;"","Em "&amp;K50&amp;IF(L50&lt;&gt;""," ("&amp;L50&amp;")","")&amp;IF(M50&lt;&gt;"", ", "&amp;M50,"")&amp;IF(N50&lt;&gt;"", ", sob analgosedação com "&amp;N50,"")&amp;".",""),IF(O50&lt;&gt;"",O50&amp;IF(P50&lt;&gt;"", ", com "&amp;LOWER(P50),"")&amp;IF(Q50&lt;&gt;"", " — "&amp;Q50,"")&amp;".",""),IF(R50="Febre","Apresentou episódio febril nas últimas 24h"&amp;IF(S50&lt;&gt;""," ("&amp;S50&amp;")","")&amp;".",IF(R50="Afebril","Encontra-se afebril.","")),IF(T50&lt;&gt;"",IF(U50="Sim","Apresenta disfunção renal aguda ","Função renal preservada ")&amp;"("&amp;T50&amp;").",""),IF(V50&lt;&gt;"","Em uso do esquema antimicrobiano com "&amp;V50&amp;".",""),IF(TEXTJOIN(", ",TRUE,IF(W50&lt;&gt;"","TEV ("&amp;W50&amp;")",""),IF(X50&lt;&gt;"","LAMG ("&amp;X50&amp;")",""),IF(Y50&lt;&gt;"","úlcera de córnea com "&amp;Y50,""))&lt;&gt;"","Em uso de profilaxia: "&amp;TEXTJOIN(", ",TRUE,IF(W50&lt;&gt;"","TEV ("&amp;W50&amp;")",""),IF(X50&lt;&gt;"","LAMG ("&amp;X50&amp;")",""),IF(Y50&lt;&gt;"","úlcera de córnea com "&amp;Y50,""))&amp;".",""))&amp;CHAR(10)&amp;CHAR(10)&amp;"2. Farmacoterapia"&amp;CHAR(10)&amp;IF(Z50&lt;&gt;"","Corticoide/DART: "&amp;Z50,"Sem corticoide/DART registrado.")&amp;CHAR(10)&amp;CHAR(10)&amp;"3. Conduta Farmacêutica"&amp;CHAR(10)&amp;IF(TEXTJOIN(CHAR(10),TRUE,AB50,AC50,AD50)="","Nenhuma intervenção registrada hoje.",TEXTJOIN(CHAR(10),TRUE,AB50,AC50,AD50))&amp;CHAR(10)&amp;CHAR(10)&amp;"4. Plano Terapêutico"&amp;CHAR(10)&amp;IF(AA50&lt;&gt;"",AA50,"Não definido.")</f>
      </c>
    </row>
    <row r="51" spans="1:32" x14ac:dyDescent="0.25">
      <c r="A51" s="4"/>
      <c r="B51" s="6">
        <f>IFERROR(INDEX(Pacientes!$A:$A,MATCH($A51,Pacientes!$B:$B,0)),"")</f>
      </c>
      <c r="C51" s="6">
        <f>IFERROR(INDEX(Pacientes!$C:$C,MATCH($A51,Pacientes!$B:$B,0)),"")</f>
      </c>
      <c r="D51" s="6">
        <f>IFERROR(INDEX(Pacientes!$D:$D,MATCH($A51,Pacientes!$B:$B,0)),"")</f>
      </c>
      <c r="E51" s="6">
        <f>IFERROR(INDEX(Pacientes!$E:$E,MATCH($A51,Pacientes!$B:$B,0)),"")</f>
      </c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>
        <f>IFERROR(INDEX(Intervenções!$K$2:$K$300,AGGREGATE(15,6,(ROW(Intervenções!$K$2:$K$300)-ROW(Intervenções!$K$2)+1)/((Intervenções!$B$2:$B$300=A51)*(Intervenções!$A$2:$A$300=F51)*(Intervenções!$K$2:$K$300&lt;&gt;"")),1)),"")</f>
      </c>
      <c r="AC51" s="4">
        <f>IFERROR(INDEX(Intervenções!$K$2:$K$300,AGGREGATE(15,6,(ROW(Intervenções!$K$2:$K$300)-ROW(Intervenções!$K$2)+1)/((Intervenções!$B$2:$B$300=A51)*(Intervenções!$A$2:$A$300=F51)*(Intervenções!$K$2:$K$300&lt;&gt;"")),2)),"")</f>
      </c>
      <c r="AD51" s="4">
        <f>IFERROR(INDEX(Intervenções!$K$2:$K$300,AGGREGATE(15,6,(ROW(Intervenções!$K$2:$K$300)-ROW(Intervenções!$K$2)+1)/((Intervenções!$B$2:$B$300=A51)*(Intervenções!$A$2:$A$300=F51)*(Intervenções!$K$2:$K$300&lt;&gt;"")),3)),"")</f>
      </c>
      <c r="AE51" s="4">
        <f>"RECONCILIAÇÃO MEDICAMENTOSA"&amp;CHAR(10)&amp;IF(G51&lt;&gt;"","Medicamentos de uso prévio: "&amp;G51&amp;".","Sem medicamentos de uso prévio relatados.")&amp;CHAR(10)&amp;IF(H51&lt;&gt;"","Histórico de alergia/RAM: "&amp;H51&amp;".","Nega alergias/RAM conhecidas.")</f>
      </c>
      <c r="AF51" s="4">
        <f>AE51&amp;CHAR(10)&amp;CHAR(10)&amp;"1. Evolução Clínica"&amp;CHAR(10)&amp;TEXTJOIN(" ",TRUE,"Paciente "&amp;I51&amp;", "&amp;IF(J51="","sem DVA","em uso de "&amp;J51)&amp;".",IF(K51&lt;&gt;"","Em "&amp;K51&amp;IF(L51&lt;&gt;""," ("&amp;L51&amp;")","")&amp;IF(M51&lt;&gt;"", ", "&amp;M51,"")&amp;IF(N51&lt;&gt;"", ", sob analgosedação com "&amp;N51,"")&amp;".",""),IF(O51&lt;&gt;"",O51&amp;IF(P51&lt;&gt;"", ", com "&amp;LOWER(P51),"")&amp;IF(Q51&lt;&gt;"", " — "&amp;Q51,"")&amp;".",""),IF(R51="Febre","Apresentou episódio febril nas últimas 24h"&amp;IF(S51&lt;&gt;""," ("&amp;S51&amp;")","")&amp;".",IF(R51="Afebril","Encontra-se afebril.","")),IF(T51&lt;&gt;"",IF(U51="Sim","Apresenta disfunção renal aguda ","Função renal preservada ")&amp;"("&amp;T51&amp;").",""),IF(V51&lt;&gt;"","Em uso do esquema antimicrobiano com "&amp;V51&amp;".",""),IF(TEXTJOIN(", ",TRUE,IF(W51&lt;&gt;"","TEV ("&amp;W51&amp;")",""),IF(X51&lt;&gt;"","LAMG ("&amp;X51&amp;")",""),IF(Y51&lt;&gt;"","úlcera de córnea com "&amp;Y51,""))&lt;&gt;"","Em uso de profilaxia: "&amp;TEXTJOIN(", ",TRUE,IF(W51&lt;&gt;"","TEV ("&amp;W51&amp;")",""),IF(X51&lt;&gt;"","LAMG ("&amp;X51&amp;")",""),IF(Y51&lt;&gt;"","úlcera de córnea com "&amp;Y51,""))&amp;".",""))&amp;CHAR(10)&amp;CHAR(10)&amp;"2. Farmacoterapia"&amp;CHAR(10)&amp;IF(Z51&lt;&gt;"","Corticoide/DART: "&amp;Z51,"Sem corticoide/DART registrado.")&amp;CHAR(10)&amp;CHAR(10)&amp;"3. Conduta Farmacêutica"&amp;CHAR(10)&amp;IF(TEXTJOIN(CHAR(10),TRUE,AB51,AC51,AD51)="","Nenhuma intervenção registrada hoje.",TEXTJOIN(CHAR(10),TRUE,AB51,AC51,AD51))&amp;CHAR(10)&amp;CHAR(10)&amp;"4. Plano Terapêutico"&amp;CHAR(10)&amp;IF(AA51&lt;&gt;"",AA51,"Não definido.")</f>
      </c>
    </row>
    <row r="52" spans="1:32" x14ac:dyDescent="0.25">
      <c r="A52" s="4"/>
      <c r="B52" s="6">
        <f>IFERROR(INDEX(Pacientes!$A:$A,MATCH($A52,Pacientes!$B:$B,0)),"")</f>
      </c>
      <c r="C52" s="6">
        <f>IFERROR(INDEX(Pacientes!$C:$C,MATCH($A52,Pacientes!$B:$B,0)),"")</f>
      </c>
      <c r="D52" s="6">
        <f>IFERROR(INDEX(Pacientes!$D:$D,MATCH($A52,Pacientes!$B:$B,0)),"")</f>
      </c>
      <c r="E52" s="6">
        <f>IFERROR(INDEX(Pacientes!$E:$E,MATCH($A52,Pacientes!$B:$B,0)),"")</f>
      </c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>
        <f>IFERROR(INDEX(Intervenções!$K$2:$K$300,AGGREGATE(15,6,(ROW(Intervenções!$K$2:$K$300)-ROW(Intervenções!$K$2)+1)/((Intervenções!$B$2:$B$300=A52)*(Intervenções!$A$2:$A$300=F52)*(Intervenções!$K$2:$K$300&lt;&gt;"")),1)),"")</f>
      </c>
      <c r="AC52" s="4">
        <f>IFERROR(INDEX(Intervenções!$K$2:$K$300,AGGREGATE(15,6,(ROW(Intervenções!$K$2:$K$300)-ROW(Intervenções!$K$2)+1)/((Intervenções!$B$2:$B$300=A52)*(Intervenções!$A$2:$A$300=F52)*(Intervenções!$K$2:$K$300&lt;&gt;"")),2)),"")</f>
      </c>
      <c r="AD52" s="4">
        <f>IFERROR(INDEX(Intervenções!$K$2:$K$300,AGGREGATE(15,6,(ROW(Intervenções!$K$2:$K$300)-ROW(Intervenções!$K$2)+1)/((Intervenções!$B$2:$B$300=A52)*(Intervenções!$A$2:$A$300=F52)*(Intervenções!$K$2:$K$300&lt;&gt;"")),3)),"")</f>
      </c>
      <c r="AE52" s="4">
        <f>"RECONCILIAÇÃO MEDICAMENTOSA"&amp;CHAR(10)&amp;IF(G52&lt;&gt;"","Medicamentos de uso prévio: "&amp;G52&amp;".","Sem medicamentos de uso prévio relatados.")&amp;CHAR(10)&amp;IF(H52&lt;&gt;"","Histórico de alergia/RAM: "&amp;H52&amp;".","Nega alergias/RAM conhecidas.")</f>
      </c>
      <c r="AF52" s="4">
        <f>AE52&amp;CHAR(10)&amp;CHAR(10)&amp;"1. Evolução Clínica"&amp;CHAR(10)&amp;TEXTJOIN(" ",TRUE,"Paciente "&amp;I52&amp;", "&amp;IF(J52="","sem DVA","em uso de "&amp;J52)&amp;".",IF(K52&lt;&gt;"","Em "&amp;K52&amp;IF(L52&lt;&gt;""," ("&amp;L52&amp;")","")&amp;IF(M52&lt;&gt;"", ", "&amp;M52,"")&amp;IF(N52&lt;&gt;"", ", sob analgosedação com "&amp;N52,"")&amp;".",""),IF(O52&lt;&gt;"",O52&amp;IF(P52&lt;&gt;"", ", com "&amp;LOWER(P52),"")&amp;IF(Q52&lt;&gt;"", " — "&amp;Q52,"")&amp;".",""),IF(R52="Febre","Apresentou episódio febril nas últimas 24h"&amp;IF(S52&lt;&gt;""," ("&amp;S52&amp;")","")&amp;".",IF(R52="Afebril","Encontra-se afebril.","")),IF(T52&lt;&gt;"",IF(U52="Sim","Apresenta disfunção renal aguda ","Função renal preservada ")&amp;"("&amp;T52&amp;").",""),IF(V52&lt;&gt;"","Em uso do esquema antimicrobiano com "&amp;V52&amp;".",""),IF(TEXTJOIN(", ",TRUE,IF(W52&lt;&gt;"","TEV ("&amp;W52&amp;")",""),IF(X52&lt;&gt;"","LAMG ("&amp;X52&amp;")",""),IF(Y52&lt;&gt;"","úlcera de córnea com "&amp;Y52,""))&lt;&gt;"","Em uso de profilaxia: "&amp;TEXTJOIN(", ",TRUE,IF(W52&lt;&gt;"","TEV ("&amp;W52&amp;")",""),IF(X52&lt;&gt;"","LAMG ("&amp;X52&amp;")",""),IF(Y52&lt;&gt;"","úlcera de córnea com "&amp;Y52,""))&amp;".",""))&amp;CHAR(10)&amp;CHAR(10)&amp;"2. Farmacoterapia"&amp;CHAR(10)&amp;IF(Z52&lt;&gt;"","Corticoide/DART: "&amp;Z52,"Sem corticoide/DART registrado.")&amp;CHAR(10)&amp;CHAR(10)&amp;"3. Conduta Farmacêutica"&amp;CHAR(10)&amp;IF(TEXTJOIN(CHAR(10),TRUE,AB52,AC52,AD52)="","Nenhuma intervenção registrada hoje.",TEXTJOIN(CHAR(10),TRUE,AB52,AC52,AD52))&amp;CHAR(10)&amp;CHAR(10)&amp;"4. Plano Terapêutico"&amp;CHAR(10)&amp;IF(AA52&lt;&gt;"",AA52,"Não definido.")</f>
      </c>
    </row>
    <row r="53" spans="1:32" x14ac:dyDescent="0.25">
      <c r="A53" s="4"/>
      <c r="B53" s="6">
        <f>IFERROR(INDEX(Pacientes!$A:$A,MATCH($A53,Pacientes!$B:$B,0)),"")</f>
      </c>
      <c r="C53" s="6">
        <f>IFERROR(INDEX(Pacientes!$C:$C,MATCH($A53,Pacientes!$B:$B,0)),"")</f>
      </c>
      <c r="D53" s="6">
        <f>IFERROR(INDEX(Pacientes!$D:$D,MATCH($A53,Pacientes!$B:$B,0)),"")</f>
      </c>
      <c r="E53" s="6">
        <f>IFERROR(INDEX(Pacientes!$E:$E,MATCH($A53,Pacientes!$B:$B,0)),"")</f>
      </c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>
        <f>IFERROR(INDEX(Intervenções!$K$2:$K$300,AGGREGATE(15,6,(ROW(Intervenções!$K$2:$K$300)-ROW(Intervenções!$K$2)+1)/((Intervenções!$B$2:$B$300=A53)*(Intervenções!$A$2:$A$300=F53)*(Intervenções!$K$2:$K$300&lt;&gt;"")),1)),"")</f>
      </c>
      <c r="AC53" s="4">
        <f>IFERROR(INDEX(Intervenções!$K$2:$K$300,AGGREGATE(15,6,(ROW(Intervenções!$K$2:$K$300)-ROW(Intervenções!$K$2)+1)/((Intervenções!$B$2:$B$300=A53)*(Intervenções!$A$2:$A$300=F53)*(Intervenções!$K$2:$K$300&lt;&gt;"")),2)),"")</f>
      </c>
      <c r="AD53" s="4">
        <f>IFERROR(INDEX(Intervenções!$K$2:$K$300,AGGREGATE(15,6,(ROW(Intervenções!$K$2:$K$300)-ROW(Intervenções!$K$2)+1)/((Intervenções!$B$2:$B$300=A53)*(Intervenções!$A$2:$A$300=F53)*(Intervenções!$K$2:$K$300&lt;&gt;"")),3)),"")</f>
      </c>
      <c r="AE53" s="4">
        <f>"RECONCILIAÇÃO MEDICAMENTOSA"&amp;CHAR(10)&amp;IF(G53&lt;&gt;"","Medicamentos de uso prévio: "&amp;G53&amp;".","Sem medicamentos de uso prévio relatados.")&amp;CHAR(10)&amp;IF(H53&lt;&gt;"","Histórico de alergia/RAM: "&amp;H53&amp;".","Nega alergias/RAM conhecidas.")</f>
      </c>
      <c r="AF53" s="4">
        <f>AE53&amp;CHAR(10)&amp;CHAR(10)&amp;"1. Evolução Clínica"&amp;CHAR(10)&amp;TEXTJOIN(" ",TRUE,"Paciente "&amp;I53&amp;", "&amp;IF(J53="","sem DVA","em uso de "&amp;J53)&amp;".",IF(K53&lt;&gt;"","Em "&amp;K53&amp;IF(L53&lt;&gt;""," ("&amp;L53&amp;")","")&amp;IF(M53&lt;&gt;"", ", "&amp;M53,"")&amp;IF(N53&lt;&gt;"", ", sob analgosedação com "&amp;N53,"")&amp;".",""),IF(O53&lt;&gt;"",O53&amp;IF(P53&lt;&gt;"", ", com "&amp;LOWER(P53),"")&amp;IF(Q53&lt;&gt;"", " — "&amp;Q53,"")&amp;".",""),IF(R53="Febre","Apresentou episódio febril nas últimas 24h"&amp;IF(S53&lt;&gt;""," ("&amp;S53&amp;")","")&amp;".",IF(R53="Afebril","Encontra-se afebril.","")),IF(T53&lt;&gt;"",IF(U53="Sim","Apresenta disfunção renal aguda ","Função renal preservada ")&amp;"("&amp;T53&amp;").",""),IF(V53&lt;&gt;"","Em uso do esquema antimicrobiano com "&amp;V53&amp;".",""),IF(TEXTJOIN(", ",TRUE,IF(W53&lt;&gt;"","TEV ("&amp;W53&amp;")",""),IF(X53&lt;&gt;"","LAMG ("&amp;X53&amp;")",""),IF(Y53&lt;&gt;"","úlcera de córnea com "&amp;Y53,""))&lt;&gt;"","Em uso de profilaxia: "&amp;TEXTJOIN(", ",TRUE,IF(W53&lt;&gt;"","TEV ("&amp;W53&amp;")",""),IF(X53&lt;&gt;"","LAMG ("&amp;X53&amp;")",""),IF(Y53&lt;&gt;"","úlcera de córnea com "&amp;Y53,""))&amp;".",""))&amp;CHAR(10)&amp;CHAR(10)&amp;"2. Farmacoterapia"&amp;CHAR(10)&amp;IF(Z53&lt;&gt;"","Corticoide/DART: "&amp;Z53,"Sem corticoide/DART registrado.")&amp;CHAR(10)&amp;CHAR(10)&amp;"3. Conduta Farmacêutica"&amp;CHAR(10)&amp;IF(TEXTJOIN(CHAR(10),TRUE,AB53,AC53,AD53)="","Nenhuma intervenção registrada hoje.",TEXTJOIN(CHAR(10),TRUE,AB53,AC53,AD53))&amp;CHAR(10)&amp;CHAR(10)&amp;"4. Plano Terapêutico"&amp;CHAR(10)&amp;IF(AA53&lt;&gt;"",AA53,"Não definido.")</f>
      </c>
    </row>
    <row r="54" spans="1:32" x14ac:dyDescent="0.25">
      <c r="A54" s="4"/>
      <c r="B54" s="6">
        <f>IFERROR(INDEX(Pacientes!$A:$A,MATCH($A54,Pacientes!$B:$B,0)),"")</f>
      </c>
      <c r="C54" s="6">
        <f>IFERROR(INDEX(Pacientes!$C:$C,MATCH($A54,Pacientes!$B:$B,0)),"")</f>
      </c>
      <c r="D54" s="6">
        <f>IFERROR(INDEX(Pacientes!$D:$D,MATCH($A54,Pacientes!$B:$B,0)),"")</f>
      </c>
      <c r="E54" s="6">
        <f>IFERROR(INDEX(Pacientes!$E:$E,MATCH($A54,Pacientes!$B:$B,0)),"")</f>
      </c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>
        <f>IFERROR(INDEX(Intervenções!$K$2:$K$300,AGGREGATE(15,6,(ROW(Intervenções!$K$2:$K$300)-ROW(Intervenções!$K$2)+1)/((Intervenções!$B$2:$B$300=A54)*(Intervenções!$A$2:$A$300=F54)*(Intervenções!$K$2:$K$300&lt;&gt;"")),1)),"")</f>
      </c>
      <c r="AC54" s="4">
        <f>IFERROR(INDEX(Intervenções!$K$2:$K$300,AGGREGATE(15,6,(ROW(Intervenções!$K$2:$K$300)-ROW(Intervenções!$K$2)+1)/((Intervenções!$B$2:$B$300=A54)*(Intervenções!$A$2:$A$300=F54)*(Intervenções!$K$2:$K$300&lt;&gt;"")),2)),"")</f>
      </c>
      <c r="AD54" s="4">
        <f>IFERROR(INDEX(Intervenções!$K$2:$K$300,AGGREGATE(15,6,(ROW(Intervenções!$K$2:$K$300)-ROW(Intervenções!$K$2)+1)/((Intervenções!$B$2:$B$300=A54)*(Intervenções!$A$2:$A$300=F54)*(Intervenções!$K$2:$K$300&lt;&gt;"")),3)),"")</f>
      </c>
      <c r="AE54" s="4">
        <f>"RECONCILIAÇÃO MEDICAMENTOSA"&amp;CHAR(10)&amp;IF(G54&lt;&gt;"","Medicamentos de uso prévio: "&amp;G54&amp;".","Sem medicamentos de uso prévio relatados.")&amp;CHAR(10)&amp;IF(H54&lt;&gt;"","Histórico de alergia/RAM: "&amp;H54&amp;".","Nega alergias/RAM conhecidas.")</f>
      </c>
      <c r="AF54" s="4">
        <f>AE54&amp;CHAR(10)&amp;CHAR(10)&amp;"1. Evolução Clínica"&amp;CHAR(10)&amp;TEXTJOIN(" ",TRUE,"Paciente "&amp;I54&amp;", "&amp;IF(J54="","sem DVA","em uso de "&amp;J54)&amp;".",IF(K54&lt;&gt;"","Em "&amp;K54&amp;IF(L54&lt;&gt;""," ("&amp;L54&amp;")","")&amp;IF(M54&lt;&gt;"", ", "&amp;M54,"")&amp;IF(N54&lt;&gt;"", ", sob analgosedação com "&amp;N54,"")&amp;".",""),IF(O54&lt;&gt;"",O54&amp;IF(P54&lt;&gt;"", ", com "&amp;LOWER(P54),"")&amp;IF(Q54&lt;&gt;"", " — "&amp;Q54,"")&amp;".",""),IF(R54="Febre","Apresentou episódio febril nas últimas 24h"&amp;IF(S54&lt;&gt;""," ("&amp;S54&amp;")","")&amp;".",IF(R54="Afebril","Encontra-se afebril.","")),IF(T54&lt;&gt;"",IF(U54="Sim","Apresenta disfunção renal aguda ","Função renal preservada ")&amp;"("&amp;T54&amp;").",""),IF(V54&lt;&gt;"","Em uso do esquema antimicrobiano com "&amp;V54&amp;".",""),IF(TEXTJOIN(", ",TRUE,IF(W54&lt;&gt;"","TEV ("&amp;W54&amp;")",""),IF(X54&lt;&gt;"","LAMG ("&amp;X54&amp;")",""),IF(Y54&lt;&gt;"","úlcera de córnea com "&amp;Y54,""))&lt;&gt;"","Em uso de profilaxia: "&amp;TEXTJOIN(", ",TRUE,IF(W54&lt;&gt;"","TEV ("&amp;W54&amp;")",""),IF(X54&lt;&gt;"","LAMG ("&amp;X54&amp;")",""),IF(Y54&lt;&gt;"","úlcera de córnea com "&amp;Y54,""))&amp;".",""))&amp;CHAR(10)&amp;CHAR(10)&amp;"2. Farmacoterapia"&amp;CHAR(10)&amp;IF(Z54&lt;&gt;"","Corticoide/DART: "&amp;Z54,"Sem corticoide/DART registrado.")&amp;CHAR(10)&amp;CHAR(10)&amp;"3. Conduta Farmacêutica"&amp;CHAR(10)&amp;IF(TEXTJOIN(CHAR(10),TRUE,AB54,AC54,AD54)="","Nenhuma intervenção registrada hoje.",TEXTJOIN(CHAR(10),TRUE,AB54,AC54,AD54))&amp;CHAR(10)&amp;CHAR(10)&amp;"4. Plano Terapêutico"&amp;CHAR(10)&amp;IF(AA54&lt;&gt;"",AA54,"Não definido.")</f>
      </c>
    </row>
    <row r="55" spans="1:32" x14ac:dyDescent="0.25">
      <c r="A55" s="4"/>
      <c r="B55" s="6">
        <f>IFERROR(INDEX(Pacientes!$A:$A,MATCH($A55,Pacientes!$B:$B,0)),"")</f>
      </c>
      <c r="C55" s="6">
        <f>IFERROR(INDEX(Pacientes!$C:$C,MATCH($A55,Pacientes!$B:$B,0)),"")</f>
      </c>
      <c r="D55" s="6">
        <f>IFERROR(INDEX(Pacientes!$D:$D,MATCH($A55,Pacientes!$B:$B,0)),"")</f>
      </c>
      <c r="E55" s="6">
        <f>IFERROR(INDEX(Pacientes!$E:$E,MATCH($A55,Pacientes!$B:$B,0)),"")</f>
      </c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>
        <f>IFERROR(INDEX(Intervenções!$K$2:$K$300,AGGREGATE(15,6,(ROW(Intervenções!$K$2:$K$300)-ROW(Intervenções!$K$2)+1)/((Intervenções!$B$2:$B$300=A55)*(Intervenções!$A$2:$A$300=F55)*(Intervenções!$K$2:$K$300&lt;&gt;"")),1)),"")</f>
      </c>
      <c r="AC55" s="4">
        <f>IFERROR(INDEX(Intervenções!$K$2:$K$300,AGGREGATE(15,6,(ROW(Intervenções!$K$2:$K$300)-ROW(Intervenções!$K$2)+1)/((Intervenções!$B$2:$B$300=A55)*(Intervenções!$A$2:$A$300=F55)*(Intervenções!$K$2:$K$300&lt;&gt;"")),2)),"")</f>
      </c>
      <c r="AD55" s="4">
        <f>IFERROR(INDEX(Intervenções!$K$2:$K$300,AGGREGATE(15,6,(ROW(Intervenções!$K$2:$K$300)-ROW(Intervenções!$K$2)+1)/((Intervenções!$B$2:$B$300=A55)*(Intervenções!$A$2:$A$300=F55)*(Intervenções!$K$2:$K$300&lt;&gt;"")),3)),"")</f>
      </c>
      <c r="AE55" s="4">
        <f>"RECONCILIAÇÃO MEDICAMENTOSA"&amp;CHAR(10)&amp;IF(G55&lt;&gt;"","Medicamentos de uso prévio: "&amp;G55&amp;".","Sem medicamentos de uso prévio relatados.")&amp;CHAR(10)&amp;IF(H55&lt;&gt;"","Histórico de alergia/RAM: "&amp;H55&amp;".","Nega alergias/RAM conhecidas.")</f>
      </c>
      <c r="AF55" s="4">
        <f>AE55&amp;CHAR(10)&amp;CHAR(10)&amp;"1. Evolução Clínica"&amp;CHAR(10)&amp;TEXTJOIN(" ",TRUE,"Paciente "&amp;I55&amp;", "&amp;IF(J55="","sem DVA","em uso de "&amp;J55)&amp;".",IF(K55&lt;&gt;"","Em "&amp;K55&amp;IF(L55&lt;&gt;""," ("&amp;L55&amp;")","")&amp;IF(M55&lt;&gt;"", ", "&amp;M55,"")&amp;IF(N55&lt;&gt;"", ", sob analgosedação com "&amp;N55,"")&amp;".",""),IF(O55&lt;&gt;"",O55&amp;IF(P55&lt;&gt;"", ", com "&amp;LOWER(P55),"")&amp;IF(Q55&lt;&gt;"", " — "&amp;Q55,"")&amp;".",""),IF(R55="Febre","Apresentou episódio febril nas últimas 24h"&amp;IF(S55&lt;&gt;""," ("&amp;S55&amp;")","")&amp;".",IF(R55="Afebril","Encontra-se afebril.","")),IF(T55&lt;&gt;"",IF(U55="Sim","Apresenta disfunção renal aguda ","Função renal preservada ")&amp;"("&amp;T55&amp;").",""),IF(V55&lt;&gt;"","Em uso do esquema antimicrobiano com "&amp;V55&amp;".",""),IF(TEXTJOIN(", ",TRUE,IF(W55&lt;&gt;"","TEV ("&amp;W55&amp;")",""),IF(X55&lt;&gt;"","LAMG ("&amp;X55&amp;")",""),IF(Y55&lt;&gt;"","úlcera de córnea com "&amp;Y55,""))&lt;&gt;"","Em uso de profilaxia: "&amp;TEXTJOIN(", ",TRUE,IF(W55&lt;&gt;"","TEV ("&amp;W55&amp;")",""),IF(X55&lt;&gt;"","LAMG ("&amp;X55&amp;")",""),IF(Y55&lt;&gt;"","úlcera de córnea com "&amp;Y55,""))&amp;".",""))&amp;CHAR(10)&amp;CHAR(10)&amp;"2. Farmacoterapia"&amp;CHAR(10)&amp;IF(Z55&lt;&gt;"","Corticoide/DART: "&amp;Z55,"Sem corticoide/DART registrado.")&amp;CHAR(10)&amp;CHAR(10)&amp;"3. Conduta Farmacêutica"&amp;CHAR(10)&amp;IF(TEXTJOIN(CHAR(10),TRUE,AB55,AC55,AD55)="","Nenhuma intervenção registrada hoje.",TEXTJOIN(CHAR(10),TRUE,AB55,AC55,AD55))&amp;CHAR(10)&amp;CHAR(10)&amp;"4. Plano Terapêutico"&amp;CHAR(10)&amp;IF(AA55&lt;&gt;"",AA55,"Não definido.")</f>
      </c>
    </row>
    <row r="56" spans="1:32" x14ac:dyDescent="0.25">
      <c r="A56" s="4"/>
      <c r="B56" s="6">
        <f>IFERROR(INDEX(Pacientes!$A:$A,MATCH($A56,Pacientes!$B:$B,0)),"")</f>
      </c>
      <c r="C56" s="6">
        <f>IFERROR(INDEX(Pacientes!$C:$C,MATCH($A56,Pacientes!$B:$B,0)),"")</f>
      </c>
      <c r="D56" s="6">
        <f>IFERROR(INDEX(Pacientes!$D:$D,MATCH($A56,Pacientes!$B:$B,0)),"")</f>
      </c>
      <c r="E56" s="6">
        <f>IFERROR(INDEX(Pacientes!$E:$E,MATCH($A56,Pacientes!$B:$B,0)),"")</f>
      </c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>
        <f>IFERROR(INDEX(Intervenções!$K$2:$K$300,AGGREGATE(15,6,(ROW(Intervenções!$K$2:$K$300)-ROW(Intervenções!$K$2)+1)/((Intervenções!$B$2:$B$300=A56)*(Intervenções!$A$2:$A$300=F56)*(Intervenções!$K$2:$K$300&lt;&gt;"")),1)),"")</f>
      </c>
      <c r="AC56" s="4">
        <f>IFERROR(INDEX(Intervenções!$K$2:$K$300,AGGREGATE(15,6,(ROW(Intervenções!$K$2:$K$300)-ROW(Intervenções!$K$2)+1)/((Intervenções!$B$2:$B$300=A56)*(Intervenções!$A$2:$A$300=F56)*(Intervenções!$K$2:$K$300&lt;&gt;"")),2)),"")</f>
      </c>
      <c r="AD56" s="4">
        <f>IFERROR(INDEX(Intervenções!$K$2:$K$300,AGGREGATE(15,6,(ROW(Intervenções!$K$2:$K$300)-ROW(Intervenções!$K$2)+1)/((Intervenções!$B$2:$B$300=A56)*(Intervenções!$A$2:$A$300=F56)*(Intervenções!$K$2:$K$300&lt;&gt;"")),3)),"")</f>
      </c>
      <c r="AE56" s="4">
        <f>"RECONCILIAÇÃO MEDICAMENTOSA"&amp;CHAR(10)&amp;IF(G56&lt;&gt;"","Medicamentos de uso prévio: "&amp;G56&amp;".","Sem medicamentos de uso prévio relatados.")&amp;CHAR(10)&amp;IF(H56&lt;&gt;"","Histórico de alergia/RAM: "&amp;H56&amp;".","Nega alergias/RAM conhecidas.")</f>
      </c>
      <c r="AF56" s="4">
        <f>AE56&amp;CHAR(10)&amp;CHAR(10)&amp;"1. Evolução Clínica"&amp;CHAR(10)&amp;TEXTJOIN(" ",TRUE,"Paciente "&amp;I56&amp;", "&amp;IF(J56="","sem DVA","em uso de "&amp;J56)&amp;".",IF(K56&lt;&gt;"","Em "&amp;K56&amp;IF(L56&lt;&gt;""," ("&amp;L56&amp;")","")&amp;IF(M56&lt;&gt;"", ", "&amp;M56,"")&amp;IF(N56&lt;&gt;"", ", sob analgosedação com "&amp;N56,"")&amp;".",""),IF(O56&lt;&gt;"",O56&amp;IF(P56&lt;&gt;"", ", com "&amp;LOWER(P56),"")&amp;IF(Q56&lt;&gt;"", " — "&amp;Q56,"")&amp;".",""),IF(R56="Febre","Apresentou episódio febril nas últimas 24h"&amp;IF(S56&lt;&gt;""," ("&amp;S56&amp;")","")&amp;".",IF(R56="Afebril","Encontra-se afebril.","")),IF(T56&lt;&gt;"",IF(U56="Sim","Apresenta disfunção renal aguda ","Função renal preservada ")&amp;"("&amp;T56&amp;").",""),IF(V56&lt;&gt;"","Em uso do esquema antimicrobiano com "&amp;V56&amp;".",""),IF(TEXTJOIN(", ",TRUE,IF(W56&lt;&gt;"","TEV ("&amp;W56&amp;")",""),IF(X56&lt;&gt;"","LAMG ("&amp;X56&amp;")",""),IF(Y56&lt;&gt;"","úlcera de córnea com "&amp;Y56,""))&lt;&gt;"","Em uso de profilaxia: "&amp;TEXTJOIN(", ",TRUE,IF(W56&lt;&gt;"","TEV ("&amp;W56&amp;")",""),IF(X56&lt;&gt;"","LAMG ("&amp;X56&amp;")",""),IF(Y56&lt;&gt;"","úlcera de córnea com "&amp;Y56,""))&amp;".",""))&amp;CHAR(10)&amp;CHAR(10)&amp;"2. Farmacoterapia"&amp;CHAR(10)&amp;IF(Z56&lt;&gt;"","Corticoide/DART: "&amp;Z56,"Sem corticoide/DART registrado.")&amp;CHAR(10)&amp;CHAR(10)&amp;"3. Conduta Farmacêutica"&amp;CHAR(10)&amp;IF(TEXTJOIN(CHAR(10),TRUE,AB56,AC56,AD56)="","Nenhuma intervenção registrada hoje.",TEXTJOIN(CHAR(10),TRUE,AB56,AC56,AD56))&amp;CHAR(10)&amp;CHAR(10)&amp;"4. Plano Terapêutico"&amp;CHAR(10)&amp;IF(AA56&lt;&gt;"",AA56,"Não definido.")</f>
      </c>
    </row>
    <row r="57" spans="1:32" x14ac:dyDescent="0.25">
      <c r="A57" s="4"/>
      <c r="B57" s="6">
        <f>IFERROR(INDEX(Pacientes!$A:$A,MATCH($A57,Pacientes!$B:$B,0)),"")</f>
      </c>
      <c r="C57" s="6">
        <f>IFERROR(INDEX(Pacientes!$C:$C,MATCH($A57,Pacientes!$B:$B,0)),"")</f>
      </c>
      <c r="D57" s="6">
        <f>IFERROR(INDEX(Pacientes!$D:$D,MATCH($A57,Pacientes!$B:$B,0)),"")</f>
      </c>
      <c r="E57" s="6">
        <f>IFERROR(INDEX(Pacientes!$E:$E,MATCH($A57,Pacientes!$B:$B,0)),"")</f>
      </c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>
        <f>IFERROR(INDEX(Intervenções!$K$2:$K$300,AGGREGATE(15,6,(ROW(Intervenções!$K$2:$K$300)-ROW(Intervenções!$K$2)+1)/((Intervenções!$B$2:$B$300=A57)*(Intervenções!$A$2:$A$300=F57)*(Intervenções!$K$2:$K$300&lt;&gt;"")),1)),"")</f>
      </c>
      <c r="AC57" s="4">
        <f>IFERROR(INDEX(Intervenções!$K$2:$K$300,AGGREGATE(15,6,(ROW(Intervenções!$K$2:$K$300)-ROW(Intervenções!$K$2)+1)/((Intervenções!$B$2:$B$300=A57)*(Intervenções!$A$2:$A$300=F57)*(Intervenções!$K$2:$K$300&lt;&gt;"")),2)),"")</f>
      </c>
      <c r="AD57" s="4">
        <f>IFERROR(INDEX(Intervenções!$K$2:$K$300,AGGREGATE(15,6,(ROW(Intervenções!$K$2:$K$300)-ROW(Intervenções!$K$2)+1)/((Intervenções!$B$2:$B$300=A57)*(Intervenções!$A$2:$A$300=F57)*(Intervenções!$K$2:$K$300&lt;&gt;"")),3)),"")</f>
      </c>
      <c r="AE57" s="4">
        <f>"RECONCILIAÇÃO MEDICAMENTOSA"&amp;CHAR(10)&amp;IF(G57&lt;&gt;"","Medicamentos de uso prévio: "&amp;G57&amp;".","Sem medicamentos de uso prévio relatados.")&amp;CHAR(10)&amp;IF(H57&lt;&gt;"","Histórico de alergia/RAM: "&amp;H57&amp;".","Nega alergias/RAM conhecidas.")</f>
      </c>
      <c r="AF57" s="4">
        <f>AE57&amp;CHAR(10)&amp;CHAR(10)&amp;"1. Evolução Clínica"&amp;CHAR(10)&amp;TEXTJOIN(" ",TRUE,"Paciente "&amp;I57&amp;", "&amp;IF(J57="","sem DVA","em uso de "&amp;J57)&amp;".",IF(K57&lt;&gt;"","Em "&amp;K57&amp;IF(L57&lt;&gt;""," ("&amp;L57&amp;")","")&amp;IF(M57&lt;&gt;"", ", "&amp;M57,"")&amp;IF(N57&lt;&gt;"", ", sob analgosedação com "&amp;N57,"")&amp;".",""),IF(O57&lt;&gt;"",O57&amp;IF(P57&lt;&gt;"", ", com "&amp;LOWER(P57),"")&amp;IF(Q57&lt;&gt;"", " — "&amp;Q57,"")&amp;".",""),IF(R57="Febre","Apresentou episódio febril nas últimas 24h"&amp;IF(S57&lt;&gt;""," ("&amp;S57&amp;")","")&amp;".",IF(R57="Afebril","Encontra-se afebril.","")),IF(T57&lt;&gt;"",IF(U57="Sim","Apresenta disfunção renal aguda ","Função renal preservada ")&amp;"("&amp;T57&amp;").",""),IF(V57&lt;&gt;"","Em uso do esquema antimicrobiano com "&amp;V57&amp;".",""),IF(TEXTJOIN(", ",TRUE,IF(W57&lt;&gt;"","TEV ("&amp;W57&amp;")",""),IF(X57&lt;&gt;"","LAMG ("&amp;X57&amp;")",""),IF(Y57&lt;&gt;"","úlcera de córnea com "&amp;Y57,""))&lt;&gt;"","Em uso de profilaxia: "&amp;TEXTJOIN(", ",TRUE,IF(W57&lt;&gt;"","TEV ("&amp;W57&amp;")",""),IF(X57&lt;&gt;"","LAMG ("&amp;X57&amp;")",""),IF(Y57&lt;&gt;"","úlcera de córnea com "&amp;Y57,""))&amp;".",""))&amp;CHAR(10)&amp;CHAR(10)&amp;"2. Farmacoterapia"&amp;CHAR(10)&amp;IF(Z57&lt;&gt;"","Corticoide/DART: "&amp;Z57,"Sem corticoide/DART registrado.")&amp;CHAR(10)&amp;CHAR(10)&amp;"3. Conduta Farmacêutica"&amp;CHAR(10)&amp;IF(TEXTJOIN(CHAR(10),TRUE,AB57,AC57,AD57)="","Nenhuma intervenção registrada hoje.",TEXTJOIN(CHAR(10),TRUE,AB57,AC57,AD57))&amp;CHAR(10)&amp;CHAR(10)&amp;"4. Plano Terapêutico"&amp;CHAR(10)&amp;IF(AA57&lt;&gt;"",AA57,"Não definido.")</f>
      </c>
    </row>
    <row r="58" spans="1:32" x14ac:dyDescent="0.25">
      <c r="A58" s="4"/>
      <c r="B58" s="6">
        <f>IFERROR(INDEX(Pacientes!$A:$A,MATCH($A58,Pacientes!$B:$B,0)),"")</f>
      </c>
      <c r="C58" s="6">
        <f>IFERROR(INDEX(Pacientes!$C:$C,MATCH($A58,Pacientes!$B:$B,0)),"")</f>
      </c>
      <c r="D58" s="6">
        <f>IFERROR(INDEX(Pacientes!$D:$D,MATCH($A58,Pacientes!$B:$B,0)),"")</f>
      </c>
      <c r="E58" s="6">
        <f>IFERROR(INDEX(Pacientes!$E:$E,MATCH($A58,Pacientes!$B:$B,0)),"")</f>
      </c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>
        <f>IFERROR(INDEX(Intervenções!$K$2:$K$300,AGGREGATE(15,6,(ROW(Intervenções!$K$2:$K$300)-ROW(Intervenções!$K$2)+1)/((Intervenções!$B$2:$B$300=A58)*(Intervenções!$A$2:$A$300=F58)*(Intervenções!$K$2:$K$300&lt;&gt;"")),1)),"")</f>
      </c>
      <c r="AC58" s="4">
        <f>IFERROR(INDEX(Intervenções!$K$2:$K$300,AGGREGATE(15,6,(ROW(Intervenções!$K$2:$K$300)-ROW(Intervenções!$K$2)+1)/((Intervenções!$B$2:$B$300=A58)*(Intervenções!$A$2:$A$300=F58)*(Intervenções!$K$2:$K$300&lt;&gt;"")),2)),"")</f>
      </c>
      <c r="AD58" s="4">
        <f>IFERROR(INDEX(Intervenções!$K$2:$K$300,AGGREGATE(15,6,(ROW(Intervenções!$K$2:$K$300)-ROW(Intervenções!$K$2)+1)/((Intervenções!$B$2:$B$300=A58)*(Intervenções!$A$2:$A$300=F58)*(Intervenções!$K$2:$K$300&lt;&gt;"")),3)),"")</f>
      </c>
      <c r="AE58" s="4">
        <f>"RECONCILIAÇÃO MEDICAMENTOSA"&amp;CHAR(10)&amp;IF(G58&lt;&gt;"","Medicamentos de uso prévio: "&amp;G58&amp;".","Sem medicamentos de uso prévio relatados.")&amp;CHAR(10)&amp;IF(H58&lt;&gt;"","Histórico de alergia/RAM: "&amp;H58&amp;".","Nega alergias/RAM conhecidas.")</f>
      </c>
      <c r="AF58" s="4">
        <f>AE58&amp;CHAR(10)&amp;CHAR(10)&amp;"1. Evolução Clínica"&amp;CHAR(10)&amp;TEXTJOIN(" ",TRUE,"Paciente "&amp;I58&amp;", "&amp;IF(J58="","sem DVA","em uso de "&amp;J58)&amp;".",IF(K58&lt;&gt;"","Em "&amp;K58&amp;IF(L58&lt;&gt;""," ("&amp;L58&amp;")","")&amp;IF(M58&lt;&gt;"", ", "&amp;M58,"")&amp;IF(N58&lt;&gt;"", ", sob analgosedação com "&amp;N58,"")&amp;".",""),IF(O58&lt;&gt;"",O58&amp;IF(P58&lt;&gt;"", ", com "&amp;LOWER(P58),"")&amp;IF(Q58&lt;&gt;"", " — "&amp;Q58,"")&amp;".",""),IF(R58="Febre","Apresentou episódio febril nas últimas 24h"&amp;IF(S58&lt;&gt;""," ("&amp;S58&amp;")","")&amp;".",IF(R58="Afebril","Encontra-se afebril.","")),IF(T58&lt;&gt;"",IF(U58="Sim","Apresenta disfunção renal aguda ","Função renal preservada ")&amp;"("&amp;T58&amp;").",""),IF(V58&lt;&gt;"","Em uso do esquema antimicrobiano com "&amp;V58&amp;".",""),IF(TEXTJOIN(", ",TRUE,IF(W58&lt;&gt;"","TEV ("&amp;W58&amp;")",""),IF(X58&lt;&gt;"","LAMG ("&amp;X58&amp;")",""),IF(Y58&lt;&gt;"","úlcera de córnea com "&amp;Y58,""))&lt;&gt;"","Em uso de profilaxia: "&amp;TEXTJOIN(", ",TRUE,IF(W58&lt;&gt;"","TEV ("&amp;W58&amp;")",""),IF(X58&lt;&gt;"","LAMG ("&amp;X58&amp;")",""),IF(Y58&lt;&gt;"","úlcera de córnea com "&amp;Y58,""))&amp;".",""))&amp;CHAR(10)&amp;CHAR(10)&amp;"2. Farmacoterapia"&amp;CHAR(10)&amp;IF(Z58&lt;&gt;"","Corticoide/DART: "&amp;Z58,"Sem corticoide/DART registrado.")&amp;CHAR(10)&amp;CHAR(10)&amp;"3. Conduta Farmacêutica"&amp;CHAR(10)&amp;IF(TEXTJOIN(CHAR(10),TRUE,AB58,AC58,AD58)="","Nenhuma intervenção registrada hoje.",TEXTJOIN(CHAR(10),TRUE,AB58,AC58,AD58))&amp;CHAR(10)&amp;CHAR(10)&amp;"4. Plano Terapêutico"&amp;CHAR(10)&amp;IF(AA58&lt;&gt;"",AA58,"Não definido.")</f>
      </c>
    </row>
    <row r="59" spans="1:32" x14ac:dyDescent="0.25">
      <c r="A59" s="4"/>
      <c r="B59" s="6">
        <f>IFERROR(INDEX(Pacientes!$A:$A,MATCH($A59,Pacientes!$B:$B,0)),"")</f>
      </c>
      <c r="C59" s="6">
        <f>IFERROR(INDEX(Pacientes!$C:$C,MATCH($A59,Pacientes!$B:$B,0)),"")</f>
      </c>
      <c r="D59" s="6">
        <f>IFERROR(INDEX(Pacientes!$D:$D,MATCH($A59,Pacientes!$B:$B,0)),"")</f>
      </c>
      <c r="E59" s="6">
        <f>IFERROR(INDEX(Pacientes!$E:$E,MATCH($A59,Pacientes!$B:$B,0)),"")</f>
      </c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>
        <f>IFERROR(INDEX(Intervenções!$K$2:$K$300,AGGREGATE(15,6,(ROW(Intervenções!$K$2:$K$300)-ROW(Intervenções!$K$2)+1)/((Intervenções!$B$2:$B$300=A59)*(Intervenções!$A$2:$A$300=F59)*(Intervenções!$K$2:$K$300&lt;&gt;"")),1)),"")</f>
      </c>
      <c r="AC59" s="4">
        <f>IFERROR(INDEX(Intervenções!$K$2:$K$300,AGGREGATE(15,6,(ROW(Intervenções!$K$2:$K$300)-ROW(Intervenções!$K$2)+1)/((Intervenções!$B$2:$B$300=A59)*(Intervenções!$A$2:$A$300=F59)*(Intervenções!$K$2:$K$300&lt;&gt;"")),2)),"")</f>
      </c>
      <c r="AD59" s="4">
        <f>IFERROR(INDEX(Intervenções!$K$2:$K$300,AGGREGATE(15,6,(ROW(Intervenções!$K$2:$K$300)-ROW(Intervenções!$K$2)+1)/((Intervenções!$B$2:$B$300=A59)*(Intervenções!$A$2:$A$300=F59)*(Intervenções!$K$2:$K$300&lt;&gt;"")),3)),"")</f>
      </c>
      <c r="AE59" s="4">
        <f>"RECONCILIAÇÃO MEDICAMENTOSA"&amp;CHAR(10)&amp;IF(G59&lt;&gt;"","Medicamentos de uso prévio: "&amp;G59&amp;".","Sem medicamentos de uso prévio relatados.")&amp;CHAR(10)&amp;IF(H59&lt;&gt;"","Histórico de alergia/RAM: "&amp;H59&amp;".","Nega alergias/RAM conhecidas.")</f>
      </c>
      <c r="AF59" s="4">
        <f>AE59&amp;CHAR(10)&amp;CHAR(10)&amp;"1. Evolução Clínica"&amp;CHAR(10)&amp;TEXTJOIN(" ",TRUE,"Paciente "&amp;I59&amp;", "&amp;IF(J59="","sem DVA","em uso de "&amp;J59)&amp;".",IF(K59&lt;&gt;"","Em "&amp;K59&amp;IF(L59&lt;&gt;""," ("&amp;L59&amp;")","")&amp;IF(M59&lt;&gt;"", ", "&amp;M59,"")&amp;IF(N59&lt;&gt;"", ", sob analgosedação com "&amp;N59,"")&amp;".",""),IF(O59&lt;&gt;"",O59&amp;IF(P59&lt;&gt;"", ", com "&amp;LOWER(P59),"")&amp;IF(Q59&lt;&gt;"", " — "&amp;Q59,"")&amp;".",""),IF(R59="Febre","Apresentou episódio febril nas últimas 24h"&amp;IF(S59&lt;&gt;""," ("&amp;S59&amp;")","")&amp;".",IF(R59="Afebril","Encontra-se afebril.","")),IF(T59&lt;&gt;"",IF(U59="Sim","Apresenta disfunção renal aguda ","Função renal preservada ")&amp;"("&amp;T59&amp;").",""),IF(V59&lt;&gt;"","Em uso do esquema antimicrobiano com "&amp;V59&amp;".",""),IF(TEXTJOIN(", ",TRUE,IF(W59&lt;&gt;"","TEV ("&amp;W59&amp;")",""),IF(X59&lt;&gt;"","LAMG ("&amp;X59&amp;")",""),IF(Y59&lt;&gt;"","úlcera de córnea com "&amp;Y59,""))&lt;&gt;"","Em uso de profilaxia: "&amp;TEXTJOIN(", ",TRUE,IF(W59&lt;&gt;"","TEV ("&amp;W59&amp;")",""),IF(X59&lt;&gt;"","LAMG ("&amp;X59&amp;")",""),IF(Y59&lt;&gt;"","úlcera de córnea com "&amp;Y59,""))&amp;".",""))&amp;CHAR(10)&amp;CHAR(10)&amp;"2. Farmacoterapia"&amp;CHAR(10)&amp;IF(Z59&lt;&gt;"","Corticoide/DART: "&amp;Z59,"Sem corticoide/DART registrado.")&amp;CHAR(10)&amp;CHAR(10)&amp;"3. Conduta Farmacêutica"&amp;CHAR(10)&amp;IF(TEXTJOIN(CHAR(10),TRUE,AB59,AC59,AD59)="","Nenhuma intervenção registrada hoje.",TEXTJOIN(CHAR(10),TRUE,AB59,AC59,AD59))&amp;CHAR(10)&amp;CHAR(10)&amp;"4. Plano Terapêutico"&amp;CHAR(10)&amp;IF(AA59&lt;&gt;"",AA59,"Não definido.")</f>
      </c>
    </row>
    <row r="60" spans="1:32" x14ac:dyDescent="0.25">
      <c r="A60" s="4"/>
      <c r="B60" s="6">
        <f>IFERROR(INDEX(Pacientes!$A:$A,MATCH($A60,Pacientes!$B:$B,0)),"")</f>
      </c>
      <c r="C60" s="6">
        <f>IFERROR(INDEX(Pacientes!$C:$C,MATCH($A60,Pacientes!$B:$B,0)),"")</f>
      </c>
      <c r="D60" s="6">
        <f>IFERROR(INDEX(Pacientes!$D:$D,MATCH($A60,Pacientes!$B:$B,0)),"")</f>
      </c>
      <c r="E60" s="6">
        <f>IFERROR(INDEX(Pacientes!$E:$E,MATCH($A60,Pacientes!$B:$B,0)),"")</f>
      </c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>
        <f>IFERROR(INDEX(Intervenções!$K$2:$K$300,AGGREGATE(15,6,(ROW(Intervenções!$K$2:$K$300)-ROW(Intervenções!$K$2)+1)/((Intervenções!$B$2:$B$300=A60)*(Intervenções!$A$2:$A$300=F60)*(Intervenções!$K$2:$K$300&lt;&gt;"")),1)),"")</f>
      </c>
      <c r="AC60" s="4">
        <f>IFERROR(INDEX(Intervenções!$K$2:$K$300,AGGREGATE(15,6,(ROW(Intervenções!$K$2:$K$300)-ROW(Intervenções!$K$2)+1)/((Intervenções!$B$2:$B$300=A60)*(Intervenções!$A$2:$A$300=F60)*(Intervenções!$K$2:$K$300&lt;&gt;"")),2)),"")</f>
      </c>
      <c r="AD60" s="4">
        <f>IFERROR(INDEX(Intervenções!$K$2:$K$300,AGGREGATE(15,6,(ROW(Intervenções!$K$2:$K$300)-ROW(Intervenções!$K$2)+1)/((Intervenções!$B$2:$B$300=A60)*(Intervenções!$A$2:$A$300=F60)*(Intervenções!$K$2:$K$300&lt;&gt;"")),3)),"")</f>
      </c>
      <c r="AE60" s="4">
        <f>"RECONCILIAÇÃO MEDICAMENTOSA"&amp;CHAR(10)&amp;IF(G60&lt;&gt;"","Medicamentos de uso prévio: "&amp;G60&amp;".","Sem medicamentos de uso prévio relatados.")&amp;CHAR(10)&amp;IF(H60&lt;&gt;"","Histórico de alergia/RAM: "&amp;H60&amp;".","Nega alergias/RAM conhecidas.")</f>
      </c>
      <c r="AF60" s="4">
        <f>AE60&amp;CHAR(10)&amp;CHAR(10)&amp;"1. Evolução Clínica"&amp;CHAR(10)&amp;TEXTJOIN(" ",TRUE,"Paciente "&amp;I60&amp;", "&amp;IF(J60="","sem DVA","em uso de "&amp;J60)&amp;".",IF(K60&lt;&gt;"","Em "&amp;K60&amp;IF(L60&lt;&gt;""," ("&amp;L60&amp;")","")&amp;IF(M60&lt;&gt;"", ", "&amp;M60,"")&amp;IF(N60&lt;&gt;"", ", sob analgosedação com "&amp;N60,"")&amp;".",""),IF(O60&lt;&gt;"",O60&amp;IF(P60&lt;&gt;"", ", com "&amp;LOWER(P60),"")&amp;IF(Q60&lt;&gt;"", " — "&amp;Q60,"")&amp;".",""),IF(R60="Febre","Apresentou episódio febril nas últimas 24h"&amp;IF(S60&lt;&gt;""," ("&amp;S60&amp;")","")&amp;".",IF(R60="Afebril","Encontra-se afebril.","")),IF(T60&lt;&gt;"",IF(U60="Sim","Apresenta disfunção renal aguda ","Função renal preservada ")&amp;"("&amp;T60&amp;").",""),IF(V60&lt;&gt;"","Em uso do esquema antimicrobiano com "&amp;V60&amp;".",""),IF(TEXTJOIN(", ",TRUE,IF(W60&lt;&gt;"","TEV ("&amp;W60&amp;")",""),IF(X60&lt;&gt;"","LAMG ("&amp;X60&amp;")",""),IF(Y60&lt;&gt;"","úlcera de córnea com "&amp;Y60,""))&lt;&gt;"","Em uso de profilaxia: "&amp;TEXTJOIN(", ",TRUE,IF(W60&lt;&gt;"","TEV ("&amp;W60&amp;")",""),IF(X60&lt;&gt;"","LAMG ("&amp;X60&amp;")",""),IF(Y60&lt;&gt;"","úlcera de córnea com "&amp;Y60,""))&amp;".",""))&amp;CHAR(10)&amp;CHAR(10)&amp;"2. Farmacoterapia"&amp;CHAR(10)&amp;IF(Z60&lt;&gt;"","Corticoide/DART: "&amp;Z60,"Sem corticoide/DART registrado.")&amp;CHAR(10)&amp;CHAR(10)&amp;"3. Conduta Farmacêutica"&amp;CHAR(10)&amp;IF(TEXTJOIN(CHAR(10),TRUE,AB60,AC60,AD60)="","Nenhuma intervenção registrada hoje.",TEXTJOIN(CHAR(10),TRUE,AB60,AC60,AD60))&amp;CHAR(10)&amp;CHAR(10)&amp;"4. Plano Terapêutico"&amp;CHAR(10)&amp;IF(AA60&lt;&gt;"",AA60,"Não definido.")</f>
      </c>
    </row>
    <row r="61" spans="1:32" x14ac:dyDescent="0.25">
      <c r="A61" s="4"/>
      <c r="B61" s="6">
        <f>IFERROR(INDEX(Pacientes!$A:$A,MATCH($A61,Pacientes!$B:$B,0)),"")</f>
      </c>
      <c r="C61" s="6">
        <f>IFERROR(INDEX(Pacientes!$C:$C,MATCH($A61,Pacientes!$B:$B,0)),"")</f>
      </c>
      <c r="D61" s="6">
        <f>IFERROR(INDEX(Pacientes!$D:$D,MATCH($A61,Pacientes!$B:$B,0)),"")</f>
      </c>
      <c r="E61" s="6">
        <f>IFERROR(INDEX(Pacientes!$E:$E,MATCH($A61,Pacientes!$B:$B,0)),"")</f>
      </c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>
        <f>IFERROR(INDEX(Intervenções!$K$2:$K$300,AGGREGATE(15,6,(ROW(Intervenções!$K$2:$K$300)-ROW(Intervenções!$K$2)+1)/((Intervenções!$B$2:$B$300=A61)*(Intervenções!$A$2:$A$300=F61)*(Intervenções!$K$2:$K$300&lt;&gt;"")),1)),"")</f>
      </c>
      <c r="AC61" s="4">
        <f>IFERROR(INDEX(Intervenções!$K$2:$K$300,AGGREGATE(15,6,(ROW(Intervenções!$K$2:$K$300)-ROW(Intervenções!$K$2)+1)/((Intervenções!$B$2:$B$300=A61)*(Intervenções!$A$2:$A$300=F61)*(Intervenções!$K$2:$K$300&lt;&gt;"")),2)),"")</f>
      </c>
      <c r="AD61" s="4">
        <f>IFERROR(INDEX(Intervenções!$K$2:$K$300,AGGREGATE(15,6,(ROW(Intervenções!$K$2:$K$300)-ROW(Intervenções!$K$2)+1)/((Intervenções!$B$2:$B$300=A61)*(Intervenções!$A$2:$A$300=F61)*(Intervenções!$K$2:$K$300&lt;&gt;"")),3)),"")</f>
      </c>
      <c r="AE61" s="4">
        <f>"RECONCILIAÇÃO MEDICAMENTOSA"&amp;CHAR(10)&amp;IF(G61&lt;&gt;"","Medicamentos de uso prévio: "&amp;G61&amp;".","Sem medicamentos de uso prévio relatados.")&amp;CHAR(10)&amp;IF(H61&lt;&gt;"","Histórico de alergia/RAM: "&amp;H61&amp;".","Nega alergias/RAM conhecidas.")</f>
      </c>
      <c r="AF61" s="4">
        <f>AE61&amp;CHAR(10)&amp;CHAR(10)&amp;"1. Evolução Clínica"&amp;CHAR(10)&amp;TEXTJOIN(" ",TRUE,"Paciente "&amp;I61&amp;", "&amp;IF(J61="","sem DVA","em uso de "&amp;J61)&amp;".",IF(K61&lt;&gt;"","Em "&amp;K61&amp;IF(L61&lt;&gt;""," ("&amp;L61&amp;")","")&amp;IF(M61&lt;&gt;"", ", "&amp;M61,"")&amp;IF(N61&lt;&gt;"", ", sob analgosedação com "&amp;N61,"")&amp;".",""),IF(O61&lt;&gt;"",O61&amp;IF(P61&lt;&gt;"", ", com "&amp;LOWER(P61),"")&amp;IF(Q61&lt;&gt;"", " — "&amp;Q61,"")&amp;".",""),IF(R61="Febre","Apresentou episódio febril nas últimas 24h"&amp;IF(S61&lt;&gt;""," ("&amp;S61&amp;")","")&amp;".",IF(R61="Afebril","Encontra-se afebril.","")),IF(T61&lt;&gt;"",IF(U61="Sim","Apresenta disfunção renal aguda ","Função renal preservada ")&amp;"("&amp;T61&amp;").",""),IF(V61&lt;&gt;"","Em uso do esquema antimicrobiano com "&amp;V61&amp;".",""),IF(TEXTJOIN(", ",TRUE,IF(W61&lt;&gt;"","TEV ("&amp;W61&amp;")",""),IF(X61&lt;&gt;"","LAMG ("&amp;X61&amp;")",""),IF(Y61&lt;&gt;"","úlcera de córnea com "&amp;Y61,""))&lt;&gt;"","Em uso de profilaxia: "&amp;TEXTJOIN(", ",TRUE,IF(W61&lt;&gt;"","TEV ("&amp;W61&amp;")",""),IF(X61&lt;&gt;"","LAMG ("&amp;X61&amp;")",""),IF(Y61&lt;&gt;"","úlcera de córnea com "&amp;Y61,""))&amp;".",""))&amp;CHAR(10)&amp;CHAR(10)&amp;"2. Farmacoterapia"&amp;CHAR(10)&amp;IF(Z61&lt;&gt;"","Corticoide/DART: "&amp;Z61,"Sem corticoide/DART registrado.")&amp;CHAR(10)&amp;CHAR(10)&amp;"3. Conduta Farmacêutica"&amp;CHAR(10)&amp;IF(TEXTJOIN(CHAR(10),TRUE,AB61,AC61,AD61)="","Nenhuma intervenção registrada hoje.",TEXTJOIN(CHAR(10),TRUE,AB61,AC61,AD61))&amp;CHAR(10)&amp;CHAR(10)&amp;"4. Plano Terapêutico"&amp;CHAR(10)&amp;IF(AA61&lt;&gt;"",AA61,"Não definido.")</f>
      </c>
    </row>
    <row r="62" spans="1:32" x14ac:dyDescent="0.25">
      <c r="A62" s="4"/>
      <c r="B62" s="6">
        <f>IFERROR(INDEX(Pacientes!$A:$A,MATCH($A62,Pacientes!$B:$B,0)),"")</f>
      </c>
      <c r="C62" s="6">
        <f>IFERROR(INDEX(Pacientes!$C:$C,MATCH($A62,Pacientes!$B:$B,0)),"")</f>
      </c>
      <c r="D62" s="6">
        <f>IFERROR(INDEX(Pacientes!$D:$D,MATCH($A62,Pacientes!$B:$B,0)),"")</f>
      </c>
      <c r="E62" s="6">
        <f>IFERROR(INDEX(Pacientes!$E:$E,MATCH($A62,Pacientes!$B:$B,0)),"")</f>
      </c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>
        <f>IFERROR(INDEX(Intervenções!$K$2:$K$300,AGGREGATE(15,6,(ROW(Intervenções!$K$2:$K$300)-ROW(Intervenções!$K$2)+1)/((Intervenções!$B$2:$B$300=A62)*(Intervenções!$A$2:$A$300=F62)*(Intervenções!$K$2:$K$300&lt;&gt;"")),1)),"")</f>
      </c>
      <c r="AC62" s="4">
        <f>IFERROR(INDEX(Intervenções!$K$2:$K$300,AGGREGATE(15,6,(ROW(Intervenções!$K$2:$K$300)-ROW(Intervenções!$K$2)+1)/((Intervenções!$B$2:$B$300=A62)*(Intervenções!$A$2:$A$300=F62)*(Intervenções!$K$2:$K$300&lt;&gt;"")),2)),"")</f>
      </c>
      <c r="AD62" s="4">
        <f>IFERROR(INDEX(Intervenções!$K$2:$K$300,AGGREGATE(15,6,(ROW(Intervenções!$K$2:$K$300)-ROW(Intervenções!$K$2)+1)/((Intervenções!$B$2:$B$300=A62)*(Intervenções!$A$2:$A$300=F62)*(Intervenções!$K$2:$K$300&lt;&gt;"")),3)),"")</f>
      </c>
      <c r="AE62" s="4">
        <f>"RECONCILIAÇÃO MEDICAMENTOSA"&amp;CHAR(10)&amp;IF(G62&lt;&gt;"","Medicamentos de uso prévio: "&amp;G62&amp;".","Sem medicamentos de uso prévio relatados.")&amp;CHAR(10)&amp;IF(H62&lt;&gt;"","Histórico de alergia/RAM: "&amp;H62&amp;".","Nega alergias/RAM conhecidas.")</f>
      </c>
      <c r="AF62" s="4">
        <f>AE62&amp;CHAR(10)&amp;CHAR(10)&amp;"1. Evolução Clínica"&amp;CHAR(10)&amp;TEXTJOIN(" ",TRUE,"Paciente "&amp;I62&amp;", "&amp;IF(J62="","sem DVA","em uso de "&amp;J62)&amp;".",IF(K62&lt;&gt;"","Em "&amp;K62&amp;IF(L62&lt;&gt;""," ("&amp;L62&amp;")","")&amp;IF(M62&lt;&gt;"", ", "&amp;M62,"")&amp;IF(N62&lt;&gt;"", ", sob analgosedação com "&amp;N62,"")&amp;".",""),IF(O62&lt;&gt;"",O62&amp;IF(P62&lt;&gt;"", ", com "&amp;LOWER(P62),"")&amp;IF(Q62&lt;&gt;"", " — "&amp;Q62,"")&amp;".",""),IF(R62="Febre","Apresentou episódio febril nas últimas 24h"&amp;IF(S62&lt;&gt;""," ("&amp;S62&amp;")","")&amp;".",IF(R62="Afebril","Encontra-se afebril.","")),IF(T62&lt;&gt;"",IF(U62="Sim","Apresenta disfunção renal aguda ","Função renal preservada ")&amp;"("&amp;T62&amp;").",""),IF(V62&lt;&gt;"","Em uso do esquema antimicrobiano com "&amp;V62&amp;".",""),IF(TEXTJOIN(", ",TRUE,IF(W62&lt;&gt;"","TEV ("&amp;W62&amp;")",""),IF(X62&lt;&gt;"","LAMG ("&amp;X62&amp;")",""),IF(Y62&lt;&gt;"","úlcera de córnea com "&amp;Y62,""))&lt;&gt;"","Em uso de profilaxia: "&amp;TEXTJOIN(", ",TRUE,IF(W62&lt;&gt;"","TEV ("&amp;W62&amp;")",""),IF(X62&lt;&gt;"","LAMG ("&amp;X62&amp;")",""),IF(Y62&lt;&gt;"","úlcera de córnea com "&amp;Y62,""))&amp;".",""))&amp;CHAR(10)&amp;CHAR(10)&amp;"2. Farmacoterapia"&amp;CHAR(10)&amp;IF(Z62&lt;&gt;"","Corticoide/DART: "&amp;Z62,"Sem corticoide/DART registrado.")&amp;CHAR(10)&amp;CHAR(10)&amp;"3. Conduta Farmacêutica"&amp;CHAR(10)&amp;IF(TEXTJOIN(CHAR(10),TRUE,AB62,AC62,AD62)="","Nenhuma intervenção registrada hoje.",TEXTJOIN(CHAR(10),TRUE,AB62,AC62,AD62))&amp;CHAR(10)&amp;CHAR(10)&amp;"4. Plano Terapêutico"&amp;CHAR(10)&amp;IF(AA62&lt;&gt;"",AA62,"Não definido.")</f>
      </c>
    </row>
    <row r="63" spans="1:32" x14ac:dyDescent="0.25">
      <c r="A63" s="4"/>
      <c r="B63" s="6">
        <f>IFERROR(INDEX(Pacientes!$A:$A,MATCH($A63,Pacientes!$B:$B,0)),"")</f>
      </c>
      <c r="C63" s="6">
        <f>IFERROR(INDEX(Pacientes!$C:$C,MATCH($A63,Pacientes!$B:$B,0)),"")</f>
      </c>
      <c r="D63" s="6">
        <f>IFERROR(INDEX(Pacientes!$D:$D,MATCH($A63,Pacientes!$B:$B,0)),"")</f>
      </c>
      <c r="E63" s="6">
        <f>IFERROR(INDEX(Pacientes!$E:$E,MATCH($A63,Pacientes!$B:$B,0)),"")</f>
      </c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>
        <f>IFERROR(INDEX(Intervenções!$K$2:$K$300,AGGREGATE(15,6,(ROW(Intervenções!$K$2:$K$300)-ROW(Intervenções!$K$2)+1)/((Intervenções!$B$2:$B$300=A63)*(Intervenções!$A$2:$A$300=F63)*(Intervenções!$K$2:$K$300&lt;&gt;"")),1)),"")</f>
      </c>
      <c r="AC63" s="4">
        <f>IFERROR(INDEX(Intervenções!$K$2:$K$300,AGGREGATE(15,6,(ROW(Intervenções!$K$2:$K$300)-ROW(Intervenções!$K$2)+1)/((Intervenções!$B$2:$B$300=A63)*(Intervenções!$A$2:$A$300=F63)*(Intervenções!$K$2:$K$300&lt;&gt;"")),2)),"")</f>
      </c>
      <c r="AD63" s="4">
        <f>IFERROR(INDEX(Intervenções!$K$2:$K$300,AGGREGATE(15,6,(ROW(Intervenções!$K$2:$K$300)-ROW(Intervenções!$K$2)+1)/((Intervenções!$B$2:$B$300=A63)*(Intervenções!$A$2:$A$300=F63)*(Intervenções!$K$2:$K$300&lt;&gt;"")),3)),"")</f>
      </c>
      <c r="AE63" s="4">
        <f>"RECONCILIAÇÃO MEDICAMENTOSA"&amp;CHAR(10)&amp;IF(G63&lt;&gt;"","Medicamentos de uso prévio: "&amp;G63&amp;".","Sem medicamentos de uso prévio relatados.")&amp;CHAR(10)&amp;IF(H63&lt;&gt;"","Histórico de alergia/RAM: "&amp;H63&amp;".","Nega alergias/RAM conhecidas.")</f>
      </c>
      <c r="AF63" s="4">
        <f>AE63&amp;CHAR(10)&amp;CHAR(10)&amp;"1. Evolução Clínica"&amp;CHAR(10)&amp;TEXTJOIN(" ",TRUE,"Paciente "&amp;I63&amp;", "&amp;IF(J63="","sem DVA","em uso de "&amp;J63)&amp;".",IF(K63&lt;&gt;"","Em "&amp;K63&amp;IF(L63&lt;&gt;""," ("&amp;L63&amp;")","")&amp;IF(M63&lt;&gt;"", ", "&amp;M63,"")&amp;IF(N63&lt;&gt;"", ", sob analgosedação com "&amp;N63,"")&amp;".",""),IF(O63&lt;&gt;"",O63&amp;IF(P63&lt;&gt;"", ", com "&amp;LOWER(P63),"")&amp;IF(Q63&lt;&gt;"", " — "&amp;Q63,"")&amp;".",""),IF(R63="Febre","Apresentou episódio febril nas últimas 24h"&amp;IF(S63&lt;&gt;""," ("&amp;S63&amp;")","")&amp;".",IF(R63="Afebril","Encontra-se afebril.","")),IF(T63&lt;&gt;"",IF(U63="Sim","Apresenta disfunção renal aguda ","Função renal preservada ")&amp;"("&amp;T63&amp;").",""),IF(V63&lt;&gt;"","Em uso do esquema antimicrobiano com "&amp;V63&amp;".",""),IF(TEXTJOIN(", ",TRUE,IF(W63&lt;&gt;"","TEV ("&amp;W63&amp;")",""),IF(X63&lt;&gt;"","LAMG ("&amp;X63&amp;")",""),IF(Y63&lt;&gt;"","úlcera de córnea com "&amp;Y63,""))&lt;&gt;"","Em uso de profilaxia: "&amp;TEXTJOIN(", ",TRUE,IF(W63&lt;&gt;"","TEV ("&amp;W63&amp;")",""),IF(X63&lt;&gt;"","LAMG ("&amp;X63&amp;")",""),IF(Y63&lt;&gt;"","úlcera de córnea com "&amp;Y63,""))&amp;".",""))&amp;CHAR(10)&amp;CHAR(10)&amp;"2. Farmacoterapia"&amp;CHAR(10)&amp;IF(Z63&lt;&gt;"","Corticoide/DART: "&amp;Z63,"Sem corticoide/DART registrado.")&amp;CHAR(10)&amp;CHAR(10)&amp;"3. Conduta Farmacêutica"&amp;CHAR(10)&amp;IF(TEXTJOIN(CHAR(10),TRUE,AB63,AC63,AD63)="","Nenhuma intervenção registrada hoje.",TEXTJOIN(CHAR(10),TRUE,AB63,AC63,AD63))&amp;CHAR(10)&amp;CHAR(10)&amp;"4. Plano Terapêutico"&amp;CHAR(10)&amp;IF(AA63&lt;&gt;"",AA63,"Não definido.")</f>
      </c>
    </row>
    <row r="64" spans="1:32" x14ac:dyDescent="0.25">
      <c r="A64" s="4"/>
      <c r="B64" s="6">
        <f>IFERROR(INDEX(Pacientes!$A:$A,MATCH($A64,Pacientes!$B:$B,0)),"")</f>
      </c>
      <c r="C64" s="6">
        <f>IFERROR(INDEX(Pacientes!$C:$C,MATCH($A64,Pacientes!$B:$B,0)),"")</f>
      </c>
      <c r="D64" s="6">
        <f>IFERROR(INDEX(Pacientes!$D:$D,MATCH($A64,Pacientes!$B:$B,0)),"")</f>
      </c>
      <c r="E64" s="6">
        <f>IFERROR(INDEX(Pacientes!$E:$E,MATCH($A64,Pacientes!$B:$B,0)),"")</f>
      </c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>
        <f>IFERROR(INDEX(Intervenções!$K$2:$K$300,AGGREGATE(15,6,(ROW(Intervenções!$K$2:$K$300)-ROW(Intervenções!$K$2)+1)/((Intervenções!$B$2:$B$300=A64)*(Intervenções!$A$2:$A$300=F64)*(Intervenções!$K$2:$K$300&lt;&gt;"")),1)),"")</f>
      </c>
      <c r="AC64" s="4">
        <f>IFERROR(INDEX(Intervenções!$K$2:$K$300,AGGREGATE(15,6,(ROW(Intervenções!$K$2:$K$300)-ROW(Intervenções!$K$2)+1)/((Intervenções!$B$2:$B$300=A64)*(Intervenções!$A$2:$A$300=F64)*(Intervenções!$K$2:$K$300&lt;&gt;"")),2)),"")</f>
      </c>
      <c r="AD64" s="4">
        <f>IFERROR(INDEX(Intervenções!$K$2:$K$300,AGGREGATE(15,6,(ROW(Intervenções!$K$2:$K$300)-ROW(Intervenções!$K$2)+1)/((Intervenções!$B$2:$B$300=A64)*(Intervenções!$A$2:$A$300=F64)*(Intervenções!$K$2:$K$300&lt;&gt;"")),3)),"")</f>
      </c>
      <c r="AE64" s="4">
        <f>"RECONCILIAÇÃO MEDICAMENTOSA"&amp;CHAR(10)&amp;IF(G64&lt;&gt;"","Medicamentos de uso prévio: "&amp;G64&amp;".","Sem medicamentos de uso prévio relatados.")&amp;CHAR(10)&amp;IF(H64&lt;&gt;"","Histórico de alergia/RAM: "&amp;H64&amp;".","Nega alergias/RAM conhecidas.")</f>
      </c>
      <c r="AF64" s="4">
        <f>AE64&amp;CHAR(10)&amp;CHAR(10)&amp;"1. Evolução Clínica"&amp;CHAR(10)&amp;TEXTJOIN(" ",TRUE,"Paciente "&amp;I64&amp;", "&amp;IF(J64="","sem DVA","em uso de "&amp;J64)&amp;".",IF(K64&lt;&gt;"","Em "&amp;K64&amp;IF(L64&lt;&gt;""," ("&amp;L64&amp;")","")&amp;IF(M64&lt;&gt;"", ", "&amp;M64,"")&amp;IF(N64&lt;&gt;"", ", sob analgosedação com "&amp;N64,"")&amp;".",""),IF(O64&lt;&gt;"",O64&amp;IF(P64&lt;&gt;"", ", com "&amp;LOWER(P64),"")&amp;IF(Q64&lt;&gt;"", " — "&amp;Q64,"")&amp;".",""),IF(R64="Febre","Apresentou episódio febril nas últimas 24h"&amp;IF(S64&lt;&gt;""," ("&amp;S64&amp;")","")&amp;".",IF(R64="Afebril","Encontra-se afebril.","")),IF(T64&lt;&gt;"",IF(U64="Sim","Apresenta disfunção renal aguda ","Função renal preservada ")&amp;"("&amp;T64&amp;").",""),IF(V64&lt;&gt;"","Em uso do esquema antimicrobiano com "&amp;V64&amp;".",""),IF(TEXTJOIN(", ",TRUE,IF(W64&lt;&gt;"","TEV ("&amp;W64&amp;")",""),IF(X64&lt;&gt;"","LAMG ("&amp;X64&amp;")",""),IF(Y64&lt;&gt;"","úlcera de córnea com "&amp;Y64,""))&lt;&gt;"","Em uso de profilaxia: "&amp;TEXTJOIN(", ",TRUE,IF(W64&lt;&gt;"","TEV ("&amp;W64&amp;")",""),IF(X64&lt;&gt;"","LAMG ("&amp;X64&amp;")",""),IF(Y64&lt;&gt;"","úlcera de córnea com "&amp;Y64,""))&amp;".",""))&amp;CHAR(10)&amp;CHAR(10)&amp;"2. Farmacoterapia"&amp;CHAR(10)&amp;IF(Z64&lt;&gt;"","Corticoide/DART: "&amp;Z64,"Sem corticoide/DART registrado.")&amp;CHAR(10)&amp;CHAR(10)&amp;"3. Conduta Farmacêutica"&amp;CHAR(10)&amp;IF(TEXTJOIN(CHAR(10),TRUE,AB64,AC64,AD64)="","Nenhuma intervenção registrada hoje.",TEXTJOIN(CHAR(10),TRUE,AB64,AC64,AD64))&amp;CHAR(10)&amp;CHAR(10)&amp;"4. Plano Terapêutico"&amp;CHAR(10)&amp;IF(AA64&lt;&gt;"",AA64,"Não definido.")</f>
      </c>
    </row>
    <row r="65" spans="1:32" x14ac:dyDescent="0.25">
      <c r="A65" s="4"/>
      <c r="B65" s="6">
        <f>IFERROR(INDEX(Pacientes!$A:$A,MATCH($A65,Pacientes!$B:$B,0)),"")</f>
      </c>
      <c r="C65" s="6">
        <f>IFERROR(INDEX(Pacientes!$C:$C,MATCH($A65,Pacientes!$B:$B,0)),"")</f>
      </c>
      <c r="D65" s="6">
        <f>IFERROR(INDEX(Pacientes!$D:$D,MATCH($A65,Pacientes!$B:$B,0)),"")</f>
      </c>
      <c r="E65" s="6">
        <f>IFERROR(INDEX(Pacientes!$E:$E,MATCH($A65,Pacientes!$B:$B,0)),"")</f>
      </c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>
        <f>IFERROR(INDEX(Intervenções!$K$2:$K$300,AGGREGATE(15,6,(ROW(Intervenções!$K$2:$K$300)-ROW(Intervenções!$K$2)+1)/((Intervenções!$B$2:$B$300=A65)*(Intervenções!$A$2:$A$300=F65)*(Intervenções!$K$2:$K$300&lt;&gt;"")),1)),"")</f>
      </c>
      <c r="AC65" s="4">
        <f>IFERROR(INDEX(Intervenções!$K$2:$K$300,AGGREGATE(15,6,(ROW(Intervenções!$K$2:$K$300)-ROW(Intervenções!$K$2)+1)/((Intervenções!$B$2:$B$300=A65)*(Intervenções!$A$2:$A$300=F65)*(Intervenções!$K$2:$K$300&lt;&gt;"")),2)),"")</f>
      </c>
      <c r="AD65" s="4">
        <f>IFERROR(INDEX(Intervenções!$K$2:$K$300,AGGREGATE(15,6,(ROW(Intervenções!$K$2:$K$300)-ROW(Intervenções!$K$2)+1)/((Intervenções!$B$2:$B$300=A65)*(Intervenções!$A$2:$A$300=F65)*(Intervenções!$K$2:$K$300&lt;&gt;"")),3)),"")</f>
      </c>
      <c r="AE65" s="4">
        <f>"RECONCILIAÇÃO MEDICAMENTOSA"&amp;CHAR(10)&amp;IF(G65&lt;&gt;"","Medicamentos de uso prévio: "&amp;G65&amp;".","Sem medicamentos de uso prévio relatados.")&amp;CHAR(10)&amp;IF(H65&lt;&gt;"","Histórico de alergia/RAM: "&amp;H65&amp;".","Nega alergias/RAM conhecidas.")</f>
      </c>
      <c r="AF65" s="4">
        <f>AE65&amp;CHAR(10)&amp;CHAR(10)&amp;"1. Evolução Clínica"&amp;CHAR(10)&amp;TEXTJOIN(" ",TRUE,"Paciente "&amp;I65&amp;", "&amp;IF(J65="","sem DVA","em uso de "&amp;J65)&amp;".",IF(K65&lt;&gt;"","Em "&amp;K65&amp;IF(L65&lt;&gt;""," ("&amp;L65&amp;")","")&amp;IF(M65&lt;&gt;"", ", "&amp;M65,"")&amp;IF(N65&lt;&gt;"", ", sob analgosedação com "&amp;N65,"")&amp;".",""),IF(O65&lt;&gt;"",O65&amp;IF(P65&lt;&gt;"", ", com "&amp;LOWER(P65),"")&amp;IF(Q65&lt;&gt;"", " — "&amp;Q65,"")&amp;".",""),IF(R65="Febre","Apresentou episódio febril nas últimas 24h"&amp;IF(S65&lt;&gt;""," ("&amp;S65&amp;")","")&amp;".",IF(R65="Afebril","Encontra-se afebril.","")),IF(T65&lt;&gt;"",IF(U65="Sim","Apresenta disfunção renal aguda ","Função renal preservada ")&amp;"("&amp;T65&amp;").",""),IF(V65&lt;&gt;"","Em uso do esquema antimicrobiano com "&amp;V65&amp;".",""),IF(TEXTJOIN(", ",TRUE,IF(W65&lt;&gt;"","TEV ("&amp;W65&amp;")",""),IF(X65&lt;&gt;"","LAMG ("&amp;X65&amp;")",""),IF(Y65&lt;&gt;"","úlcera de córnea com "&amp;Y65,""))&lt;&gt;"","Em uso de profilaxia: "&amp;TEXTJOIN(", ",TRUE,IF(W65&lt;&gt;"","TEV ("&amp;W65&amp;")",""),IF(X65&lt;&gt;"","LAMG ("&amp;X65&amp;")",""),IF(Y65&lt;&gt;"","úlcera de córnea com "&amp;Y65,""))&amp;".",""))&amp;CHAR(10)&amp;CHAR(10)&amp;"2. Farmacoterapia"&amp;CHAR(10)&amp;IF(Z65&lt;&gt;"","Corticoide/DART: "&amp;Z65,"Sem corticoide/DART registrado.")&amp;CHAR(10)&amp;CHAR(10)&amp;"3. Conduta Farmacêutica"&amp;CHAR(10)&amp;IF(TEXTJOIN(CHAR(10),TRUE,AB65,AC65,AD65)="","Nenhuma intervenção registrada hoje.",TEXTJOIN(CHAR(10),TRUE,AB65,AC65,AD65))&amp;CHAR(10)&amp;CHAR(10)&amp;"4. Plano Terapêutico"&amp;CHAR(10)&amp;IF(AA65&lt;&gt;"",AA65,"Não definido.")</f>
      </c>
    </row>
    <row r="66" spans="1:32" x14ac:dyDescent="0.25">
      <c r="A66" s="4"/>
      <c r="B66" s="6">
        <f>IFERROR(INDEX(Pacientes!$A:$A,MATCH($A66,Pacientes!$B:$B,0)),"")</f>
      </c>
      <c r="C66" s="6">
        <f>IFERROR(INDEX(Pacientes!$C:$C,MATCH($A66,Pacientes!$B:$B,0)),"")</f>
      </c>
      <c r="D66" s="6">
        <f>IFERROR(INDEX(Pacientes!$D:$D,MATCH($A66,Pacientes!$B:$B,0)),"")</f>
      </c>
      <c r="E66" s="6">
        <f>IFERROR(INDEX(Pacientes!$E:$E,MATCH($A66,Pacientes!$B:$B,0)),"")</f>
      </c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>
        <f>IFERROR(INDEX(Intervenções!$K$2:$K$300,AGGREGATE(15,6,(ROW(Intervenções!$K$2:$K$300)-ROW(Intervenções!$K$2)+1)/((Intervenções!$B$2:$B$300=A66)*(Intervenções!$A$2:$A$300=F66)*(Intervenções!$K$2:$K$300&lt;&gt;"")),1)),"")</f>
      </c>
      <c r="AC66" s="4">
        <f>IFERROR(INDEX(Intervenções!$K$2:$K$300,AGGREGATE(15,6,(ROW(Intervenções!$K$2:$K$300)-ROW(Intervenções!$K$2)+1)/((Intervenções!$B$2:$B$300=A66)*(Intervenções!$A$2:$A$300=F66)*(Intervenções!$K$2:$K$300&lt;&gt;"")),2)),"")</f>
      </c>
      <c r="AD66" s="4">
        <f>IFERROR(INDEX(Intervenções!$K$2:$K$300,AGGREGATE(15,6,(ROW(Intervenções!$K$2:$K$300)-ROW(Intervenções!$K$2)+1)/((Intervenções!$B$2:$B$300=A66)*(Intervenções!$A$2:$A$300=F66)*(Intervenções!$K$2:$K$300&lt;&gt;"")),3)),"")</f>
      </c>
      <c r="AE66" s="4">
        <f>"RECONCILIAÇÃO MEDICAMENTOSA"&amp;CHAR(10)&amp;IF(G66&lt;&gt;"","Medicamentos de uso prévio: "&amp;G66&amp;".","Sem medicamentos de uso prévio relatados.")&amp;CHAR(10)&amp;IF(H66&lt;&gt;"","Histórico de alergia/RAM: "&amp;H66&amp;".","Nega alergias/RAM conhecidas.")</f>
      </c>
      <c r="AF66" s="4">
        <f>AE66&amp;CHAR(10)&amp;CHAR(10)&amp;"1. Evolução Clínica"&amp;CHAR(10)&amp;TEXTJOIN(" ",TRUE,"Paciente "&amp;I66&amp;", "&amp;IF(J66="","sem DVA","em uso de "&amp;J66)&amp;".",IF(K66&lt;&gt;"","Em "&amp;K66&amp;IF(L66&lt;&gt;""," ("&amp;L66&amp;")","")&amp;IF(M66&lt;&gt;"", ", "&amp;M66,"")&amp;IF(N66&lt;&gt;"", ", sob analgosedação com "&amp;N66,"")&amp;".",""),IF(O66&lt;&gt;"",O66&amp;IF(P66&lt;&gt;"", ", com "&amp;LOWER(P66),"")&amp;IF(Q66&lt;&gt;"", " — "&amp;Q66,"")&amp;".",""),IF(R66="Febre","Apresentou episódio febril nas últimas 24h"&amp;IF(S66&lt;&gt;""," ("&amp;S66&amp;")","")&amp;".",IF(R66="Afebril","Encontra-se afebril.","")),IF(T66&lt;&gt;"",IF(U66="Sim","Apresenta disfunção renal aguda ","Função renal preservada ")&amp;"("&amp;T66&amp;").",""),IF(V66&lt;&gt;"","Em uso do esquema antimicrobiano com "&amp;V66&amp;".",""),IF(TEXTJOIN(", ",TRUE,IF(W66&lt;&gt;"","TEV ("&amp;W66&amp;")",""),IF(X66&lt;&gt;"","LAMG ("&amp;X66&amp;")",""),IF(Y66&lt;&gt;"","úlcera de córnea com "&amp;Y66,""))&lt;&gt;"","Em uso de profilaxia: "&amp;TEXTJOIN(", ",TRUE,IF(W66&lt;&gt;"","TEV ("&amp;W66&amp;")",""),IF(X66&lt;&gt;"","LAMG ("&amp;X66&amp;")",""),IF(Y66&lt;&gt;"","úlcera de córnea com "&amp;Y66,""))&amp;".",""))&amp;CHAR(10)&amp;CHAR(10)&amp;"2. Farmacoterapia"&amp;CHAR(10)&amp;IF(Z66&lt;&gt;"","Corticoide/DART: "&amp;Z66,"Sem corticoide/DART registrado.")&amp;CHAR(10)&amp;CHAR(10)&amp;"3. Conduta Farmacêutica"&amp;CHAR(10)&amp;IF(TEXTJOIN(CHAR(10),TRUE,AB66,AC66,AD66)="","Nenhuma intervenção registrada hoje.",TEXTJOIN(CHAR(10),TRUE,AB66,AC66,AD66))&amp;CHAR(10)&amp;CHAR(10)&amp;"4. Plano Terapêutico"&amp;CHAR(10)&amp;IF(AA66&lt;&gt;"",AA66,"Não definido.")</f>
      </c>
    </row>
    <row r="67" spans="1:32" x14ac:dyDescent="0.25">
      <c r="A67" s="4"/>
      <c r="B67" s="6">
        <f>IFERROR(INDEX(Pacientes!$A:$A,MATCH($A67,Pacientes!$B:$B,0)),"")</f>
      </c>
      <c r="C67" s="6">
        <f>IFERROR(INDEX(Pacientes!$C:$C,MATCH($A67,Pacientes!$B:$B,0)),"")</f>
      </c>
      <c r="D67" s="6">
        <f>IFERROR(INDEX(Pacientes!$D:$D,MATCH($A67,Pacientes!$B:$B,0)),"")</f>
      </c>
      <c r="E67" s="6">
        <f>IFERROR(INDEX(Pacientes!$E:$E,MATCH($A67,Pacientes!$B:$B,0)),"")</f>
      </c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>
        <f>IFERROR(INDEX(Intervenções!$K$2:$K$300,AGGREGATE(15,6,(ROW(Intervenções!$K$2:$K$300)-ROW(Intervenções!$K$2)+1)/((Intervenções!$B$2:$B$300=A67)*(Intervenções!$A$2:$A$300=F67)*(Intervenções!$K$2:$K$300&lt;&gt;"")),1)),"")</f>
      </c>
      <c r="AC67" s="4">
        <f>IFERROR(INDEX(Intervenções!$K$2:$K$300,AGGREGATE(15,6,(ROW(Intervenções!$K$2:$K$300)-ROW(Intervenções!$K$2)+1)/((Intervenções!$B$2:$B$300=A67)*(Intervenções!$A$2:$A$300=F67)*(Intervenções!$K$2:$K$300&lt;&gt;"")),2)),"")</f>
      </c>
      <c r="AD67" s="4">
        <f>IFERROR(INDEX(Intervenções!$K$2:$K$300,AGGREGATE(15,6,(ROW(Intervenções!$K$2:$K$300)-ROW(Intervenções!$K$2)+1)/((Intervenções!$B$2:$B$300=A67)*(Intervenções!$A$2:$A$300=F67)*(Intervenções!$K$2:$K$300&lt;&gt;"")),3)),"")</f>
      </c>
      <c r="AE67" s="4">
        <f>"RECONCILIAÇÃO MEDICAMENTOSA"&amp;CHAR(10)&amp;IF(G67&lt;&gt;"","Medicamentos de uso prévio: "&amp;G67&amp;".","Sem medicamentos de uso prévio relatados.")&amp;CHAR(10)&amp;IF(H67&lt;&gt;"","Histórico de alergia/RAM: "&amp;H67&amp;".","Nega alergias/RAM conhecidas.")</f>
      </c>
      <c r="AF67" s="4">
        <f>AE67&amp;CHAR(10)&amp;CHAR(10)&amp;"1. Evolução Clínica"&amp;CHAR(10)&amp;TEXTJOIN(" ",TRUE,"Paciente "&amp;I67&amp;", "&amp;IF(J67="","sem DVA","em uso de "&amp;J67)&amp;".",IF(K67&lt;&gt;"","Em "&amp;K67&amp;IF(L67&lt;&gt;""," ("&amp;L67&amp;")","")&amp;IF(M67&lt;&gt;"", ", "&amp;M67,"")&amp;IF(N67&lt;&gt;"", ", sob analgosedação com "&amp;N67,"")&amp;".",""),IF(O67&lt;&gt;"",O67&amp;IF(P67&lt;&gt;"", ", com "&amp;LOWER(P67),"")&amp;IF(Q67&lt;&gt;"", " — "&amp;Q67,"")&amp;".",""),IF(R67="Febre","Apresentou episódio febril nas últimas 24h"&amp;IF(S67&lt;&gt;""," ("&amp;S67&amp;")","")&amp;".",IF(R67="Afebril","Encontra-se afebril.","")),IF(T67&lt;&gt;"",IF(U67="Sim","Apresenta disfunção renal aguda ","Função renal preservada ")&amp;"("&amp;T67&amp;").",""),IF(V67&lt;&gt;"","Em uso do esquema antimicrobiano com "&amp;V67&amp;".",""),IF(TEXTJOIN(", ",TRUE,IF(W67&lt;&gt;"","TEV ("&amp;W67&amp;")",""),IF(X67&lt;&gt;"","LAMG ("&amp;X67&amp;")",""),IF(Y67&lt;&gt;"","úlcera de córnea com "&amp;Y67,""))&lt;&gt;"","Em uso de profilaxia: "&amp;TEXTJOIN(", ",TRUE,IF(W67&lt;&gt;"","TEV ("&amp;W67&amp;")",""),IF(X67&lt;&gt;"","LAMG ("&amp;X67&amp;")",""),IF(Y67&lt;&gt;"","úlcera de córnea com "&amp;Y67,""))&amp;".",""))&amp;CHAR(10)&amp;CHAR(10)&amp;"2. Farmacoterapia"&amp;CHAR(10)&amp;IF(Z67&lt;&gt;"","Corticoide/DART: "&amp;Z67,"Sem corticoide/DART registrado.")&amp;CHAR(10)&amp;CHAR(10)&amp;"3. Conduta Farmacêutica"&amp;CHAR(10)&amp;IF(TEXTJOIN(CHAR(10),TRUE,AB67,AC67,AD67)="","Nenhuma intervenção registrada hoje.",TEXTJOIN(CHAR(10),TRUE,AB67,AC67,AD67))&amp;CHAR(10)&amp;CHAR(10)&amp;"4. Plano Terapêutico"&amp;CHAR(10)&amp;IF(AA67&lt;&gt;"",AA67,"Não definido.")</f>
      </c>
    </row>
    <row r="68" spans="1:32" x14ac:dyDescent="0.25">
      <c r="A68" s="4"/>
      <c r="B68" s="6">
        <f>IFERROR(INDEX(Pacientes!$A:$A,MATCH($A68,Pacientes!$B:$B,0)),"")</f>
      </c>
      <c r="C68" s="6">
        <f>IFERROR(INDEX(Pacientes!$C:$C,MATCH($A68,Pacientes!$B:$B,0)),"")</f>
      </c>
      <c r="D68" s="6">
        <f>IFERROR(INDEX(Pacientes!$D:$D,MATCH($A68,Pacientes!$B:$B,0)),"")</f>
      </c>
      <c r="E68" s="6">
        <f>IFERROR(INDEX(Pacientes!$E:$E,MATCH($A68,Pacientes!$B:$B,0)),"")</f>
      </c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>
        <f>IFERROR(INDEX(Intervenções!$K$2:$K$300,AGGREGATE(15,6,(ROW(Intervenções!$K$2:$K$300)-ROW(Intervenções!$K$2)+1)/((Intervenções!$B$2:$B$300=A68)*(Intervenções!$A$2:$A$300=F68)*(Intervenções!$K$2:$K$300&lt;&gt;"")),1)),"")</f>
      </c>
      <c r="AC68" s="4">
        <f>IFERROR(INDEX(Intervenções!$K$2:$K$300,AGGREGATE(15,6,(ROW(Intervenções!$K$2:$K$300)-ROW(Intervenções!$K$2)+1)/((Intervenções!$B$2:$B$300=A68)*(Intervenções!$A$2:$A$300=F68)*(Intervenções!$K$2:$K$300&lt;&gt;"")),2)),"")</f>
      </c>
      <c r="AD68" s="4">
        <f>IFERROR(INDEX(Intervenções!$K$2:$K$300,AGGREGATE(15,6,(ROW(Intervenções!$K$2:$K$300)-ROW(Intervenções!$K$2)+1)/((Intervenções!$B$2:$B$300=A68)*(Intervenções!$A$2:$A$300=F68)*(Intervenções!$K$2:$K$300&lt;&gt;"")),3)),"")</f>
      </c>
      <c r="AE68" s="4">
        <f>"RECONCILIAÇÃO MEDICAMENTOSA"&amp;CHAR(10)&amp;IF(G68&lt;&gt;"","Medicamentos de uso prévio: "&amp;G68&amp;".","Sem medicamentos de uso prévio relatados.")&amp;CHAR(10)&amp;IF(H68&lt;&gt;"","Histórico de alergia/RAM: "&amp;H68&amp;".","Nega alergias/RAM conhecidas.")</f>
      </c>
      <c r="AF68" s="4">
        <f>AE68&amp;CHAR(10)&amp;CHAR(10)&amp;"1. Evolução Clínica"&amp;CHAR(10)&amp;TEXTJOIN(" ",TRUE,"Paciente "&amp;I68&amp;", "&amp;IF(J68="","sem DVA","em uso de "&amp;J68)&amp;".",IF(K68&lt;&gt;"","Em "&amp;K68&amp;IF(L68&lt;&gt;""," ("&amp;L68&amp;")","")&amp;IF(M68&lt;&gt;"", ", "&amp;M68,"")&amp;IF(N68&lt;&gt;"", ", sob analgosedação com "&amp;N68,"")&amp;".",""),IF(O68&lt;&gt;"",O68&amp;IF(P68&lt;&gt;"", ", com "&amp;LOWER(P68),"")&amp;IF(Q68&lt;&gt;"", " — "&amp;Q68,"")&amp;".",""),IF(R68="Febre","Apresentou episódio febril nas últimas 24h"&amp;IF(S68&lt;&gt;""," ("&amp;S68&amp;")","")&amp;".",IF(R68="Afebril","Encontra-se afebril.","")),IF(T68&lt;&gt;"",IF(U68="Sim","Apresenta disfunção renal aguda ","Função renal preservada ")&amp;"("&amp;T68&amp;").",""),IF(V68&lt;&gt;"","Em uso do esquema antimicrobiano com "&amp;V68&amp;".",""),IF(TEXTJOIN(", ",TRUE,IF(W68&lt;&gt;"","TEV ("&amp;W68&amp;")",""),IF(X68&lt;&gt;"","LAMG ("&amp;X68&amp;")",""),IF(Y68&lt;&gt;"","úlcera de córnea com "&amp;Y68,""))&lt;&gt;"","Em uso de profilaxia: "&amp;TEXTJOIN(", ",TRUE,IF(W68&lt;&gt;"","TEV ("&amp;W68&amp;")",""),IF(X68&lt;&gt;"","LAMG ("&amp;X68&amp;")",""),IF(Y68&lt;&gt;"","úlcera de córnea com "&amp;Y68,""))&amp;".",""))&amp;CHAR(10)&amp;CHAR(10)&amp;"2. Farmacoterapia"&amp;CHAR(10)&amp;IF(Z68&lt;&gt;"","Corticoide/DART: "&amp;Z68,"Sem corticoide/DART registrado.")&amp;CHAR(10)&amp;CHAR(10)&amp;"3. Conduta Farmacêutica"&amp;CHAR(10)&amp;IF(TEXTJOIN(CHAR(10),TRUE,AB68,AC68,AD68)="","Nenhuma intervenção registrada hoje.",TEXTJOIN(CHAR(10),TRUE,AB68,AC68,AD68))&amp;CHAR(10)&amp;CHAR(10)&amp;"4. Plano Terapêutico"&amp;CHAR(10)&amp;IF(AA68&lt;&gt;"",AA68,"Não definido.")</f>
      </c>
    </row>
    <row r="69" spans="1:32" x14ac:dyDescent="0.25">
      <c r="A69" s="4"/>
      <c r="B69" s="6">
        <f>IFERROR(INDEX(Pacientes!$A:$A,MATCH($A69,Pacientes!$B:$B,0)),"")</f>
      </c>
      <c r="C69" s="6">
        <f>IFERROR(INDEX(Pacientes!$C:$C,MATCH($A69,Pacientes!$B:$B,0)),"")</f>
      </c>
      <c r="D69" s="6">
        <f>IFERROR(INDEX(Pacientes!$D:$D,MATCH($A69,Pacientes!$B:$B,0)),"")</f>
      </c>
      <c r="E69" s="6">
        <f>IFERROR(INDEX(Pacientes!$E:$E,MATCH($A69,Pacientes!$B:$B,0)),"")</f>
      </c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>
        <f>IFERROR(INDEX(Intervenções!$K$2:$K$300,AGGREGATE(15,6,(ROW(Intervenções!$K$2:$K$300)-ROW(Intervenções!$K$2)+1)/((Intervenções!$B$2:$B$300=A69)*(Intervenções!$A$2:$A$300=F69)*(Intervenções!$K$2:$K$300&lt;&gt;"")),1)),"")</f>
      </c>
      <c r="AC69" s="4">
        <f>IFERROR(INDEX(Intervenções!$K$2:$K$300,AGGREGATE(15,6,(ROW(Intervenções!$K$2:$K$300)-ROW(Intervenções!$K$2)+1)/((Intervenções!$B$2:$B$300=A69)*(Intervenções!$A$2:$A$300=F69)*(Intervenções!$K$2:$K$300&lt;&gt;"")),2)),"")</f>
      </c>
      <c r="AD69" s="4">
        <f>IFERROR(INDEX(Intervenções!$K$2:$K$300,AGGREGATE(15,6,(ROW(Intervenções!$K$2:$K$300)-ROW(Intervenções!$K$2)+1)/((Intervenções!$B$2:$B$300=A69)*(Intervenções!$A$2:$A$300=F69)*(Intervenções!$K$2:$K$300&lt;&gt;"")),3)),"")</f>
      </c>
      <c r="AE69" s="4">
        <f>"RECONCILIAÇÃO MEDICAMENTOSA"&amp;CHAR(10)&amp;IF(G69&lt;&gt;"","Medicamentos de uso prévio: "&amp;G69&amp;".","Sem medicamentos de uso prévio relatados.")&amp;CHAR(10)&amp;IF(H69&lt;&gt;"","Histórico de alergia/RAM: "&amp;H69&amp;".","Nega alergias/RAM conhecidas.")</f>
      </c>
      <c r="AF69" s="4">
        <f>AE69&amp;CHAR(10)&amp;CHAR(10)&amp;"1. Evolução Clínica"&amp;CHAR(10)&amp;TEXTJOIN(" ",TRUE,"Paciente "&amp;I69&amp;", "&amp;IF(J69="","sem DVA","em uso de "&amp;J69)&amp;".",IF(K69&lt;&gt;"","Em "&amp;K69&amp;IF(L69&lt;&gt;""," ("&amp;L69&amp;")","")&amp;IF(M69&lt;&gt;"", ", "&amp;M69,"")&amp;IF(N69&lt;&gt;"", ", sob analgosedação com "&amp;N69,"")&amp;".",""),IF(O69&lt;&gt;"",O69&amp;IF(P69&lt;&gt;"", ", com "&amp;LOWER(P69),"")&amp;IF(Q69&lt;&gt;"", " — "&amp;Q69,"")&amp;".",""),IF(R69="Febre","Apresentou episódio febril nas últimas 24h"&amp;IF(S69&lt;&gt;""," ("&amp;S69&amp;")","")&amp;".",IF(R69="Afebril","Encontra-se afebril.","")),IF(T69&lt;&gt;"",IF(U69="Sim","Apresenta disfunção renal aguda ","Função renal preservada ")&amp;"("&amp;T69&amp;").",""),IF(V69&lt;&gt;"","Em uso do esquema antimicrobiano com "&amp;V69&amp;".",""),IF(TEXTJOIN(", ",TRUE,IF(W69&lt;&gt;"","TEV ("&amp;W69&amp;")",""),IF(X69&lt;&gt;"","LAMG ("&amp;X69&amp;")",""),IF(Y69&lt;&gt;"","úlcera de córnea com "&amp;Y69,""))&lt;&gt;"","Em uso de profilaxia: "&amp;TEXTJOIN(", ",TRUE,IF(W69&lt;&gt;"","TEV ("&amp;W69&amp;")",""),IF(X69&lt;&gt;"","LAMG ("&amp;X69&amp;")",""),IF(Y69&lt;&gt;"","úlcera de córnea com "&amp;Y69,""))&amp;".",""))&amp;CHAR(10)&amp;CHAR(10)&amp;"2. Farmacoterapia"&amp;CHAR(10)&amp;IF(Z69&lt;&gt;"","Corticoide/DART: "&amp;Z69,"Sem corticoide/DART registrado.")&amp;CHAR(10)&amp;CHAR(10)&amp;"3. Conduta Farmacêutica"&amp;CHAR(10)&amp;IF(TEXTJOIN(CHAR(10),TRUE,AB69,AC69,AD69)="","Nenhuma intervenção registrada hoje.",TEXTJOIN(CHAR(10),TRUE,AB69,AC69,AD69))&amp;CHAR(10)&amp;CHAR(10)&amp;"4. Plano Terapêutico"&amp;CHAR(10)&amp;IF(AA69&lt;&gt;"",AA69,"Não definido.")</f>
      </c>
    </row>
    <row r="70" spans="1:32" x14ac:dyDescent="0.25">
      <c r="A70" s="4"/>
      <c r="B70" s="6">
        <f>IFERROR(INDEX(Pacientes!$A:$A,MATCH($A70,Pacientes!$B:$B,0)),"")</f>
      </c>
      <c r="C70" s="6">
        <f>IFERROR(INDEX(Pacientes!$C:$C,MATCH($A70,Pacientes!$B:$B,0)),"")</f>
      </c>
      <c r="D70" s="6">
        <f>IFERROR(INDEX(Pacientes!$D:$D,MATCH($A70,Pacientes!$B:$B,0)),"")</f>
      </c>
      <c r="E70" s="6">
        <f>IFERROR(INDEX(Pacientes!$E:$E,MATCH($A70,Pacientes!$B:$B,0)),"")</f>
      </c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>
        <f>IFERROR(INDEX(Intervenções!$K$2:$K$300,AGGREGATE(15,6,(ROW(Intervenções!$K$2:$K$300)-ROW(Intervenções!$K$2)+1)/((Intervenções!$B$2:$B$300=A70)*(Intervenções!$A$2:$A$300=F70)*(Intervenções!$K$2:$K$300&lt;&gt;"")),1)),"")</f>
      </c>
      <c r="AC70" s="4">
        <f>IFERROR(INDEX(Intervenções!$K$2:$K$300,AGGREGATE(15,6,(ROW(Intervenções!$K$2:$K$300)-ROW(Intervenções!$K$2)+1)/((Intervenções!$B$2:$B$300=A70)*(Intervenções!$A$2:$A$300=F70)*(Intervenções!$K$2:$K$300&lt;&gt;"")),2)),"")</f>
      </c>
      <c r="AD70" s="4">
        <f>IFERROR(INDEX(Intervenções!$K$2:$K$300,AGGREGATE(15,6,(ROW(Intervenções!$K$2:$K$300)-ROW(Intervenções!$K$2)+1)/((Intervenções!$B$2:$B$300=A70)*(Intervenções!$A$2:$A$300=F70)*(Intervenções!$K$2:$K$300&lt;&gt;"")),3)),"")</f>
      </c>
      <c r="AE70" s="4">
        <f>"RECONCILIAÇÃO MEDICAMENTOSA"&amp;CHAR(10)&amp;IF(G70&lt;&gt;"","Medicamentos de uso prévio: "&amp;G70&amp;".","Sem medicamentos de uso prévio relatados.")&amp;CHAR(10)&amp;IF(H70&lt;&gt;"","Histórico de alergia/RAM: "&amp;H70&amp;".","Nega alergias/RAM conhecidas.")</f>
      </c>
      <c r="AF70" s="4">
        <f>AE70&amp;CHAR(10)&amp;CHAR(10)&amp;"1. Evolução Clínica"&amp;CHAR(10)&amp;TEXTJOIN(" ",TRUE,"Paciente "&amp;I70&amp;", "&amp;IF(J70="","sem DVA","em uso de "&amp;J70)&amp;".",IF(K70&lt;&gt;"","Em "&amp;K70&amp;IF(L70&lt;&gt;""," ("&amp;L70&amp;")","")&amp;IF(M70&lt;&gt;"", ", "&amp;M70,"")&amp;IF(N70&lt;&gt;"", ", sob analgosedação com "&amp;N70,"")&amp;".",""),IF(O70&lt;&gt;"",O70&amp;IF(P70&lt;&gt;"", ", com "&amp;LOWER(P70),"")&amp;IF(Q70&lt;&gt;"", " — "&amp;Q70,"")&amp;".",""),IF(R70="Febre","Apresentou episódio febril nas últimas 24h"&amp;IF(S70&lt;&gt;""," ("&amp;S70&amp;")","")&amp;".",IF(R70="Afebril","Encontra-se afebril.","")),IF(T70&lt;&gt;"",IF(U70="Sim","Apresenta disfunção renal aguda ","Função renal preservada ")&amp;"("&amp;T70&amp;").",""),IF(V70&lt;&gt;"","Em uso do esquema antimicrobiano com "&amp;V70&amp;".",""),IF(TEXTJOIN(", ",TRUE,IF(W70&lt;&gt;"","TEV ("&amp;W70&amp;")",""),IF(X70&lt;&gt;"","LAMG ("&amp;X70&amp;")",""),IF(Y70&lt;&gt;"","úlcera de córnea com "&amp;Y70,""))&lt;&gt;"","Em uso de profilaxia: "&amp;TEXTJOIN(", ",TRUE,IF(W70&lt;&gt;"","TEV ("&amp;W70&amp;")",""),IF(X70&lt;&gt;"","LAMG ("&amp;X70&amp;")",""),IF(Y70&lt;&gt;"","úlcera de córnea com "&amp;Y70,""))&amp;".",""))&amp;CHAR(10)&amp;CHAR(10)&amp;"2. Farmacoterapia"&amp;CHAR(10)&amp;IF(Z70&lt;&gt;"","Corticoide/DART: "&amp;Z70,"Sem corticoide/DART registrado.")&amp;CHAR(10)&amp;CHAR(10)&amp;"3. Conduta Farmacêutica"&amp;CHAR(10)&amp;IF(TEXTJOIN(CHAR(10),TRUE,AB70,AC70,AD70)="","Nenhuma intervenção registrada hoje.",TEXTJOIN(CHAR(10),TRUE,AB70,AC70,AD70))&amp;CHAR(10)&amp;CHAR(10)&amp;"4. Plano Terapêutico"&amp;CHAR(10)&amp;IF(AA70&lt;&gt;"",AA70,"Não definido.")</f>
      </c>
    </row>
    <row r="71" spans="1:32" x14ac:dyDescent="0.25">
      <c r="A71" s="4"/>
      <c r="B71" s="6">
        <f>IFERROR(INDEX(Pacientes!$A:$A,MATCH($A71,Pacientes!$B:$B,0)),"")</f>
      </c>
      <c r="C71" s="6">
        <f>IFERROR(INDEX(Pacientes!$C:$C,MATCH($A71,Pacientes!$B:$B,0)),"")</f>
      </c>
      <c r="D71" s="6">
        <f>IFERROR(INDEX(Pacientes!$D:$D,MATCH($A71,Pacientes!$B:$B,0)),"")</f>
      </c>
      <c r="E71" s="6">
        <f>IFERROR(INDEX(Pacientes!$E:$E,MATCH($A71,Pacientes!$B:$B,0)),"")</f>
      </c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>
        <f>IFERROR(INDEX(Intervenções!$K$2:$K$300,AGGREGATE(15,6,(ROW(Intervenções!$K$2:$K$300)-ROW(Intervenções!$K$2)+1)/((Intervenções!$B$2:$B$300=A71)*(Intervenções!$A$2:$A$300=F71)*(Intervenções!$K$2:$K$300&lt;&gt;"")),1)),"")</f>
      </c>
      <c r="AC71" s="4">
        <f>IFERROR(INDEX(Intervenções!$K$2:$K$300,AGGREGATE(15,6,(ROW(Intervenções!$K$2:$K$300)-ROW(Intervenções!$K$2)+1)/((Intervenções!$B$2:$B$300=A71)*(Intervenções!$A$2:$A$300=F71)*(Intervenções!$K$2:$K$300&lt;&gt;"")),2)),"")</f>
      </c>
      <c r="AD71" s="4">
        <f>IFERROR(INDEX(Intervenções!$K$2:$K$300,AGGREGATE(15,6,(ROW(Intervenções!$K$2:$K$300)-ROW(Intervenções!$K$2)+1)/((Intervenções!$B$2:$B$300=A71)*(Intervenções!$A$2:$A$300=F71)*(Intervenções!$K$2:$K$300&lt;&gt;"")),3)),"")</f>
      </c>
      <c r="AE71" s="4">
        <f>"RECONCILIAÇÃO MEDICAMENTOSA"&amp;CHAR(10)&amp;IF(G71&lt;&gt;"","Medicamentos de uso prévio: "&amp;G71&amp;".","Sem medicamentos de uso prévio relatados.")&amp;CHAR(10)&amp;IF(H71&lt;&gt;"","Histórico de alergia/RAM: "&amp;H71&amp;".","Nega alergias/RAM conhecidas.")</f>
      </c>
      <c r="AF71" s="4">
        <f>AE71&amp;CHAR(10)&amp;CHAR(10)&amp;"1. Evolução Clínica"&amp;CHAR(10)&amp;TEXTJOIN(" ",TRUE,"Paciente "&amp;I71&amp;", "&amp;IF(J71="","sem DVA","em uso de "&amp;J71)&amp;".",IF(K71&lt;&gt;"","Em "&amp;K71&amp;IF(L71&lt;&gt;""," ("&amp;L71&amp;")","")&amp;IF(M71&lt;&gt;"", ", "&amp;M71,"")&amp;IF(N71&lt;&gt;"", ", sob analgosedação com "&amp;N71,"")&amp;".",""),IF(O71&lt;&gt;"",O71&amp;IF(P71&lt;&gt;"", ", com "&amp;LOWER(P71),"")&amp;IF(Q71&lt;&gt;"", " — "&amp;Q71,"")&amp;".",""),IF(R71="Febre","Apresentou episódio febril nas últimas 24h"&amp;IF(S71&lt;&gt;""," ("&amp;S71&amp;")","")&amp;".",IF(R71="Afebril","Encontra-se afebril.","")),IF(T71&lt;&gt;"",IF(U71="Sim","Apresenta disfunção renal aguda ","Função renal preservada ")&amp;"("&amp;T71&amp;").",""),IF(V71&lt;&gt;"","Em uso do esquema antimicrobiano com "&amp;V71&amp;".",""),IF(TEXTJOIN(", ",TRUE,IF(W71&lt;&gt;"","TEV ("&amp;W71&amp;")",""),IF(X71&lt;&gt;"","LAMG ("&amp;X71&amp;")",""),IF(Y71&lt;&gt;"","úlcera de córnea com "&amp;Y71,""))&lt;&gt;"","Em uso de profilaxia: "&amp;TEXTJOIN(", ",TRUE,IF(W71&lt;&gt;"","TEV ("&amp;W71&amp;")",""),IF(X71&lt;&gt;"","LAMG ("&amp;X71&amp;")",""),IF(Y71&lt;&gt;"","úlcera de córnea com "&amp;Y71,""))&amp;".",""))&amp;CHAR(10)&amp;CHAR(10)&amp;"2. Farmacoterapia"&amp;CHAR(10)&amp;IF(Z71&lt;&gt;"","Corticoide/DART: "&amp;Z71,"Sem corticoide/DART registrado.")&amp;CHAR(10)&amp;CHAR(10)&amp;"3. Conduta Farmacêutica"&amp;CHAR(10)&amp;IF(TEXTJOIN(CHAR(10),TRUE,AB71,AC71,AD71)="","Nenhuma intervenção registrada hoje.",TEXTJOIN(CHAR(10),TRUE,AB71,AC71,AD71))&amp;CHAR(10)&amp;CHAR(10)&amp;"4. Plano Terapêutico"&amp;CHAR(10)&amp;IF(AA71&lt;&gt;"",AA71,"Não definido.")</f>
      </c>
    </row>
    <row r="72" spans="1:32" x14ac:dyDescent="0.25">
      <c r="A72" s="4"/>
      <c r="B72" s="6">
        <f>IFERROR(INDEX(Pacientes!$A:$A,MATCH($A72,Pacientes!$B:$B,0)),"")</f>
      </c>
      <c r="C72" s="6">
        <f>IFERROR(INDEX(Pacientes!$C:$C,MATCH($A72,Pacientes!$B:$B,0)),"")</f>
      </c>
      <c r="D72" s="6">
        <f>IFERROR(INDEX(Pacientes!$D:$D,MATCH($A72,Pacientes!$B:$B,0)),"")</f>
      </c>
      <c r="E72" s="6">
        <f>IFERROR(INDEX(Pacientes!$E:$E,MATCH($A72,Pacientes!$B:$B,0)),"")</f>
      </c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>
        <f>IFERROR(INDEX(Intervenções!$K$2:$K$300,AGGREGATE(15,6,(ROW(Intervenções!$K$2:$K$300)-ROW(Intervenções!$K$2)+1)/((Intervenções!$B$2:$B$300=A72)*(Intervenções!$A$2:$A$300=F72)*(Intervenções!$K$2:$K$300&lt;&gt;"")),1)),"")</f>
      </c>
      <c r="AC72" s="4">
        <f>IFERROR(INDEX(Intervenções!$K$2:$K$300,AGGREGATE(15,6,(ROW(Intervenções!$K$2:$K$300)-ROW(Intervenções!$K$2)+1)/((Intervenções!$B$2:$B$300=A72)*(Intervenções!$A$2:$A$300=F72)*(Intervenções!$K$2:$K$300&lt;&gt;"")),2)),"")</f>
      </c>
      <c r="AD72" s="4">
        <f>IFERROR(INDEX(Intervenções!$K$2:$K$300,AGGREGATE(15,6,(ROW(Intervenções!$K$2:$K$300)-ROW(Intervenções!$K$2)+1)/((Intervenções!$B$2:$B$300=A72)*(Intervenções!$A$2:$A$300=F72)*(Intervenções!$K$2:$K$300&lt;&gt;"")),3)),"")</f>
      </c>
      <c r="AE72" s="4">
        <f>"RECONCILIAÇÃO MEDICAMENTOSA"&amp;CHAR(10)&amp;IF(G72&lt;&gt;"","Medicamentos de uso prévio: "&amp;G72&amp;".","Sem medicamentos de uso prévio relatados.")&amp;CHAR(10)&amp;IF(H72&lt;&gt;"","Histórico de alergia/RAM: "&amp;H72&amp;".","Nega alergias/RAM conhecidas.")</f>
      </c>
      <c r="AF72" s="4">
        <f>AE72&amp;CHAR(10)&amp;CHAR(10)&amp;"1. Evolução Clínica"&amp;CHAR(10)&amp;TEXTJOIN(" ",TRUE,"Paciente "&amp;I72&amp;", "&amp;IF(J72="","sem DVA","em uso de "&amp;J72)&amp;".",IF(K72&lt;&gt;"","Em "&amp;K72&amp;IF(L72&lt;&gt;""," ("&amp;L72&amp;")","")&amp;IF(M72&lt;&gt;"", ", "&amp;M72,"")&amp;IF(N72&lt;&gt;"", ", sob analgosedação com "&amp;N72,"")&amp;".",""),IF(O72&lt;&gt;"",O72&amp;IF(P72&lt;&gt;"", ", com "&amp;LOWER(P72),"")&amp;IF(Q72&lt;&gt;"", " — "&amp;Q72,"")&amp;".",""),IF(R72="Febre","Apresentou episódio febril nas últimas 24h"&amp;IF(S72&lt;&gt;""," ("&amp;S72&amp;")","")&amp;".",IF(R72="Afebril","Encontra-se afebril.","")),IF(T72&lt;&gt;"",IF(U72="Sim","Apresenta disfunção renal aguda ","Função renal preservada ")&amp;"("&amp;T72&amp;").",""),IF(V72&lt;&gt;"","Em uso do esquema antimicrobiano com "&amp;V72&amp;".",""),IF(TEXTJOIN(", ",TRUE,IF(W72&lt;&gt;"","TEV ("&amp;W72&amp;")",""),IF(X72&lt;&gt;"","LAMG ("&amp;X72&amp;")",""),IF(Y72&lt;&gt;"","úlcera de córnea com "&amp;Y72,""))&lt;&gt;"","Em uso de profilaxia: "&amp;TEXTJOIN(", ",TRUE,IF(W72&lt;&gt;"","TEV ("&amp;W72&amp;")",""),IF(X72&lt;&gt;"","LAMG ("&amp;X72&amp;")",""),IF(Y72&lt;&gt;"","úlcera de córnea com "&amp;Y72,""))&amp;".",""))&amp;CHAR(10)&amp;CHAR(10)&amp;"2. Farmacoterapia"&amp;CHAR(10)&amp;IF(Z72&lt;&gt;"","Corticoide/DART: "&amp;Z72,"Sem corticoide/DART registrado.")&amp;CHAR(10)&amp;CHAR(10)&amp;"3. Conduta Farmacêutica"&amp;CHAR(10)&amp;IF(TEXTJOIN(CHAR(10),TRUE,AB72,AC72,AD72)="","Nenhuma intervenção registrada hoje.",TEXTJOIN(CHAR(10),TRUE,AB72,AC72,AD72))&amp;CHAR(10)&amp;CHAR(10)&amp;"4. Plano Terapêutico"&amp;CHAR(10)&amp;IF(AA72&lt;&gt;"",AA72,"Não definido.")</f>
      </c>
    </row>
    <row r="73" spans="1:32" x14ac:dyDescent="0.25">
      <c r="A73" s="4"/>
      <c r="B73" s="6">
        <f>IFERROR(INDEX(Pacientes!$A:$A,MATCH($A73,Pacientes!$B:$B,0)),"")</f>
      </c>
      <c r="C73" s="6">
        <f>IFERROR(INDEX(Pacientes!$C:$C,MATCH($A73,Pacientes!$B:$B,0)),"")</f>
      </c>
      <c r="D73" s="6">
        <f>IFERROR(INDEX(Pacientes!$D:$D,MATCH($A73,Pacientes!$B:$B,0)),"")</f>
      </c>
      <c r="E73" s="6">
        <f>IFERROR(INDEX(Pacientes!$E:$E,MATCH($A73,Pacientes!$B:$B,0)),"")</f>
      </c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>
        <f>IFERROR(INDEX(Intervenções!$K$2:$K$300,AGGREGATE(15,6,(ROW(Intervenções!$K$2:$K$300)-ROW(Intervenções!$K$2)+1)/((Intervenções!$B$2:$B$300=A73)*(Intervenções!$A$2:$A$300=F73)*(Intervenções!$K$2:$K$300&lt;&gt;"")),1)),"")</f>
      </c>
      <c r="AC73" s="4">
        <f>IFERROR(INDEX(Intervenções!$K$2:$K$300,AGGREGATE(15,6,(ROW(Intervenções!$K$2:$K$300)-ROW(Intervenções!$K$2)+1)/((Intervenções!$B$2:$B$300=A73)*(Intervenções!$A$2:$A$300=F73)*(Intervenções!$K$2:$K$300&lt;&gt;"")),2)),"")</f>
      </c>
      <c r="AD73" s="4">
        <f>IFERROR(INDEX(Intervenções!$K$2:$K$300,AGGREGATE(15,6,(ROW(Intervenções!$K$2:$K$300)-ROW(Intervenções!$K$2)+1)/((Intervenções!$B$2:$B$300=A73)*(Intervenções!$A$2:$A$300=F73)*(Intervenções!$K$2:$K$300&lt;&gt;"")),3)),"")</f>
      </c>
      <c r="AE73" s="4">
        <f>"RECONCILIAÇÃO MEDICAMENTOSA"&amp;CHAR(10)&amp;IF(G73&lt;&gt;"","Medicamentos de uso prévio: "&amp;G73&amp;".","Sem medicamentos de uso prévio relatados.")&amp;CHAR(10)&amp;IF(H73&lt;&gt;"","Histórico de alergia/RAM: "&amp;H73&amp;".","Nega alergias/RAM conhecidas.")</f>
      </c>
      <c r="AF73" s="4">
        <f>AE73&amp;CHAR(10)&amp;CHAR(10)&amp;"1. Evolução Clínica"&amp;CHAR(10)&amp;TEXTJOIN(" ",TRUE,"Paciente "&amp;I73&amp;", "&amp;IF(J73="","sem DVA","em uso de "&amp;J73)&amp;".",IF(K73&lt;&gt;"","Em "&amp;K73&amp;IF(L73&lt;&gt;""," ("&amp;L73&amp;")","")&amp;IF(M73&lt;&gt;"", ", "&amp;M73,"")&amp;IF(N73&lt;&gt;"", ", sob analgosedação com "&amp;N73,"")&amp;".",""),IF(O73&lt;&gt;"",O73&amp;IF(P73&lt;&gt;"", ", com "&amp;LOWER(P73),"")&amp;IF(Q73&lt;&gt;"", " — "&amp;Q73,"")&amp;".",""),IF(R73="Febre","Apresentou episódio febril nas últimas 24h"&amp;IF(S73&lt;&gt;""," ("&amp;S73&amp;")","")&amp;".",IF(R73="Afebril","Encontra-se afebril.","")),IF(T73&lt;&gt;"",IF(U73="Sim","Apresenta disfunção renal aguda ","Função renal preservada ")&amp;"("&amp;T73&amp;").",""),IF(V73&lt;&gt;"","Em uso do esquema antimicrobiano com "&amp;V73&amp;".",""),IF(TEXTJOIN(", ",TRUE,IF(W73&lt;&gt;"","TEV ("&amp;W73&amp;")",""),IF(X73&lt;&gt;"","LAMG ("&amp;X73&amp;")",""),IF(Y73&lt;&gt;"","úlcera de córnea com "&amp;Y73,""))&lt;&gt;"","Em uso de profilaxia: "&amp;TEXTJOIN(", ",TRUE,IF(W73&lt;&gt;"","TEV ("&amp;W73&amp;")",""),IF(X73&lt;&gt;"","LAMG ("&amp;X73&amp;")",""),IF(Y73&lt;&gt;"","úlcera de córnea com "&amp;Y73,""))&amp;".",""))&amp;CHAR(10)&amp;CHAR(10)&amp;"2. Farmacoterapia"&amp;CHAR(10)&amp;IF(Z73&lt;&gt;"","Corticoide/DART: "&amp;Z73,"Sem corticoide/DART registrado.")&amp;CHAR(10)&amp;CHAR(10)&amp;"3. Conduta Farmacêutica"&amp;CHAR(10)&amp;IF(TEXTJOIN(CHAR(10),TRUE,AB73,AC73,AD73)="","Nenhuma intervenção registrada hoje.",TEXTJOIN(CHAR(10),TRUE,AB73,AC73,AD73))&amp;CHAR(10)&amp;CHAR(10)&amp;"4. Plano Terapêutico"&amp;CHAR(10)&amp;IF(AA73&lt;&gt;"",AA73,"Não definido.")</f>
      </c>
    </row>
    <row r="74" spans="1:32" x14ac:dyDescent="0.25">
      <c r="A74" s="4"/>
      <c r="B74" s="6">
        <f>IFERROR(INDEX(Pacientes!$A:$A,MATCH($A74,Pacientes!$B:$B,0)),"")</f>
      </c>
      <c r="C74" s="6">
        <f>IFERROR(INDEX(Pacientes!$C:$C,MATCH($A74,Pacientes!$B:$B,0)),"")</f>
      </c>
      <c r="D74" s="6">
        <f>IFERROR(INDEX(Pacientes!$D:$D,MATCH($A74,Pacientes!$B:$B,0)),"")</f>
      </c>
      <c r="E74" s="6">
        <f>IFERROR(INDEX(Pacientes!$E:$E,MATCH($A74,Pacientes!$B:$B,0)),"")</f>
      </c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>
        <f>IFERROR(INDEX(Intervenções!$K$2:$K$300,AGGREGATE(15,6,(ROW(Intervenções!$K$2:$K$300)-ROW(Intervenções!$K$2)+1)/((Intervenções!$B$2:$B$300=A74)*(Intervenções!$A$2:$A$300=F74)*(Intervenções!$K$2:$K$300&lt;&gt;"")),1)),"")</f>
      </c>
      <c r="AC74" s="4">
        <f>IFERROR(INDEX(Intervenções!$K$2:$K$300,AGGREGATE(15,6,(ROW(Intervenções!$K$2:$K$300)-ROW(Intervenções!$K$2)+1)/((Intervenções!$B$2:$B$300=A74)*(Intervenções!$A$2:$A$300=F74)*(Intervenções!$K$2:$K$300&lt;&gt;"")),2)),"")</f>
      </c>
      <c r="AD74" s="4">
        <f>IFERROR(INDEX(Intervenções!$K$2:$K$300,AGGREGATE(15,6,(ROW(Intervenções!$K$2:$K$300)-ROW(Intervenções!$K$2)+1)/((Intervenções!$B$2:$B$300=A74)*(Intervenções!$A$2:$A$300=F74)*(Intervenções!$K$2:$K$300&lt;&gt;"")),3)),"")</f>
      </c>
      <c r="AE74" s="4">
        <f>"RECONCILIAÇÃO MEDICAMENTOSA"&amp;CHAR(10)&amp;IF(G74&lt;&gt;"","Medicamentos de uso prévio: "&amp;G74&amp;".","Sem medicamentos de uso prévio relatados.")&amp;CHAR(10)&amp;IF(H74&lt;&gt;"","Histórico de alergia/RAM: "&amp;H74&amp;".","Nega alergias/RAM conhecidas.")</f>
      </c>
      <c r="AF74" s="4">
        <f>AE74&amp;CHAR(10)&amp;CHAR(10)&amp;"1. Evolução Clínica"&amp;CHAR(10)&amp;TEXTJOIN(" ",TRUE,"Paciente "&amp;I74&amp;", "&amp;IF(J74="","sem DVA","em uso de "&amp;J74)&amp;".",IF(K74&lt;&gt;"","Em "&amp;K74&amp;IF(L74&lt;&gt;""," ("&amp;L74&amp;")","")&amp;IF(M74&lt;&gt;"", ", "&amp;M74,"")&amp;IF(N74&lt;&gt;"", ", sob analgosedação com "&amp;N74,"")&amp;".",""),IF(O74&lt;&gt;"",O74&amp;IF(P74&lt;&gt;"", ", com "&amp;LOWER(P74),"")&amp;IF(Q74&lt;&gt;"", " — "&amp;Q74,"")&amp;".",""),IF(R74="Febre","Apresentou episódio febril nas últimas 24h"&amp;IF(S74&lt;&gt;""," ("&amp;S74&amp;")","")&amp;".",IF(R74="Afebril","Encontra-se afebril.","")),IF(T74&lt;&gt;"",IF(U74="Sim","Apresenta disfunção renal aguda ","Função renal preservada ")&amp;"("&amp;T74&amp;").",""),IF(V74&lt;&gt;"","Em uso do esquema antimicrobiano com "&amp;V74&amp;".",""),IF(TEXTJOIN(", ",TRUE,IF(W74&lt;&gt;"","TEV ("&amp;W74&amp;")",""),IF(X74&lt;&gt;"","LAMG ("&amp;X74&amp;")",""),IF(Y74&lt;&gt;"","úlcera de córnea com "&amp;Y74,""))&lt;&gt;"","Em uso de profilaxia: "&amp;TEXTJOIN(", ",TRUE,IF(W74&lt;&gt;"","TEV ("&amp;W74&amp;")",""),IF(X74&lt;&gt;"","LAMG ("&amp;X74&amp;")",""),IF(Y74&lt;&gt;"","úlcera de córnea com "&amp;Y74,""))&amp;".",""))&amp;CHAR(10)&amp;CHAR(10)&amp;"2. Farmacoterapia"&amp;CHAR(10)&amp;IF(Z74&lt;&gt;"","Corticoide/DART: "&amp;Z74,"Sem corticoide/DART registrado.")&amp;CHAR(10)&amp;CHAR(10)&amp;"3. Conduta Farmacêutica"&amp;CHAR(10)&amp;IF(TEXTJOIN(CHAR(10),TRUE,AB74,AC74,AD74)="","Nenhuma intervenção registrada hoje.",TEXTJOIN(CHAR(10),TRUE,AB74,AC74,AD74))&amp;CHAR(10)&amp;CHAR(10)&amp;"4. Plano Terapêutico"&amp;CHAR(10)&amp;IF(AA74&lt;&gt;"",AA74,"Não definido.")</f>
      </c>
    </row>
    <row r="75" spans="1:32" x14ac:dyDescent="0.25">
      <c r="A75" s="4"/>
      <c r="B75" s="6">
        <f>IFERROR(INDEX(Pacientes!$A:$A,MATCH($A75,Pacientes!$B:$B,0)),"")</f>
      </c>
      <c r="C75" s="6">
        <f>IFERROR(INDEX(Pacientes!$C:$C,MATCH($A75,Pacientes!$B:$B,0)),"")</f>
      </c>
      <c r="D75" s="6">
        <f>IFERROR(INDEX(Pacientes!$D:$D,MATCH($A75,Pacientes!$B:$B,0)),"")</f>
      </c>
      <c r="E75" s="6">
        <f>IFERROR(INDEX(Pacientes!$E:$E,MATCH($A75,Pacientes!$B:$B,0)),"")</f>
      </c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>
        <f>IFERROR(INDEX(Intervenções!$K$2:$K$300,AGGREGATE(15,6,(ROW(Intervenções!$K$2:$K$300)-ROW(Intervenções!$K$2)+1)/((Intervenções!$B$2:$B$300=A75)*(Intervenções!$A$2:$A$300=F75)*(Intervenções!$K$2:$K$300&lt;&gt;"")),1)),"")</f>
      </c>
      <c r="AC75" s="4">
        <f>IFERROR(INDEX(Intervenções!$K$2:$K$300,AGGREGATE(15,6,(ROW(Intervenções!$K$2:$K$300)-ROW(Intervenções!$K$2)+1)/((Intervenções!$B$2:$B$300=A75)*(Intervenções!$A$2:$A$300=F75)*(Intervenções!$K$2:$K$300&lt;&gt;"")),2)),"")</f>
      </c>
      <c r="AD75" s="4">
        <f>IFERROR(INDEX(Intervenções!$K$2:$K$300,AGGREGATE(15,6,(ROW(Intervenções!$K$2:$K$300)-ROW(Intervenções!$K$2)+1)/((Intervenções!$B$2:$B$300=A75)*(Intervenções!$A$2:$A$300=F75)*(Intervenções!$K$2:$K$300&lt;&gt;"")),3)),"")</f>
      </c>
      <c r="AE75" s="4">
        <f>"RECONCILIAÇÃO MEDICAMENTOSA"&amp;CHAR(10)&amp;IF(G75&lt;&gt;"","Medicamentos de uso prévio: "&amp;G75&amp;".","Sem medicamentos de uso prévio relatados.")&amp;CHAR(10)&amp;IF(H75&lt;&gt;"","Histórico de alergia/RAM: "&amp;H75&amp;".","Nega alergias/RAM conhecidas.")</f>
      </c>
      <c r="AF75" s="4">
        <f>AE75&amp;CHAR(10)&amp;CHAR(10)&amp;"1. Evolução Clínica"&amp;CHAR(10)&amp;TEXTJOIN(" ",TRUE,"Paciente "&amp;I75&amp;", "&amp;IF(J75="","sem DVA","em uso de "&amp;J75)&amp;".",IF(K75&lt;&gt;"","Em "&amp;K75&amp;IF(L75&lt;&gt;""," ("&amp;L75&amp;")","")&amp;IF(M75&lt;&gt;"", ", "&amp;M75,"")&amp;IF(N75&lt;&gt;"", ", sob analgosedação com "&amp;N75,"")&amp;".",""),IF(O75&lt;&gt;"",O75&amp;IF(P75&lt;&gt;"", ", com "&amp;LOWER(P75),"")&amp;IF(Q75&lt;&gt;"", " — "&amp;Q75,"")&amp;".",""),IF(R75="Febre","Apresentou episódio febril nas últimas 24h"&amp;IF(S75&lt;&gt;""," ("&amp;S75&amp;")","")&amp;".",IF(R75="Afebril","Encontra-se afebril.","")),IF(T75&lt;&gt;"",IF(U75="Sim","Apresenta disfunção renal aguda ","Função renal preservada ")&amp;"("&amp;T75&amp;").",""),IF(V75&lt;&gt;"","Em uso do esquema antimicrobiano com "&amp;V75&amp;".",""),IF(TEXTJOIN(", ",TRUE,IF(W75&lt;&gt;"","TEV ("&amp;W75&amp;")",""),IF(X75&lt;&gt;"","LAMG ("&amp;X75&amp;")",""),IF(Y75&lt;&gt;"","úlcera de córnea com "&amp;Y75,""))&lt;&gt;"","Em uso de profilaxia: "&amp;TEXTJOIN(", ",TRUE,IF(W75&lt;&gt;"","TEV ("&amp;W75&amp;")",""),IF(X75&lt;&gt;"","LAMG ("&amp;X75&amp;")",""),IF(Y75&lt;&gt;"","úlcera de córnea com "&amp;Y75,""))&amp;".",""))&amp;CHAR(10)&amp;CHAR(10)&amp;"2. Farmacoterapia"&amp;CHAR(10)&amp;IF(Z75&lt;&gt;"","Corticoide/DART: "&amp;Z75,"Sem corticoide/DART registrado.")&amp;CHAR(10)&amp;CHAR(10)&amp;"3. Conduta Farmacêutica"&amp;CHAR(10)&amp;IF(TEXTJOIN(CHAR(10),TRUE,AB75,AC75,AD75)="","Nenhuma intervenção registrada hoje.",TEXTJOIN(CHAR(10),TRUE,AB75,AC75,AD75))&amp;CHAR(10)&amp;CHAR(10)&amp;"4. Plano Terapêutico"&amp;CHAR(10)&amp;IF(AA75&lt;&gt;"",AA75,"Não definido.")</f>
      </c>
    </row>
    <row r="76" spans="1:32" x14ac:dyDescent="0.25">
      <c r="A76" s="4"/>
      <c r="B76" s="6">
        <f>IFERROR(INDEX(Pacientes!$A:$A,MATCH($A76,Pacientes!$B:$B,0)),"")</f>
      </c>
      <c r="C76" s="6">
        <f>IFERROR(INDEX(Pacientes!$C:$C,MATCH($A76,Pacientes!$B:$B,0)),"")</f>
      </c>
      <c r="D76" s="6">
        <f>IFERROR(INDEX(Pacientes!$D:$D,MATCH($A76,Pacientes!$B:$B,0)),"")</f>
      </c>
      <c r="E76" s="6">
        <f>IFERROR(INDEX(Pacientes!$E:$E,MATCH($A76,Pacientes!$B:$B,0)),"")</f>
      </c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>
        <f>IFERROR(INDEX(Intervenções!$K$2:$K$300,AGGREGATE(15,6,(ROW(Intervenções!$K$2:$K$300)-ROW(Intervenções!$K$2)+1)/((Intervenções!$B$2:$B$300=A76)*(Intervenções!$A$2:$A$300=F76)*(Intervenções!$K$2:$K$300&lt;&gt;"")),1)),"")</f>
      </c>
      <c r="AC76" s="4">
        <f>IFERROR(INDEX(Intervenções!$K$2:$K$300,AGGREGATE(15,6,(ROW(Intervenções!$K$2:$K$300)-ROW(Intervenções!$K$2)+1)/((Intervenções!$B$2:$B$300=A76)*(Intervenções!$A$2:$A$300=F76)*(Intervenções!$K$2:$K$300&lt;&gt;"")),2)),"")</f>
      </c>
      <c r="AD76" s="4">
        <f>IFERROR(INDEX(Intervenções!$K$2:$K$300,AGGREGATE(15,6,(ROW(Intervenções!$K$2:$K$300)-ROW(Intervenções!$K$2)+1)/((Intervenções!$B$2:$B$300=A76)*(Intervenções!$A$2:$A$300=F76)*(Intervenções!$K$2:$K$300&lt;&gt;"")),3)),"")</f>
      </c>
      <c r="AE76" s="4">
        <f>"RECONCILIAÇÃO MEDICAMENTOSA"&amp;CHAR(10)&amp;IF(G76&lt;&gt;"","Medicamentos de uso prévio: "&amp;G76&amp;".","Sem medicamentos de uso prévio relatados.")&amp;CHAR(10)&amp;IF(H76&lt;&gt;"","Histórico de alergia/RAM: "&amp;H76&amp;".","Nega alergias/RAM conhecidas.")</f>
      </c>
      <c r="AF76" s="4">
        <f>AE76&amp;CHAR(10)&amp;CHAR(10)&amp;"1. Evolução Clínica"&amp;CHAR(10)&amp;TEXTJOIN(" ",TRUE,"Paciente "&amp;I76&amp;", "&amp;IF(J76="","sem DVA","em uso de "&amp;J76)&amp;".",IF(K76&lt;&gt;"","Em "&amp;K76&amp;IF(L76&lt;&gt;""," ("&amp;L76&amp;")","")&amp;IF(M76&lt;&gt;"", ", "&amp;M76,"")&amp;IF(N76&lt;&gt;"", ", sob analgosedação com "&amp;N76,"")&amp;".",""),IF(O76&lt;&gt;"",O76&amp;IF(P76&lt;&gt;"", ", com "&amp;LOWER(P76),"")&amp;IF(Q76&lt;&gt;"", " — "&amp;Q76,"")&amp;".",""),IF(R76="Febre","Apresentou episódio febril nas últimas 24h"&amp;IF(S76&lt;&gt;""," ("&amp;S76&amp;")","")&amp;".",IF(R76="Afebril","Encontra-se afebril.","")),IF(T76&lt;&gt;"",IF(U76="Sim","Apresenta disfunção renal aguda ","Função renal preservada ")&amp;"("&amp;T76&amp;").",""),IF(V76&lt;&gt;"","Em uso do esquema antimicrobiano com "&amp;V76&amp;".",""),IF(TEXTJOIN(", ",TRUE,IF(W76&lt;&gt;"","TEV ("&amp;W76&amp;")",""),IF(X76&lt;&gt;"","LAMG ("&amp;X76&amp;")",""),IF(Y76&lt;&gt;"","úlcera de córnea com "&amp;Y76,""))&lt;&gt;"","Em uso de profilaxia: "&amp;TEXTJOIN(", ",TRUE,IF(W76&lt;&gt;"","TEV ("&amp;W76&amp;")",""),IF(X76&lt;&gt;"","LAMG ("&amp;X76&amp;")",""),IF(Y76&lt;&gt;"","úlcera de córnea com "&amp;Y76,""))&amp;".",""))&amp;CHAR(10)&amp;CHAR(10)&amp;"2. Farmacoterapia"&amp;CHAR(10)&amp;IF(Z76&lt;&gt;"","Corticoide/DART: "&amp;Z76,"Sem corticoide/DART registrado.")&amp;CHAR(10)&amp;CHAR(10)&amp;"3. Conduta Farmacêutica"&amp;CHAR(10)&amp;IF(TEXTJOIN(CHAR(10),TRUE,AB76,AC76,AD76)="","Nenhuma intervenção registrada hoje.",TEXTJOIN(CHAR(10),TRUE,AB76,AC76,AD76))&amp;CHAR(10)&amp;CHAR(10)&amp;"4. Plano Terapêutico"&amp;CHAR(10)&amp;IF(AA76&lt;&gt;"",AA76,"Não definido.")</f>
      </c>
    </row>
    <row r="77" spans="1:32" x14ac:dyDescent="0.25">
      <c r="A77" s="4"/>
      <c r="B77" s="6">
        <f>IFERROR(INDEX(Pacientes!$A:$A,MATCH($A77,Pacientes!$B:$B,0)),"")</f>
      </c>
      <c r="C77" s="6">
        <f>IFERROR(INDEX(Pacientes!$C:$C,MATCH($A77,Pacientes!$B:$B,0)),"")</f>
      </c>
      <c r="D77" s="6">
        <f>IFERROR(INDEX(Pacientes!$D:$D,MATCH($A77,Pacientes!$B:$B,0)),"")</f>
      </c>
      <c r="E77" s="6">
        <f>IFERROR(INDEX(Pacientes!$E:$E,MATCH($A77,Pacientes!$B:$B,0)),"")</f>
      </c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>
        <f>IFERROR(INDEX(Intervenções!$K$2:$K$300,AGGREGATE(15,6,(ROW(Intervenções!$K$2:$K$300)-ROW(Intervenções!$K$2)+1)/((Intervenções!$B$2:$B$300=A77)*(Intervenções!$A$2:$A$300=F77)*(Intervenções!$K$2:$K$300&lt;&gt;"")),1)),"")</f>
      </c>
      <c r="AC77" s="4">
        <f>IFERROR(INDEX(Intervenções!$K$2:$K$300,AGGREGATE(15,6,(ROW(Intervenções!$K$2:$K$300)-ROW(Intervenções!$K$2)+1)/((Intervenções!$B$2:$B$300=A77)*(Intervenções!$A$2:$A$300=F77)*(Intervenções!$K$2:$K$300&lt;&gt;"")),2)),"")</f>
      </c>
      <c r="AD77" s="4">
        <f>IFERROR(INDEX(Intervenções!$K$2:$K$300,AGGREGATE(15,6,(ROW(Intervenções!$K$2:$K$300)-ROW(Intervenções!$K$2)+1)/((Intervenções!$B$2:$B$300=A77)*(Intervenções!$A$2:$A$300=F77)*(Intervenções!$K$2:$K$300&lt;&gt;"")),3)),"")</f>
      </c>
      <c r="AE77" s="4">
        <f>"RECONCILIAÇÃO MEDICAMENTOSA"&amp;CHAR(10)&amp;IF(G77&lt;&gt;"","Medicamentos de uso prévio: "&amp;G77&amp;".","Sem medicamentos de uso prévio relatados.")&amp;CHAR(10)&amp;IF(H77&lt;&gt;"","Histórico de alergia/RAM: "&amp;H77&amp;".","Nega alergias/RAM conhecidas.")</f>
      </c>
      <c r="AF77" s="4">
        <f>AE77&amp;CHAR(10)&amp;CHAR(10)&amp;"1. Evolução Clínica"&amp;CHAR(10)&amp;TEXTJOIN(" ",TRUE,"Paciente "&amp;I77&amp;", "&amp;IF(J77="","sem DVA","em uso de "&amp;J77)&amp;".",IF(K77&lt;&gt;"","Em "&amp;K77&amp;IF(L77&lt;&gt;""," ("&amp;L77&amp;")","")&amp;IF(M77&lt;&gt;"", ", "&amp;M77,"")&amp;IF(N77&lt;&gt;"", ", sob analgosedação com "&amp;N77,"")&amp;".",""),IF(O77&lt;&gt;"",O77&amp;IF(P77&lt;&gt;"", ", com "&amp;LOWER(P77),"")&amp;IF(Q77&lt;&gt;"", " — "&amp;Q77,"")&amp;".",""),IF(R77="Febre","Apresentou episódio febril nas últimas 24h"&amp;IF(S77&lt;&gt;""," ("&amp;S77&amp;")","")&amp;".",IF(R77="Afebril","Encontra-se afebril.","")),IF(T77&lt;&gt;"",IF(U77="Sim","Apresenta disfunção renal aguda ","Função renal preservada ")&amp;"("&amp;T77&amp;").",""),IF(V77&lt;&gt;"","Em uso do esquema antimicrobiano com "&amp;V77&amp;".",""),IF(TEXTJOIN(", ",TRUE,IF(W77&lt;&gt;"","TEV ("&amp;W77&amp;")",""),IF(X77&lt;&gt;"","LAMG ("&amp;X77&amp;")",""),IF(Y77&lt;&gt;"","úlcera de córnea com "&amp;Y77,""))&lt;&gt;"","Em uso de profilaxia: "&amp;TEXTJOIN(", ",TRUE,IF(W77&lt;&gt;"","TEV ("&amp;W77&amp;")",""),IF(X77&lt;&gt;"","LAMG ("&amp;X77&amp;")",""),IF(Y77&lt;&gt;"","úlcera de córnea com "&amp;Y77,""))&amp;".",""))&amp;CHAR(10)&amp;CHAR(10)&amp;"2. Farmacoterapia"&amp;CHAR(10)&amp;IF(Z77&lt;&gt;"","Corticoide/DART: "&amp;Z77,"Sem corticoide/DART registrado.")&amp;CHAR(10)&amp;CHAR(10)&amp;"3. Conduta Farmacêutica"&amp;CHAR(10)&amp;IF(TEXTJOIN(CHAR(10),TRUE,AB77,AC77,AD77)="","Nenhuma intervenção registrada hoje.",TEXTJOIN(CHAR(10),TRUE,AB77,AC77,AD77))&amp;CHAR(10)&amp;CHAR(10)&amp;"4. Plano Terapêutico"&amp;CHAR(10)&amp;IF(AA77&lt;&gt;"",AA77,"Não definido.")</f>
      </c>
    </row>
    <row r="78" spans="1:32" x14ac:dyDescent="0.25">
      <c r="A78" s="4"/>
      <c r="B78" s="6">
        <f>IFERROR(INDEX(Pacientes!$A:$A,MATCH($A78,Pacientes!$B:$B,0)),"")</f>
      </c>
      <c r="C78" s="6">
        <f>IFERROR(INDEX(Pacientes!$C:$C,MATCH($A78,Pacientes!$B:$B,0)),"")</f>
      </c>
      <c r="D78" s="6">
        <f>IFERROR(INDEX(Pacientes!$D:$D,MATCH($A78,Pacientes!$B:$B,0)),"")</f>
      </c>
      <c r="E78" s="6">
        <f>IFERROR(INDEX(Pacientes!$E:$E,MATCH($A78,Pacientes!$B:$B,0)),"")</f>
      </c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>
        <f>IFERROR(INDEX(Intervenções!$K$2:$K$300,AGGREGATE(15,6,(ROW(Intervenções!$K$2:$K$300)-ROW(Intervenções!$K$2)+1)/((Intervenções!$B$2:$B$300=A78)*(Intervenções!$A$2:$A$300=F78)*(Intervenções!$K$2:$K$300&lt;&gt;"")),1)),"")</f>
      </c>
      <c r="AC78" s="4">
        <f>IFERROR(INDEX(Intervenções!$K$2:$K$300,AGGREGATE(15,6,(ROW(Intervenções!$K$2:$K$300)-ROW(Intervenções!$K$2)+1)/((Intervenções!$B$2:$B$300=A78)*(Intervenções!$A$2:$A$300=F78)*(Intervenções!$K$2:$K$300&lt;&gt;"")),2)),"")</f>
      </c>
      <c r="AD78" s="4">
        <f>IFERROR(INDEX(Intervenções!$K$2:$K$300,AGGREGATE(15,6,(ROW(Intervenções!$K$2:$K$300)-ROW(Intervenções!$K$2)+1)/((Intervenções!$B$2:$B$300=A78)*(Intervenções!$A$2:$A$300=F78)*(Intervenções!$K$2:$K$300&lt;&gt;"")),3)),"")</f>
      </c>
      <c r="AE78" s="4">
        <f>"RECONCILIAÇÃO MEDICAMENTOSA"&amp;CHAR(10)&amp;IF(G78&lt;&gt;"","Medicamentos de uso prévio: "&amp;G78&amp;".","Sem medicamentos de uso prévio relatados.")&amp;CHAR(10)&amp;IF(H78&lt;&gt;"","Histórico de alergia/RAM: "&amp;H78&amp;".","Nega alergias/RAM conhecidas.")</f>
      </c>
      <c r="AF78" s="4">
        <f>AE78&amp;CHAR(10)&amp;CHAR(10)&amp;"1. Evolução Clínica"&amp;CHAR(10)&amp;TEXTJOIN(" ",TRUE,"Paciente "&amp;I78&amp;", "&amp;IF(J78="","sem DVA","em uso de "&amp;J78)&amp;".",IF(K78&lt;&gt;"","Em "&amp;K78&amp;IF(L78&lt;&gt;""," ("&amp;L78&amp;")","")&amp;IF(M78&lt;&gt;"", ", "&amp;M78,"")&amp;IF(N78&lt;&gt;"", ", sob analgosedação com "&amp;N78,"")&amp;".",""),IF(O78&lt;&gt;"",O78&amp;IF(P78&lt;&gt;"", ", com "&amp;LOWER(P78),"")&amp;IF(Q78&lt;&gt;"", " — "&amp;Q78,"")&amp;".",""),IF(R78="Febre","Apresentou episódio febril nas últimas 24h"&amp;IF(S78&lt;&gt;""," ("&amp;S78&amp;")","")&amp;".",IF(R78="Afebril","Encontra-se afebril.","")),IF(T78&lt;&gt;"",IF(U78="Sim","Apresenta disfunção renal aguda ","Função renal preservada ")&amp;"("&amp;T78&amp;").",""),IF(V78&lt;&gt;"","Em uso do esquema antimicrobiano com "&amp;V78&amp;".",""),IF(TEXTJOIN(", ",TRUE,IF(W78&lt;&gt;"","TEV ("&amp;W78&amp;")",""),IF(X78&lt;&gt;"","LAMG ("&amp;X78&amp;")",""),IF(Y78&lt;&gt;"","úlcera de córnea com "&amp;Y78,""))&lt;&gt;"","Em uso de profilaxia: "&amp;TEXTJOIN(", ",TRUE,IF(W78&lt;&gt;"","TEV ("&amp;W78&amp;")",""),IF(X78&lt;&gt;"","LAMG ("&amp;X78&amp;")",""),IF(Y78&lt;&gt;"","úlcera de córnea com "&amp;Y78,""))&amp;".",""))&amp;CHAR(10)&amp;CHAR(10)&amp;"2. Farmacoterapia"&amp;CHAR(10)&amp;IF(Z78&lt;&gt;"","Corticoide/DART: "&amp;Z78,"Sem corticoide/DART registrado.")&amp;CHAR(10)&amp;CHAR(10)&amp;"3. Conduta Farmacêutica"&amp;CHAR(10)&amp;IF(TEXTJOIN(CHAR(10),TRUE,AB78,AC78,AD78)="","Nenhuma intervenção registrada hoje.",TEXTJOIN(CHAR(10),TRUE,AB78,AC78,AD78))&amp;CHAR(10)&amp;CHAR(10)&amp;"4. Plano Terapêutico"&amp;CHAR(10)&amp;IF(AA78&lt;&gt;"",AA78,"Não definido.")</f>
      </c>
    </row>
    <row r="79" spans="1:32" x14ac:dyDescent="0.25">
      <c r="A79" s="4"/>
      <c r="B79" s="6">
        <f>IFERROR(INDEX(Pacientes!$A:$A,MATCH($A79,Pacientes!$B:$B,0)),"")</f>
      </c>
      <c r="C79" s="6">
        <f>IFERROR(INDEX(Pacientes!$C:$C,MATCH($A79,Pacientes!$B:$B,0)),"")</f>
      </c>
      <c r="D79" s="6">
        <f>IFERROR(INDEX(Pacientes!$D:$D,MATCH($A79,Pacientes!$B:$B,0)),"")</f>
      </c>
      <c r="E79" s="6">
        <f>IFERROR(INDEX(Pacientes!$E:$E,MATCH($A79,Pacientes!$B:$B,0)),"")</f>
      </c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>
        <f>IFERROR(INDEX(Intervenções!$K$2:$K$300,AGGREGATE(15,6,(ROW(Intervenções!$K$2:$K$300)-ROW(Intervenções!$K$2)+1)/((Intervenções!$B$2:$B$300=A79)*(Intervenções!$A$2:$A$300=F79)*(Intervenções!$K$2:$K$300&lt;&gt;"")),1)),"")</f>
      </c>
      <c r="AC79" s="4">
        <f>IFERROR(INDEX(Intervenções!$K$2:$K$300,AGGREGATE(15,6,(ROW(Intervenções!$K$2:$K$300)-ROW(Intervenções!$K$2)+1)/((Intervenções!$B$2:$B$300=A79)*(Intervenções!$A$2:$A$300=F79)*(Intervenções!$K$2:$K$300&lt;&gt;"")),2)),"")</f>
      </c>
      <c r="AD79" s="4">
        <f>IFERROR(INDEX(Intervenções!$K$2:$K$300,AGGREGATE(15,6,(ROW(Intervenções!$K$2:$K$300)-ROW(Intervenções!$K$2)+1)/((Intervenções!$B$2:$B$300=A79)*(Intervenções!$A$2:$A$300=F79)*(Intervenções!$K$2:$K$300&lt;&gt;"")),3)),"")</f>
      </c>
      <c r="AE79" s="4">
        <f>"RECONCILIAÇÃO MEDICAMENTOSA"&amp;CHAR(10)&amp;IF(G79&lt;&gt;"","Medicamentos de uso prévio: "&amp;G79&amp;".","Sem medicamentos de uso prévio relatados.")&amp;CHAR(10)&amp;IF(H79&lt;&gt;"","Histórico de alergia/RAM: "&amp;H79&amp;".","Nega alergias/RAM conhecidas.")</f>
      </c>
      <c r="AF79" s="4">
        <f>AE79&amp;CHAR(10)&amp;CHAR(10)&amp;"1. Evolução Clínica"&amp;CHAR(10)&amp;TEXTJOIN(" ",TRUE,"Paciente "&amp;I79&amp;", "&amp;IF(J79="","sem DVA","em uso de "&amp;J79)&amp;".",IF(K79&lt;&gt;"","Em "&amp;K79&amp;IF(L79&lt;&gt;""," ("&amp;L79&amp;")","")&amp;IF(M79&lt;&gt;"", ", "&amp;M79,"")&amp;IF(N79&lt;&gt;"", ", sob analgosedação com "&amp;N79,"")&amp;".",""),IF(O79&lt;&gt;"",O79&amp;IF(P79&lt;&gt;"", ", com "&amp;LOWER(P79),"")&amp;IF(Q79&lt;&gt;"", " — "&amp;Q79,"")&amp;".",""),IF(R79="Febre","Apresentou episódio febril nas últimas 24h"&amp;IF(S79&lt;&gt;""," ("&amp;S79&amp;")","")&amp;".",IF(R79="Afebril","Encontra-se afebril.","")),IF(T79&lt;&gt;"",IF(U79="Sim","Apresenta disfunção renal aguda ","Função renal preservada ")&amp;"("&amp;T79&amp;").",""),IF(V79&lt;&gt;"","Em uso do esquema antimicrobiano com "&amp;V79&amp;".",""),IF(TEXTJOIN(", ",TRUE,IF(W79&lt;&gt;"","TEV ("&amp;W79&amp;")",""),IF(X79&lt;&gt;"","LAMG ("&amp;X79&amp;")",""),IF(Y79&lt;&gt;"","úlcera de córnea com "&amp;Y79,""))&lt;&gt;"","Em uso de profilaxia: "&amp;TEXTJOIN(", ",TRUE,IF(W79&lt;&gt;"","TEV ("&amp;W79&amp;")",""),IF(X79&lt;&gt;"","LAMG ("&amp;X79&amp;")",""),IF(Y79&lt;&gt;"","úlcera de córnea com "&amp;Y79,""))&amp;".",""))&amp;CHAR(10)&amp;CHAR(10)&amp;"2. Farmacoterapia"&amp;CHAR(10)&amp;IF(Z79&lt;&gt;"","Corticoide/DART: "&amp;Z79,"Sem corticoide/DART registrado.")&amp;CHAR(10)&amp;CHAR(10)&amp;"3. Conduta Farmacêutica"&amp;CHAR(10)&amp;IF(TEXTJOIN(CHAR(10),TRUE,AB79,AC79,AD79)="","Nenhuma intervenção registrada hoje.",TEXTJOIN(CHAR(10),TRUE,AB79,AC79,AD79))&amp;CHAR(10)&amp;CHAR(10)&amp;"4. Plano Terapêutico"&amp;CHAR(10)&amp;IF(AA79&lt;&gt;"",AA79,"Não definido.")</f>
      </c>
    </row>
    <row r="80" spans="1:32" x14ac:dyDescent="0.25">
      <c r="A80" s="4"/>
      <c r="B80" s="6">
        <f>IFERROR(INDEX(Pacientes!$A:$A,MATCH($A80,Pacientes!$B:$B,0)),"")</f>
      </c>
      <c r="C80" s="6">
        <f>IFERROR(INDEX(Pacientes!$C:$C,MATCH($A80,Pacientes!$B:$B,0)),"")</f>
      </c>
      <c r="D80" s="6">
        <f>IFERROR(INDEX(Pacientes!$D:$D,MATCH($A80,Pacientes!$B:$B,0)),"")</f>
      </c>
      <c r="E80" s="6">
        <f>IFERROR(INDEX(Pacientes!$E:$E,MATCH($A80,Pacientes!$B:$B,0)),"")</f>
      </c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>
        <f>IFERROR(INDEX(Intervenções!$K$2:$K$300,AGGREGATE(15,6,(ROW(Intervenções!$K$2:$K$300)-ROW(Intervenções!$K$2)+1)/((Intervenções!$B$2:$B$300=A80)*(Intervenções!$A$2:$A$300=F80)*(Intervenções!$K$2:$K$300&lt;&gt;"")),1)),"")</f>
      </c>
      <c r="AC80" s="4">
        <f>IFERROR(INDEX(Intervenções!$K$2:$K$300,AGGREGATE(15,6,(ROW(Intervenções!$K$2:$K$300)-ROW(Intervenções!$K$2)+1)/((Intervenções!$B$2:$B$300=A80)*(Intervenções!$A$2:$A$300=F80)*(Intervenções!$K$2:$K$300&lt;&gt;"")),2)),"")</f>
      </c>
      <c r="AD80" s="4">
        <f>IFERROR(INDEX(Intervenções!$K$2:$K$300,AGGREGATE(15,6,(ROW(Intervenções!$K$2:$K$300)-ROW(Intervenções!$K$2)+1)/((Intervenções!$B$2:$B$300=A80)*(Intervenções!$A$2:$A$300=F80)*(Intervenções!$K$2:$K$300&lt;&gt;"")),3)),"")</f>
      </c>
      <c r="AE80" s="4">
        <f>"RECONCILIAÇÃO MEDICAMENTOSA"&amp;CHAR(10)&amp;IF(G80&lt;&gt;"","Medicamentos de uso prévio: "&amp;G80&amp;".","Sem medicamentos de uso prévio relatados.")&amp;CHAR(10)&amp;IF(H80&lt;&gt;"","Histórico de alergia/RAM: "&amp;H80&amp;".","Nega alergias/RAM conhecidas.")</f>
      </c>
      <c r="AF80" s="4">
        <f>AE80&amp;CHAR(10)&amp;CHAR(10)&amp;"1. Evolução Clínica"&amp;CHAR(10)&amp;TEXTJOIN(" ",TRUE,"Paciente "&amp;I80&amp;", "&amp;IF(J80="","sem DVA","em uso de "&amp;J80)&amp;".",IF(K80&lt;&gt;"","Em "&amp;K80&amp;IF(L80&lt;&gt;""," ("&amp;L80&amp;")","")&amp;IF(M80&lt;&gt;"", ", "&amp;M80,"")&amp;IF(N80&lt;&gt;"", ", sob analgosedação com "&amp;N80,"")&amp;".",""),IF(O80&lt;&gt;"",O80&amp;IF(P80&lt;&gt;"", ", com "&amp;LOWER(P80),"")&amp;IF(Q80&lt;&gt;"", " — "&amp;Q80,"")&amp;".",""),IF(R80="Febre","Apresentou episódio febril nas últimas 24h"&amp;IF(S80&lt;&gt;""," ("&amp;S80&amp;")","")&amp;".",IF(R80="Afebril","Encontra-se afebril.","")),IF(T80&lt;&gt;"",IF(U80="Sim","Apresenta disfunção renal aguda ","Função renal preservada ")&amp;"("&amp;T80&amp;").",""),IF(V80&lt;&gt;"","Em uso do esquema antimicrobiano com "&amp;V80&amp;".",""),IF(TEXTJOIN(", ",TRUE,IF(W80&lt;&gt;"","TEV ("&amp;W80&amp;")",""),IF(X80&lt;&gt;"","LAMG ("&amp;X80&amp;")",""),IF(Y80&lt;&gt;"","úlcera de córnea com "&amp;Y80,""))&lt;&gt;"","Em uso de profilaxia: "&amp;TEXTJOIN(", ",TRUE,IF(W80&lt;&gt;"","TEV ("&amp;W80&amp;")",""),IF(X80&lt;&gt;"","LAMG ("&amp;X80&amp;")",""),IF(Y80&lt;&gt;"","úlcera de córnea com "&amp;Y80,""))&amp;".",""))&amp;CHAR(10)&amp;CHAR(10)&amp;"2. Farmacoterapia"&amp;CHAR(10)&amp;IF(Z80&lt;&gt;"","Corticoide/DART: "&amp;Z80,"Sem corticoide/DART registrado.")&amp;CHAR(10)&amp;CHAR(10)&amp;"3. Conduta Farmacêutica"&amp;CHAR(10)&amp;IF(TEXTJOIN(CHAR(10),TRUE,AB80,AC80,AD80)="","Nenhuma intervenção registrada hoje.",TEXTJOIN(CHAR(10),TRUE,AB80,AC80,AD80))&amp;CHAR(10)&amp;CHAR(10)&amp;"4. Plano Terapêutico"&amp;CHAR(10)&amp;IF(AA80&lt;&gt;"",AA80,"Não definido.")</f>
      </c>
    </row>
    <row r="81" spans="1:32" x14ac:dyDescent="0.25">
      <c r="A81" s="4"/>
      <c r="B81" s="6">
        <f>IFERROR(INDEX(Pacientes!$A:$A,MATCH($A81,Pacientes!$B:$B,0)),"")</f>
      </c>
      <c r="C81" s="6">
        <f>IFERROR(INDEX(Pacientes!$C:$C,MATCH($A81,Pacientes!$B:$B,0)),"")</f>
      </c>
      <c r="D81" s="6">
        <f>IFERROR(INDEX(Pacientes!$D:$D,MATCH($A81,Pacientes!$B:$B,0)),"")</f>
      </c>
      <c r="E81" s="6">
        <f>IFERROR(INDEX(Pacientes!$E:$E,MATCH($A81,Pacientes!$B:$B,0)),"")</f>
      </c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>
        <f>IFERROR(INDEX(Intervenções!$K$2:$K$300,AGGREGATE(15,6,(ROW(Intervenções!$K$2:$K$300)-ROW(Intervenções!$K$2)+1)/((Intervenções!$B$2:$B$300=A81)*(Intervenções!$A$2:$A$300=F81)*(Intervenções!$K$2:$K$300&lt;&gt;"")),1)),"")</f>
      </c>
      <c r="AC81" s="4">
        <f>IFERROR(INDEX(Intervenções!$K$2:$K$300,AGGREGATE(15,6,(ROW(Intervenções!$K$2:$K$300)-ROW(Intervenções!$K$2)+1)/((Intervenções!$B$2:$B$300=A81)*(Intervenções!$A$2:$A$300=F81)*(Intervenções!$K$2:$K$300&lt;&gt;"")),2)),"")</f>
      </c>
      <c r="AD81" s="4">
        <f>IFERROR(INDEX(Intervenções!$K$2:$K$300,AGGREGATE(15,6,(ROW(Intervenções!$K$2:$K$300)-ROW(Intervenções!$K$2)+1)/((Intervenções!$B$2:$B$300=A81)*(Intervenções!$A$2:$A$300=F81)*(Intervenções!$K$2:$K$300&lt;&gt;"")),3)),"")</f>
      </c>
      <c r="AE81" s="4">
        <f>"RECONCILIAÇÃO MEDICAMENTOSA"&amp;CHAR(10)&amp;IF(G81&lt;&gt;"","Medicamentos de uso prévio: "&amp;G81&amp;".","Sem medicamentos de uso prévio relatados.")&amp;CHAR(10)&amp;IF(H81&lt;&gt;"","Histórico de alergia/RAM: "&amp;H81&amp;".","Nega alergias/RAM conhecidas.")</f>
      </c>
      <c r="AF81" s="4">
        <f>AE81&amp;CHAR(10)&amp;CHAR(10)&amp;"1. Evolução Clínica"&amp;CHAR(10)&amp;TEXTJOIN(" ",TRUE,"Paciente "&amp;I81&amp;", "&amp;IF(J81="","sem DVA","em uso de "&amp;J81)&amp;".",IF(K81&lt;&gt;"","Em "&amp;K81&amp;IF(L81&lt;&gt;""," ("&amp;L81&amp;")","")&amp;IF(M81&lt;&gt;"", ", "&amp;M81,"")&amp;IF(N81&lt;&gt;"", ", sob analgosedação com "&amp;N81,"")&amp;".",""),IF(O81&lt;&gt;"",O81&amp;IF(P81&lt;&gt;"", ", com "&amp;LOWER(P81),"")&amp;IF(Q81&lt;&gt;"", " — "&amp;Q81,"")&amp;".",""),IF(R81="Febre","Apresentou episódio febril nas últimas 24h"&amp;IF(S81&lt;&gt;""," ("&amp;S81&amp;")","")&amp;".",IF(R81="Afebril","Encontra-se afebril.","")),IF(T81&lt;&gt;"",IF(U81="Sim","Apresenta disfunção renal aguda ","Função renal preservada ")&amp;"("&amp;T81&amp;").",""),IF(V81&lt;&gt;"","Em uso do esquema antimicrobiano com "&amp;V81&amp;".",""),IF(TEXTJOIN(", ",TRUE,IF(W81&lt;&gt;"","TEV ("&amp;W81&amp;")",""),IF(X81&lt;&gt;"","LAMG ("&amp;X81&amp;")",""),IF(Y81&lt;&gt;"","úlcera de córnea com "&amp;Y81,""))&lt;&gt;"","Em uso de profilaxia: "&amp;TEXTJOIN(", ",TRUE,IF(W81&lt;&gt;"","TEV ("&amp;W81&amp;")",""),IF(X81&lt;&gt;"","LAMG ("&amp;X81&amp;")",""),IF(Y81&lt;&gt;"","úlcera de córnea com "&amp;Y81,""))&amp;".",""))&amp;CHAR(10)&amp;CHAR(10)&amp;"2. Farmacoterapia"&amp;CHAR(10)&amp;IF(Z81&lt;&gt;"","Corticoide/DART: "&amp;Z81,"Sem corticoide/DART registrado.")&amp;CHAR(10)&amp;CHAR(10)&amp;"3. Conduta Farmacêutica"&amp;CHAR(10)&amp;IF(TEXTJOIN(CHAR(10),TRUE,AB81,AC81,AD81)="","Nenhuma intervenção registrada hoje.",TEXTJOIN(CHAR(10),TRUE,AB81,AC81,AD81))&amp;CHAR(10)&amp;CHAR(10)&amp;"4. Plano Terapêutico"&amp;CHAR(10)&amp;IF(AA81&lt;&gt;"",AA81,"Não definido.")</f>
      </c>
    </row>
    <row r="82" spans="1:32" x14ac:dyDescent="0.25">
      <c r="A82" s="4"/>
      <c r="B82" s="6">
        <f>IFERROR(INDEX(Pacientes!$A:$A,MATCH($A82,Pacientes!$B:$B,0)),"")</f>
      </c>
      <c r="C82" s="6">
        <f>IFERROR(INDEX(Pacientes!$C:$C,MATCH($A82,Pacientes!$B:$B,0)),"")</f>
      </c>
      <c r="D82" s="6">
        <f>IFERROR(INDEX(Pacientes!$D:$D,MATCH($A82,Pacientes!$B:$B,0)),"")</f>
      </c>
      <c r="E82" s="6">
        <f>IFERROR(INDEX(Pacientes!$E:$E,MATCH($A82,Pacientes!$B:$B,0)),"")</f>
      </c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>
        <f>IFERROR(INDEX(Intervenções!$K$2:$K$300,AGGREGATE(15,6,(ROW(Intervenções!$K$2:$K$300)-ROW(Intervenções!$K$2)+1)/((Intervenções!$B$2:$B$300=A82)*(Intervenções!$A$2:$A$300=F82)*(Intervenções!$K$2:$K$300&lt;&gt;"")),1)),"")</f>
      </c>
      <c r="AC82" s="4">
        <f>IFERROR(INDEX(Intervenções!$K$2:$K$300,AGGREGATE(15,6,(ROW(Intervenções!$K$2:$K$300)-ROW(Intervenções!$K$2)+1)/((Intervenções!$B$2:$B$300=A82)*(Intervenções!$A$2:$A$300=F82)*(Intervenções!$K$2:$K$300&lt;&gt;"")),2)),"")</f>
      </c>
      <c r="AD82" s="4">
        <f>IFERROR(INDEX(Intervenções!$K$2:$K$300,AGGREGATE(15,6,(ROW(Intervenções!$K$2:$K$300)-ROW(Intervenções!$K$2)+1)/((Intervenções!$B$2:$B$300=A82)*(Intervenções!$A$2:$A$300=F82)*(Intervenções!$K$2:$K$300&lt;&gt;"")),3)),"")</f>
      </c>
      <c r="AE82" s="4">
        <f>"RECONCILIAÇÃO MEDICAMENTOSA"&amp;CHAR(10)&amp;IF(G82&lt;&gt;"","Medicamentos de uso prévio: "&amp;G82&amp;".","Sem medicamentos de uso prévio relatados.")&amp;CHAR(10)&amp;IF(H82&lt;&gt;"","Histórico de alergia/RAM: "&amp;H82&amp;".","Nega alergias/RAM conhecidas.")</f>
      </c>
      <c r="AF82" s="4">
        <f>AE82&amp;CHAR(10)&amp;CHAR(10)&amp;"1. Evolução Clínica"&amp;CHAR(10)&amp;TEXTJOIN(" ",TRUE,"Paciente "&amp;I82&amp;", "&amp;IF(J82="","sem DVA","em uso de "&amp;J82)&amp;".",IF(K82&lt;&gt;"","Em "&amp;K82&amp;IF(L82&lt;&gt;""," ("&amp;L82&amp;")","")&amp;IF(M82&lt;&gt;"", ", "&amp;M82,"")&amp;IF(N82&lt;&gt;"", ", sob analgosedação com "&amp;N82,"")&amp;".",""),IF(O82&lt;&gt;"",O82&amp;IF(P82&lt;&gt;"", ", com "&amp;LOWER(P82),"")&amp;IF(Q82&lt;&gt;"", " — "&amp;Q82,"")&amp;".",""),IF(R82="Febre","Apresentou episódio febril nas últimas 24h"&amp;IF(S82&lt;&gt;""," ("&amp;S82&amp;")","")&amp;".",IF(R82="Afebril","Encontra-se afebril.","")),IF(T82&lt;&gt;"",IF(U82="Sim","Apresenta disfunção renal aguda ","Função renal preservada ")&amp;"("&amp;T82&amp;").",""),IF(V82&lt;&gt;"","Em uso do esquema antimicrobiano com "&amp;V82&amp;".",""),IF(TEXTJOIN(", ",TRUE,IF(W82&lt;&gt;"","TEV ("&amp;W82&amp;")",""),IF(X82&lt;&gt;"","LAMG ("&amp;X82&amp;")",""),IF(Y82&lt;&gt;"","úlcera de córnea com "&amp;Y82,""))&lt;&gt;"","Em uso de profilaxia: "&amp;TEXTJOIN(", ",TRUE,IF(W82&lt;&gt;"","TEV ("&amp;W82&amp;")",""),IF(X82&lt;&gt;"","LAMG ("&amp;X82&amp;")",""),IF(Y82&lt;&gt;"","úlcera de córnea com "&amp;Y82,""))&amp;".",""))&amp;CHAR(10)&amp;CHAR(10)&amp;"2. Farmacoterapia"&amp;CHAR(10)&amp;IF(Z82&lt;&gt;"","Corticoide/DART: "&amp;Z82,"Sem corticoide/DART registrado.")&amp;CHAR(10)&amp;CHAR(10)&amp;"3. Conduta Farmacêutica"&amp;CHAR(10)&amp;IF(TEXTJOIN(CHAR(10),TRUE,AB82,AC82,AD82)="","Nenhuma intervenção registrada hoje.",TEXTJOIN(CHAR(10),TRUE,AB82,AC82,AD82))&amp;CHAR(10)&amp;CHAR(10)&amp;"4. Plano Terapêutico"&amp;CHAR(10)&amp;IF(AA82&lt;&gt;"",AA82,"Não definido.")</f>
      </c>
    </row>
    <row r="83" spans="1:32" x14ac:dyDescent="0.25">
      <c r="A83" s="4"/>
      <c r="B83" s="6">
        <f>IFERROR(INDEX(Pacientes!$A:$A,MATCH($A83,Pacientes!$B:$B,0)),"")</f>
      </c>
      <c r="C83" s="6">
        <f>IFERROR(INDEX(Pacientes!$C:$C,MATCH($A83,Pacientes!$B:$B,0)),"")</f>
      </c>
      <c r="D83" s="6">
        <f>IFERROR(INDEX(Pacientes!$D:$D,MATCH($A83,Pacientes!$B:$B,0)),"")</f>
      </c>
      <c r="E83" s="6">
        <f>IFERROR(INDEX(Pacientes!$E:$E,MATCH($A83,Pacientes!$B:$B,0)),"")</f>
      </c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>
        <f>IFERROR(INDEX(Intervenções!$K$2:$K$300,AGGREGATE(15,6,(ROW(Intervenções!$K$2:$K$300)-ROW(Intervenções!$K$2)+1)/((Intervenções!$B$2:$B$300=A83)*(Intervenções!$A$2:$A$300=F83)*(Intervenções!$K$2:$K$300&lt;&gt;"")),1)),"")</f>
      </c>
      <c r="AC83" s="4">
        <f>IFERROR(INDEX(Intervenções!$K$2:$K$300,AGGREGATE(15,6,(ROW(Intervenções!$K$2:$K$300)-ROW(Intervenções!$K$2)+1)/((Intervenções!$B$2:$B$300=A83)*(Intervenções!$A$2:$A$300=F83)*(Intervenções!$K$2:$K$300&lt;&gt;"")),2)),"")</f>
      </c>
      <c r="AD83" s="4">
        <f>IFERROR(INDEX(Intervenções!$K$2:$K$300,AGGREGATE(15,6,(ROW(Intervenções!$K$2:$K$300)-ROW(Intervenções!$K$2)+1)/((Intervenções!$B$2:$B$300=A83)*(Intervenções!$A$2:$A$300=F83)*(Intervenções!$K$2:$K$300&lt;&gt;"")),3)),"")</f>
      </c>
      <c r="AE83" s="4">
        <f>"RECONCILIAÇÃO MEDICAMENTOSA"&amp;CHAR(10)&amp;IF(G83&lt;&gt;"","Medicamentos de uso prévio: "&amp;G83&amp;".","Sem medicamentos de uso prévio relatados.")&amp;CHAR(10)&amp;IF(H83&lt;&gt;"","Histórico de alergia/RAM: "&amp;H83&amp;".","Nega alergias/RAM conhecidas.")</f>
      </c>
      <c r="AF83" s="4">
        <f>AE83&amp;CHAR(10)&amp;CHAR(10)&amp;"1. Evolução Clínica"&amp;CHAR(10)&amp;TEXTJOIN(" ",TRUE,"Paciente "&amp;I83&amp;", "&amp;IF(J83="","sem DVA","em uso de "&amp;J83)&amp;".",IF(K83&lt;&gt;"","Em "&amp;K83&amp;IF(L83&lt;&gt;""," ("&amp;L83&amp;")","")&amp;IF(M83&lt;&gt;"", ", "&amp;M83,"")&amp;IF(N83&lt;&gt;"", ", sob analgosedação com "&amp;N83,"")&amp;".",""),IF(O83&lt;&gt;"",O83&amp;IF(P83&lt;&gt;"", ", com "&amp;LOWER(P83),"")&amp;IF(Q83&lt;&gt;"", " — "&amp;Q83,"")&amp;".",""),IF(R83="Febre","Apresentou episódio febril nas últimas 24h"&amp;IF(S83&lt;&gt;""," ("&amp;S83&amp;")","")&amp;".",IF(R83="Afebril","Encontra-se afebril.","")),IF(T83&lt;&gt;"",IF(U83="Sim","Apresenta disfunção renal aguda ","Função renal preservada ")&amp;"("&amp;T83&amp;").",""),IF(V83&lt;&gt;"","Em uso do esquema antimicrobiano com "&amp;V83&amp;".",""),IF(TEXTJOIN(", ",TRUE,IF(W83&lt;&gt;"","TEV ("&amp;W83&amp;")",""),IF(X83&lt;&gt;"","LAMG ("&amp;X83&amp;")",""),IF(Y83&lt;&gt;"","úlcera de córnea com "&amp;Y83,""))&lt;&gt;"","Em uso de profilaxia: "&amp;TEXTJOIN(", ",TRUE,IF(W83&lt;&gt;"","TEV ("&amp;W83&amp;")",""),IF(X83&lt;&gt;"","LAMG ("&amp;X83&amp;")",""),IF(Y83&lt;&gt;"","úlcera de córnea com "&amp;Y83,""))&amp;".",""))&amp;CHAR(10)&amp;CHAR(10)&amp;"2. Farmacoterapia"&amp;CHAR(10)&amp;IF(Z83&lt;&gt;"","Corticoide/DART: "&amp;Z83,"Sem corticoide/DART registrado.")&amp;CHAR(10)&amp;CHAR(10)&amp;"3. Conduta Farmacêutica"&amp;CHAR(10)&amp;IF(TEXTJOIN(CHAR(10),TRUE,AB83,AC83,AD83)="","Nenhuma intervenção registrada hoje.",TEXTJOIN(CHAR(10),TRUE,AB83,AC83,AD83))&amp;CHAR(10)&amp;CHAR(10)&amp;"4. Plano Terapêutico"&amp;CHAR(10)&amp;IF(AA83&lt;&gt;"",AA83,"Não definido.")</f>
      </c>
    </row>
    <row r="84" spans="1:32" x14ac:dyDescent="0.25">
      <c r="A84" s="4"/>
      <c r="B84" s="6">
        <f>IFERROR(INDEX(Pacientes!$A:$A,MATCH($A84,Pacientes!$B:$B,0)),"")</f>
      </c>
      <c r="C84" s="6">
        <f>IFERROR(INDEX(Pacientes!$C:$C,MATCH($A84,Pacientes!$B:$B,0)),"")</f>
      </c>
      <c r="D84" s="6">
        <f>IFERROR(INDEX(Pacientes!$D:$D,MATCH($A84,Pacientes!$B:$B,0)),"")</f>
      </c>
      <c r="E84" s="6">
        <f>IFERROR(INDEX(Pacientes!$E:$E,MATCH($A84,Pacientes!$B:$B,0)),"")</f>
      </c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>
        <f>IFERROR(INDEX(Intervenções!$K$2:$K$300,AGGREGATE(15,6,(ROW(Intervenções!$K$2:$K$300)-ROW(Intervenções!$K$2)+1)/((Intervenções!$B$2:$B$300=A84)*(Intervenções!$A$2:$A$300=F84)*(Intervenções!$K$2:$K$300&lt;&gt;"")),1)),"")</f>
      </c>
      <c r="AC84" s="4">
        <f>IFERROR(INDEX(Intervenções!$K$2:$K$300,AGGREGATE(15,6,(ROW(Intervenções!$K$2:$K$300)-ROW(Intervenções!$K$2)+1)/((Intervenções!$B$2:$B$300=A84)*(Intervenções!$A$2:$A$300=F84)*(Intervenções!$K$2:$K$300&lt;&gt;"")),2)),"")</f>
      </c>
      <c r="AD84" s="4">
        <f>IFERROR(INDEX(Intervenções!$K$2:$K$300,AGGREGATE(15,6,(ROW(Intervenções!$K$2:$K$300)-ROW(Intervenções!$K$2)+1)/((Intervenções!$B$2:$B$300=A84)*(Intervenções!$A$2:$A$300=F84)*(Intervenções!$K$2:$K$300&lt;&gt;"")),3)),"")</f>
      </c>
      <c r="AE84" s="4">
        <f>"RECONCILIAÇÃO MEDICAMENTOSA"&amp;CHAR(10)&amp;IF(G84&lt;&gt;"","Medicamentos de uso prévio: "&amp;G84&amp;".","Sem medicamentos de uso prévio relatados.")&amp;CHAR(10)&amp;IF(H84&lt;&gt;"","Histórico de alergia/RAM: "&amp;H84&amp;".","Nega alergias/RAM conhecidas.")</f>
      </c>
      <c r="AF84" s="4">
        <f>AE84&amp;CHAR(10)&amp;CHAR(10)&amp;"1. Evolução Clínica"&amp;CHAR(10)&amp;TEXTJOIN(" ",TRUE,"Paciente "&amp;I84&amp;", "&amp;IF(J84="","sem DVA","em uso de "&amp;J84)&amp;".",IF(K84&lt;&gt;"","Em "&amp;K84&amp;IF(L84&lt;&gt;""," ("&amp;L84&amp;")","")&amp;IF(M84&lt;&gt;"", ", "&amp;M84,"")&amp;IF(N84&lt;&gt;"", ", sob analgosedação com "&amp;N84,"")&amp;".",""),IF(O84&lt;&gt;"",O84&amp;IF(P84&lt;&gt;"", ", com "&amp;LOWER(P84),"")&amp;IF(Q84&lt;&gt;"", " — "&amp;Q84,"")&amp;".",""),IF(R84="Febre","Apresentou episódio febril nas últimas 24h"&amp;IF(S84&lt;&gt;""," ("&amp;S84&amp;")","")&amp;".",IF(R84="Afebril","Encontra-se afebril.","")),IF(T84&lt;&gt;"",IF(U84="Sim","Apresenta disfunção renal aguda ","Função renal preservada ")&amp;"("&amp;T84&amp;").",""),IF(V84&lt;&gt;"","Em uso do esquema antimicrobiano com "&amp;V84&amp;".",""),IF(TEXTJOIN(", ",TRUE,IF(W84&lt;&gt;"","TEV ("&amp;W84&amp;")",""),IF(X84&lt;&gt;"","LAMG ("&amp;X84&amp;")",""),IF(Y84&lt;&gt;"","úlcera de córnea com "&amp;Y84,""))&lt;&gt;"","Em uso de profilaxia: "&amp;TEXTJOIN(", ",TRUE,IF(W84&lt;&gt;"","TEV ("&amp;W84&amp;")",""),IF(X84&lt;&gt;"","LAMG ("&amp;X84&amp;")",""),IF(Y84&lt;&gt;"","úlcera de córnea com "&amp;Y84,""))&amp;".",""))&amp;CHAR(10)&amp;CHAR(10)&amp;"2. Farmacoterapia"&amp;CHAR(10)&amp;IF(Z84&lt;&gt;"","Corticoide/DART: "&amp;Z84,"Sem corticoide/DART registrado.")&amp;CHAR(10)&amp;CHAR(10)&amp;"3. Conduta Farmacêutica"&amp;CHAR(10)&amp;IF(TEXTJOIN(CHAR(10),TRUE,AB84,AC84,AD84)="","Nenhuma intervenção registrada hoje.",TEXTJOIN(CHAR(10),TRUE,AB84,AC84,AD84))&amp;CHAR(10)&amp;CHAR(10)&amp;"4. Plano Terapêutico"&amp;CHAR(10)&amp;IF(AA84&lt;&gt;"",AA84,"Não definido.")</f>
      </c>
    </row>
    <row r="85" spans="1:32" x14ac:dyDescent="0.25">
      <c r="A85" s="4"/>
      <c r="B85" s="6">
        <f>IFERROR(INDEX(Pacientes!$A:$A,MATCH($A85,Pacientes!$B:$B,0)),"")</f>
      </c>
      <c r="C85" s="6">
        <f>IFERROR(INDEX(Pacientes!$C:$C,MATCH($A85,Pacientes!$B:$B,0)),"")</f>
      </c>
      <c r="D85" s="6">
        <f>IFERROR(INDEX(Pacientes!$D:$D,MATCH($A85,Pacientes!$B:$B,0)),"")</f>
      </c>
      <c r="E85" s="6">
        <f>IFERROR(INDEX(Pacientes!$E:$E,MATCH($A85,Pacientes!$B:$B,0)),"")</f>
      </c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>
        <f>IFERROR(INDEX(Intervenções!$K$2:$K$300,AGGREGATE(15,6,(ROW(Intervenções!$K$2:$K$300)-ROW(Intervenções!$K$2)+1)/((Intervenções!$B$2:$B$300=A85)*(Intervenções!$A$2:$A$300=F85)*(Intervenções!$K$2:$K$300&lt;&gt;"")),1)),"")</f>
      </c>
      <c r="AC85" s="4">
        <f>IFERROR(INDEX(Intervenções!$K$2:$K$300,AGGREGATE(15,6,(ROW(Intervenções!$K$2:$K$300)-ROW(Intervenções!$K$2)+1)/((Intervenções!$B$2:$B$300=A85)*(Intervenções!$A$2:$A$300=F85)*(Intervenções!$K$2:$K$300&lt;&gt;"")),2)),"")</f>
      </c>
      <c r="AD85" s="4">
        <f>IFERROR(INDEX(Intervenções!$K$2:$K$300,AGGREGATE(15,6,(ROW(Intervenções!$K$2:$K$300)-ROW(Intervenções!$K$2)+1)/((Intervenções!$B$2:$B$300=A85)*(Intervenções!$A$2:$A$300=F85)*(Intervenções!$K$2:$K$300&lt;&gt;"")),3)),"")</f>
      </c>
      <c r="AE85" s="4">
        <f>"RECONCILIAÇÃO MEDICAMENTOSA"&amp;CHAR(10)&amp;IF(G85&lt;&gt;"","Medicamentos de uso prévio: "&amp;G85&amp;".","Sem medicamentos de uso prévio relatados.")&amp;CHAR(10)&amp;IF(H85&lt;&gt;"","Histórico de alergia/RAM: "&amp;H85&amp;".","Nega alergias/RAM conhecidas.")</f>
      </c>
      <c r="AF85" s="4">
        <f>AE85&amp;CHAR(10)&amp;CHAR(10)&amp;"1. Evolução Clínica"&amp;CHAR(10)&amp;TEXTJOIN(" ",TRUE,"Paciente "&amp;I85&amp;", "&amp;IF(J85="","sem DVA","em uso de "&amp;J85)&amp;".",IF(K85&lt;&gt;"","Em "&amp;K85&amp;IF(L85&lt;&gt;""," ("&amp;L85&amp;")","")&amp;IF(M85&lt;&gt;"", ", "&amp;M85,"")&amp;IF(N85&lt;&gt;"", ", sob analgosedação com "&amp;N85,"")&amp;".",""),IF(O85&lt;&gt;"",O85&amp;IF(P85&lt;&gt;"", ", com "&amp;LOWER(P85),"")&amp;IF(Q85&lt;&gt;"", " — "&amp;Q85,"")&amp;".",""),IF(R85="Febre","Apresentou episódio febril nas últimas 24h"&amp;IF(S85&lt;&gt;""," ("&amp;S85&amp;")","")&amp;".",IF(R85="Afebril","Encontra-se afebril.","")),IF(T85&lt;&gt;"",IF(U85="Sim","Apresenta disfunção renal aguda ","Função renal preservada ")&amp;"("&amp;T85&amp;").",""),IF(V85&lt;&gt;"","Em uso do esquema antimicrobiano com "&amp;V85&amp;".",""),IF(TEXTJOIN(", ",TRUE,IF(W85&lt;&gt;"","TEV ("&amp;W85&amp;")",""),IF(X85&lt;&gt;"","LAMG ("&amp;X85&amp;")",""),IF(Y85&lt;&gt;"","úlcera de córnea com "&amp;Y85,""))&lt;&gt;"","Em uso de profilaxia: "&amp;TEXTJOIN(", ",TRUE,IF(W85&lt;&gt;"","TEV ("&amp;W85&amp;")",""),IF(X85&lt;&gt;"","LAMG ("&amp;X85&amp;")",""),IF(Y85&lt;&gt;"","úlcera de córnea com "&amp;Y85,""))&amp;".",""))&amp;CHAR(10)&amp;CHAR(10)&amp;"2. Farmacoterapia"&amp;CHAR(10)&amp;IF(Z85&lt;&gt;"","Corticoide/DART: "&amp;Z85,"Sem corticoide/DART registrado.")&amp;CHAR(10)&amp;CHAR(10)&amp;"3. Conduta Farmacêutica"&amp;CHAR(10)&amp;IF(TEXTJOIN(CHAR(10),TRUE,AB85,AC85,AD85)="","Nenhuma intervenção registrada hoje.",TEXTJOIN(CHAR(10),TRUE,AB85,AC85,AD85))&amp;CHAR(10)&amp;CHAR(10)&amp;"4. Plano Terapêutico"&amp;CHAR(10)&amp;IF(AA85&lt;&gt;"",AA85,"Não definido.")</f>
      </c>
    </row>
    <row r="86" spans="1:32" x14ac:dyDescent="0.25">
      <c r="A86" s="4"/>
      <c r="B86" s="6">
        <f>IFERROR(INDEX(Pacientes!$A:$A,MATCH($A86,Pacientes!$B:$B,0)),"")</f>
      </c>
      <c r="C86" s="6">
        <f>IFERROR(INDEX(Pacientes!$C:$C,MATCH($A86,Pacientes!$B:$B,0)),"")</f>
      </c>
      <c r="D86" s="6">
        <f>IFERROR(INDEX(Pacientes!$D:$D,MATCH($A86,Pacientes!$B:$B,0)),"")</f>
      </c>
      <c r="E86" s="6">
        <f>IFERROR(INDEX(Pacientes!$E:$E,MATCH($A86,Pacientes!$B:$B,0)),"")</f>
      </c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>
        <f>IFERROR(INDEX(Intervenções!$K$2:$K$300,AGGREGATE(15,6,(ROW(Intervenções!$K$2:$K$300)-ROW(Intervenções!$K$2)+1)/((Intervenções!$B$2:$B$300=A86)*(Intervenções!$A$2:$A$300=F86)*(Intervenções!$K$2:$K$300&lt;&gt;"")),1)),"")</f>
      </c>
      <c r="AC86" s="4">
        <f>IFERROR(INDEX(Intervenções!$K$2:$K$300,AGGREGATE(15,6,(ROW(Intervenções!$K$2:$K$300)-ROW(Intervenções!$K$2)+1)/((Intervenções!$B$2:$B$300=A86)*(Intervenções!$A$2:$A$300=F86)*(Intervenções!$K$2:$K$300&lt;&gt;"")),2)),"")</f>
      </c>
      <c r="AD86" s="4">
        <f>IFERROR(INDEX(Intervenções!$K$2:$K$300,AGGREGATE(15,6,(ROW(Intervenções!$K$2:$K$300)-ROW(Intervenções!$K$2)+1)/((Intervenções!$B$2:$B$300=A86)*(Intervenções!$A$2:$A$300=F86)*(Intervenções!$K$2:$K$300&lt;&gt;"")),3)),"")</f>
      </c>
      <c r="AE86" s="4">
        <f>"RECONCILIAÇÃO MEDICAMENTOSA"&amp;CHAR(10)&amp;IF(G86&lt;&gt;"","Medicamentos de uso prévio: "&amp;G86&amp;".","Sem medicamentos de uso prévio relatados.")&amp;CHAR(10)&amp;IF(H86&lt;&gt;"","Histórico de alergia/RAM: "&amp;H86&amp;".","Nega alergias/RAM conhecidas.")</f>
      </c>
      <c r="AF86" s="4">
        <f>AE86&amp;CHAR(10)&amp;CHAR(10)&amp;"1. Evolução Clínica"&amp;CHAR(10)&amp;TEXTJOIN(" ",TRUE,"Paciente "&amp;I86&amp;", "&amp;IF(J86="","sem DVA","em uso de "&amp;J86)&amp;".",IF(K86&lt;&gt;"","Em "&amp;K86&amp;IF(L86&lt;&gt;""," ("&amp;L86&amp;")","")&amp;IF(M86&lt;&gt;"", ", "&amp;M86,"")&amp;IF(N86&lt;&gt;"", ", sob analgosedação com "&amp;N86,"")&amp;".",""),IF(O86&lt;&gt;"",O86&amp;IF(P86&lt;&gt;"", ", com "&amp;LOWER(P86),"")&amp;IF(Q86&lt;&gt;"", " — "&amp;Q86,"")&amp;".",""),IF(R86="Febre","Apresentou episódio febril nas últimas 24h"&amp;IF(S86&lt;&gt;""," ("&amp;S86&amp;")","")&amp;".",IF(R86="Afebril","Encontra-se afebril.","")),IF(T86&lt;&gt;"",IF(U86="Sim","Apresenta disfunção renal aguda ","Função renal preservada ")&amp;"("&amp;T86&amp;").",""),IF(V86&lt;&gt;"","Em uso do esquema antimicrobiano com "&amp;V86&amp;".",""),IF(TEXTJOIN(", ",TRUE,IF(W86&lt;&gt;"","TEV ("&amp;W86&amp;")",""),IF(X86&lt;&gt;"","LAMG ("&amp;X86&amp;")",""),IF(Y86&lt;&gt;"","úlcera de córnea com "&amp;Y86,""))&lt;&gt;"","Em uso de profilaxia: "&amp;TEXTJOIN(", ",TRUE,IF(W86&lt;&gt;"","TEV ("&amp;W86&amp;")",""),IF(X86&lt;&gt;"","LAMG ("&amp;X86&amp;")",""),IF(Y86&lt;&gt;"","úlcera de córnea com "&amp;Y86,""))&amp;".",""))&amp;CHAR(10)&amp;CHAR(10)&amp;"2. Farmacoterapia"&amp;CHAR(10)&amp;IF(Z86&lt;&gt;"","Corticoide/DART: "&amp;Z86,"Sem corticoide/DART registrado.")&amp;CHAR(10)&amp;CHAR(10)&amp;"3. Conduta Farmacêutica"&amp;CHAR(10)&amp;IF(TEXTJOIN(CHAR(10),TRUE,AB86,AC86,AD86)="","Nenhuma intervenção registrada hoje.",TEXTJOIN(CHAR(10),TRUE,AB86,AC86,AD86))&amp;CHAR(10)&amp;CHAR(10)&amp;"4. Plano Terapêutico"&amp;CHAR(10)&amp;IF(AA86&lt;&gt;"",AA86,"Não definido.")</f>
      </c>
    </row>
    <row r="87" spans="1:32" x14ac:dyDescent="0.25">
      <c r="A87" s="4"/>
      <c r="B87" s="6">
        <f>IFERROR(INDEX(Pacientes!$A:$A,MATCH($A87,Pacientes!$B:$B,0)),"")</f>
      </c>
      <c r="C87" s="6">
        <f>IFERROR(INDEX(Pacientes!$C:$C,MATCH($A87,Pacientes!$B:$B,0)),"")</f>
      </c>
      <c r="D87" s="6">
        <f>IFERROR(INDEX(Pacientes!$D:$D,MATCH($A87,Pacientes!$B:$B,0)),"")</f>
      </c>
      <c r="E87" s="6">
        <f>IFERROR(INDEX(Pacientes!$E:$E,MATCH($A87,Pacientes!$B:$B,0)),"")</f>
      </c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>
        <f>IFERROR(INDEX(Intervenções!$K$2:$K$300,AGGREGATE(15,6,(ROW(Intervenções!$K$2:$K$300)-ROW(Intervenções!$K$2)+1)/((Intervenções!$B$2:$B$300=A87)*(Intervenções!$A$2:$A$300=F87)*(Intervenções!$K$2:$K$300&lt;&gt;"")),1)),"")</f>
      </c>
      <c r="AC87" s="4">
        <f>IFERROR(INDEX(Intervenções!$K$2:$K$300,AGGREGATE(15,6,(ROW(Intervenções!$K$2:$K$300)-ROW(Intervenções!$K$2)+1)/((Intervenções!$B$2:$B$300=A87)*(Intervenções!$A$2:$A$300=F87)*(Intervenções!$K$2:$K$300&lt;&gt;"")),2)),"")</f>
      </c>
      <c r="AD87" s="4">
        <f>IFERROR(INDEX(Intervenções!$K$2:$K$300,AGGREGATE(15,6,(ROW(Intervenções!$K$2:$K$300)-ROW(Intervenções!$K$2)+1)/((Intervenções!$B$2:$B$300=A87)*(Intervenções!$A$2:$A$300=F87)*(Intervenções!$K$2:$K$300&lt;&gt;"")),3)),"")</f>
      </c>
      <c r="AE87" s="4">
        <f>"RECONCILIAÇÃO MEDICAMENTOSA"&amp;CHAR(10)&amp;IF(G87&lt;&gt;"","Medicamentos de uso prévio: "&amp;G87&amp;".","Sem medicamentos de uso prévio relatados.")&amp;CHAR(10)&amp;IF(H87&lt;&gt;"","Histórico de alergia/RAM: "&amp;H87&amp;".","Nega alergias/RAM conhecidas.")</f>
      </c>
      <c r="AF87" s="4">
        <f>AE87&amp;CHAR(10)&amp;CHAR(10)&amp;"1. Evolução Clínica"&amp;CHAR(10)&amp;TEXTJOIN(" ",TRUE,"Paciente "&amp;I87&amp;", "&amp;IF(J87="","sem DVA","em uso de "&amp;J87)&amp;".",IF(K87&lt;&gt;"","Em "&amp;K87&amp;IF(L87&lt;&gt;""," ("&amp;L87&amp;")","")&amp;IF(M87&lt;&gt;"", ", "&amp;M87,"")&amp;IF(N87&lt;&gt;"", ", sob analgosedação com "&amp;N87,"")&amp;".",""),IF(O87&lt;&gt;"",O87&amp;IF(P87&lt;&gt;"", ", com "&amp;LOWER(P87),"")&amp;IF(Q87&lt;&gt;"", " — "&amp;Q87,"")&amp;".",""),IF(R87="Febre","Apresentou episódio febril nas últimas 24h"&amp;IF(S87&lt;&gt;""," ("&amp;S87&amp;")","")&amp;".",IF(R87="Afebril","Encontra-se afebril.","")),IF(T87&lt;&gt;"",IF(U87="Sim","Apresenta disfunção renal aguda ","Função renal preservada ")&amp;"("&amp;T87&amp;").",""),IF(V87&lt;&gt;"","Em uso do esquema antimicrobiano com "&amp;V87&amp;".",""),IF(TEXTJOIN(", ",TRUE,IF(W87&lt;&gt;"","TEV ("&amp;W87&amp;")",""),IF(X87&lt;&gt;"","LAMG ("&amp;X87&amp;")",""),IF(Y87&lt;&gt;"","úlcera de córnea com "&amp;Y87,""))&lt;&gt;"","Em uso de profilaxia: "&amp;TEXTJOIN(", ",TRUE,IF(W87&lt;&gt;"","TEV ("&amp;W87&amp;")",""),IF(X87&lt;&gt;"","LAMG ("&amp;X87&amp;")",""),IF(Y87&lt;&gt;"","úlcera de córnea com "&amp;Y87,""))&amp;".",""))&amp;CHAR(10)&amp;CHAR(10)&amp;"2. Farmacoterapia"&amp;CHAR(10)&amp;IF(Z87&lt;&gt;"","Corticoide/DART: "&amp;Z87,"Sem corticoide/DART registrado.")&amp;CHAR(10)&amp;CHAR(10)&amp;"3. Conduta Farmacêutica"&amp;CHAR(10)&amp;IF(TEXTJOIN(CHAR(10),TRUE,AB87,AC87,AD87)="","Nenhuma intervenção registrada hoje.",TEXTJOIN(CHAR(10),TRUE,AB87,AC87,AD87))&amp;CHAR(10)&amp;CHAR(10)&amp;"4. Plano Terapêutico"&amp;CHAR(10)&amp;IF(AA87&lt;&gt;"",AA87,"Não definido.")</f>
      </c>
    </row>
    <row r="88" spans="1:32" x14ac:dyDescent="0.25">
      <c r="A88" s="4"/>
      <c r="B88" s="6">
        <f>IFERROR(INDEX(Pacientes!$A:$A,MATCH($A88,Pacientes!$B:$B,0)),"")</f>
      </c>
      <c r="C88" s="6">
        <f>IFERROR(INDEX(Pacientes!$C:$C,MATCH($A88,Pacientes!$B:$B,0)),"")</f>
      </c>
      <c r="D88" s="6">
        <f>IFERROR(INDEX(Pacientes!$D:$D,MATCH($A88,Pacientes!$B:$B,0)),"")</f>
      </c>
      <c r="E88" s="6">
        <f>IFERROR(INDEX(Pacientes!$E:$E,MATCH($A88,Pacientes!$B:$B,0)),"")</f>
      </c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>
        <f>IFERROR(INDEX(Intervenções!$K$2:$K$300,AGGREGATE(15,6,(ROW(Intervenções!$K$2:$K$300)-ROW(Intervenções!$K$2)+1)/((Intervenções!$B$2:$B$300=A88)*(Intervenções!$A$2:$A$300=F88)*(Intervenções!$K$2:$K$300&lt;&gt;"")),1)),"")</f>
      </c>
      <c r="AC88" s="4">
        <f>IFERROR(INDEX(Intervenções!$K$2:$K$300,AGGREGATE(15,6,(ROW(Intervenções!$K$2:$K$300)-ROW(Intervenções!$K$2)+1)/((Intervenções!$B$2:$B$300=A88)*(Intervenções!$A$2:$A$300=F88)*(Intervenções!$K$2:$K$300&lt;&gt;"")),2)),"")</f>
      </c>
      <c r="AD88" s="4">
        <f>IFERROR(INDEX(Intervenções!$K$2:$K$300,AGGREGATE(15,6,(ROW(Intervenções!$K$2:$K$300)-ROW(Intervenções!$K$2)+1)/((Intervenções!$B$2:$B$300=A88)*(Intervenções!$A$2:$A$300=F88)*(Intervenções!$K$2:$K$300&lt;&gt;"")),3)),"")</f>
      </c>
      <c r="AE88" s="4">
        <f>"RECONCILIAÇÃO MEDICAMENTOSA"&amp;CHAR(10)&amp;IF(G88&lt;&gt;"","Medicamentos de uso prévio: "&amp;G88&amp;".","Sem medicamentos de uso prévio relatados.")&amp;CHAR(10)&amp;IF(H88&lt;&gt;"","Histórico de alergia/RAM: "&amp;H88&amp;".","Nega alergias/RAM conhecidas.")</f>
      </c>
      <c r="AF88" s="4">
        <f>AE88&amp;CHAR(10)&amp;CHAR(10)&amp;"1. Evolução Clínica"&amp;CHAR(10)&amp;TEXTJOIN(" ",TRUE,"Paciente "&amp;I88&amp;", "&amp;IF(J88="","sem DVA","em uso de "&amp;J88)&amp;".",IF(K88&lt;&gt;"","Em "&amp;K88&amp;IF(L88&lt;&gt;""," ("&amp;L88&amp;")","")&amp;IF(M88&lt;&gt;"", ", "&amp;M88,"")&amp;IF(N88&lt;&gt;"", ", sob analgosedação com "&amp;N88,"")&amp;".",""),IF(O88&lt;&gt;"",O88&amp;IF(P88&lt;&gt;"", ", com "&amp;LOWER(P88),"")&amp;IF(Q88&lt;&gt;"", " — "&amp;Q88,"")&amp;".",""),IF(R88="Febre","Apresentou episódio febril nas últimas 24h"&amp;IF(S88&lt;&gt;""," ("&amp;S88&amp;")","")&amp;".",IF(R88="Afebril","Encontra-se afebril.","")),IF(T88&lt;&gt;"",IF(U88="Sim","Apresenta disfunção renal aguda ","Função renal preservada ")&amp;"("&amp;T88&amp;").",""),IF(V88&lt;&gt;"","Em uso do esquema antimicrobiano com "&amp;V88&amp;".",""),IF(TEXTJOIN(", ",TRUE,IF(W88&lt;&gt;"","TEV ("&amp;W88&amp;")",""),IF(X88&lt;&gt;"","LAMG ("&amp;X88&amp;")",""),IF(Y88&lt;&gt;"","úlcera de córnea com "&amp;Y88,""))&lt;&gt;"","Em uso de profilaxia: "&amp;TEXTJOIN(", ",TRUE,IF(W88&lt;&gt;"","TEV ("&amp;W88&amp;")",""),IF(X88&lt;&gt;"","LAMG ("&amp;X88&amp;")",""),IF(Y88&lt;&gt;"","úlcera de córnea com "&amp;Y88,""))&amp;".",""))&amp;CHAR(10)&amp;CHAR(10)&amp;"2. Farmacoterapia"&amp;CHAR(10)&amp;IF(Z88&lt;&gt;"","Corticoide/DART: "&amp;Z88,"Sem corticoide/DART registrado.")&amp;CHAR(10)&amp;CHAR(10)&amp;"3. Conduta Farmacêutica"&amp;CHAR(10)&amp;IF(TEXTJOIN(CHAR(10),TRUE,AB88,AC88,AD88)="","Nenhuma intervenção registrada hoje.",TEXTJOIN(CHAR(10),TRUE,AB88,AC88,AD88))&amp;CHAR(10)&amp;CHAR(10)&amp;"4. Plano Terapêutico"&amp;CHAR(10)&amp;IF(AA88&lt;&gt;"",AA88,"Não definido.")</f>
      </c>
    </row>
    <row r="89" spans="1:32" x14ac:dyDescent="0.25">
      <c r="A89" s="4"/>
      <c r="B89" s="6">
        <f>IFERROR(INDEX(Pacientes!$A:$A,MATCH($A89,Pacientes!$B:$B,0)),"")</f>
      </c>
      <c r="C89" s="6">
        <f>IFERROR(INDEX(Pacientes!$C:$C,MATCH($A89,Pacientes!$B:$B,0)),"")</f>
      </c>
      <c r="D89" s="6">
        <f>IFERROR(INDEX(Pacientes!$D:$D,MATCH($A89,Pacientes!$B:$B,0)),"")</f>
      </c>
      <c r="E89" s="6">
        <f>IFERROR(INDEX(Pacientes!$E:$E,MATCH($A89,Pacientes!$B:$B,0)),"")</f>
      </c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>
        <f>IFERROR(INDEX(Intervenções!$K$2:$K$300,AGGREGATE(15,6,(ROW(Intervenções!$K$2:$K$300)-ROW(Intervenções!$K$2)+1)/((Intervenções!$B$2:$B$300=A89)*(Intervenções!$A$2:$A$300=F89)*(Intervenções!$K$2:$K$300&lt;&gt;"")),1)),"")</f>
      </c>
      <c r="AC89" s="4">
        <f>IFERROR(INDEX(Intervenções!$K$2:$K$300,AGGREGATE(15,6,(ROW(Intervenções!$K$2:$K$300)-ROW(Intervenções!$K$2)+1)/((Intervenções!$B$2:$B$300=A89)*(Intervenções!$A$2:$A$300=F89)*(Intervenções!$K$2:$K$300&lt;&gt;"")),2)),"")</f>
      </c>
      <c r="AD89" s="4">
        <f>IFERROR(INDEX(Intervenções!$K$2:$K$300,AGGREGATE(15,6,(ROW(Intervenções!$K$2:$K$300)-ROW(Intervenções!$K$2)+1)/((Intervenções!$B$2:$B$300=A89)*(Intervenções!$A$2:$A$300=F89)*(Intervenções!$K$2:$K$300&lt;&gt;"")),3)),"")</f>
      </c>
      <c r="AE89" s="4">
        <f>"RECONCILIAÇÃO MEDICAMENTOSA"&amp;CHAR(10)&amp;IF(G89&lt;&gt;"","Medicamentos de uso prévio: "&amp;G89&amp;".","Sem medicamentos de uso prévio relatados.")&amp;CHAR(10)&amp;IF(H89&lt;&gt;"","Histórico de alergia/RAM: "&amp;H89&amp;".","Nega alergias/RAM conhecidas.")</f>
      </c>
      <c r="AF89" s="4">
        <f>AE89&amp;CHAR(10)&amp;CHAR(10)&amp;"1. Evolução Clínica"&amp;CHAR(10)&amp;TEXTJOIN(" ",TRUE,"Paciente "&amp;I89&amp;", "&amp;IF(J89="","sem DVA","em uso de "&amp;J89)&amp;".",IF(K89&lt;&gt;"","Em "&amp;K89&amp;IF(L89&lt;&gt;""," ("&amp;L89&amp;")","")&amp;IF(M89&lt;&gt;"", ", "&amp;M89,"")&amp;IF(N89&lt;&gt;"", ", sob analgosedação com "&amp;N89,"")&amp;".",""),IF(O89&lt;&gt;"",O89&amp;IF(P89&lt;&gt;"", ", com "&amp;LOWER(P89),"")&amp;IF(Q89&lt;&gt;"", " — "&amp;Q89,"")&amp;".",""),IF(R89="Febre","Apresentou episódio febril nas últimas 24h"&amp;IF(S89&lt;&gt;""," ("&amp;S89&amp;")","")&amp;".",IF(R89="Afebril","Encontra-se afebril.","")),IF(T89&lt;&gt;"",IF(U89="Sim","Apresenta disfunção renal aguda ","Função renal preservada ")&amp;"("&amp;T89&amp;").",""),IF(V89&lt;&gt;"","Em uso do esquema antimicrobiano com "&amp;V89&amp;".",""),IF(TEXTJOIN(", ",TRUE,IF(W89&lt;&gt;"","TEV ("&amp;W89&amp;")",""),IF(X89&lt;&gt;"","LAMG ("&amp;X89&amp;")",""),IF(Y89&lt;&gt;"","úlcera de córnea com "&amp;Y89,""))&lt;&gt;"","Em uso de profilaxia: "&amp;TEXTJOIN(", ",TRUE,IF(W89&lt;&gt;"","TEV ("&amp;W89&amp;")",""),IF(X89&lt;&gt;"","LAMG ("&amp;X89&amp;")",""),IF(Y89&lt;&gt;"","úlcera de córnea com "&amp;Y89,""))&amp;".",""))&amp;CHAR(10)&amp;CHAR(10)&amp;"2. Farmacoterapia"&amp;CHAR(10)&amp;IF(Z89&lt;&gt;"","Corticoide/DART: "&amp;Z89,"Sem corticoide/DART registrado.")&amp;CHAR(10)&amp;CHAR(10)&amp;"3. Conduta Farmacêutica"&amp;CHAR(10)&amp;IF(TEXTJOIN(CHAR(10),TRUE,AB89,AC89,AD89)="","Nenhuma intervenção registrada hoje.",TEXTJOIN(CHAR(10),TRUE,AB89,AC89,AD89))&amp;CHAR(10)&amp;CHAR(10)&amp;"4. Plano Terapêutico"&amp;CHAR(10)&amp;IF(AA89&lt;&gt;"",AA89,"Não definido.")</f>
      </c>
    </row>
    <row r="90" spans="1:32" x14ac:dyDescent="0.25">
      <c r="A90" s="4"/>
      <c r="B90" s="6">
        <f>IFERROR(INDEX(Pacientes!$A:$A,MATCH($A90,Pacientes!$B:$B,0)),"")</f>
      </c>
      <c r="C90" s="6">
        <f>IFERROR(INDEX(Pacientes!$C:$C,MATCH($A90,Pacientes!$B:$B,0)),"")</f>
      </c>
      <c r="D90" s="6">
        <f>IFERROR(INDEX(Pacientes!$D:$D,MATCH($A90,Pacientes!$B:$B,0)),"")</f>
      </c>
      <c r="E90" s="6">
        <f>IFERROR(INDEX(Pacientes!$E:$E,MATCH($A90,Pacientes!$B:$B,0)),"")</f>
      </c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>
        <f>IFERROR(INDEX(Intervenções!$K$2:$K$300,AGGREGATE(15,6,(ROW(Intervenções!$K$2:$K$300)-ROW(Intervenções!$K$2)+1)/((Intervenções!$B$2:$B$300=A90)*(Intervenções!$A$2:$A$300=F90)*(Intervenções!$K$2:$K$300&lt;&gt;"")),1)),"")</f>
      </c>
      <c r="AC90" s="4">
        <f>IFERROR(INDEX(Intervenções!$K$2:$K$300,AGGREGATE(15,6,(ROW(Intervenções!$K$2:$K$300)-ROW(Intervenções!$K$2)+1)/((Intervenções!$B$2:$B$300=A90)*(Intervenções!$A$2:$A$300=F90)*(Intervenções!$K$2:$K$300&lt;&gt;"")),2)),"")</f>
      </c>
      <c r="AD90" s="4">
        <f>IFERROR(INDEX(Intervenções!$K$2:$K$300,AGGREGATE(15,6,(ROW(Intervenções!$K$2:$K$300)-ROW(Intervenções!$K$2)+1)/((Intervenções!$B$2:$B$300=A90)*(Intervenções!$A$2:$A$300=F90)*(Intervenções!$K$2:$K$300&lt;&gt;"")),3)),"")</f>
      </c>
      <c r="AE90" s="4">
        <f>"RECONCILIAÇÃO MEDICAMENTOSA"&amp;CHAR(10)&amp;IF(G90&lt;&gt;"","Medicamentos de uso prévio: "&amp;G90&amp;".","Sem medicamentos de uso prévio relatados.")&amp;CHAR(10)&amp;IF(H90&lt;&gt;"","Histórico de alergia/RAM: "&amp;H90&amp;".","Nega alergias/RAM conhecidas.")</f>
      </c>
      <c r="AF90" s="4">
        <f>AE90&amp;CHAR(10)&amp;CHAR(10)&amp;"1. Evolução Clínica"&amp;CHAR(10)&amp;TEXTJOIN(" ",TRUE,"Paciente "&amp;I90&amp;", "&amp;IF(J90="","sem DVA","em uso de "&amp;J90)&amp;".",IF(K90&lt;&gt;"","Em "&amp;K90&amp;IF(L90&lt;&gt;""," ("&amp;L90&amp;")","")&amp;IF(M90&lt;&gt;"", ", "&amp;M90,"")&amp;IF(N90&lt;&gt;"", ", sob analgosedação com "&amp;N90,"")&amp;".",""),IF(O90&lt;&gt;"",O90&amp;IF(P90&lt;&gt;"", ", com "&amp;LOWER(P90),"")&amp;IF(Q90&lt;&gt;"", " — "&amp;Q90,"")&amp;".",""),IF(R90="Febre","Apresentou episódio febril nas últimas 24h"&amp;IF(S90&lt;&gt;""," ("&amp;S90&amp;")","")&amp;".",IF(R90="Afebril","Encontra-se afebril.","")),IF(T90&lt;&gt;"",IF(U90="Sim","Apresenta disfunção renal aguda ","Função renal preservada ")&amp;"("&amp;T90&amp;").",""),IF(V90&lt;&gt;"","Em uso do esquema antimicrobiano com "&amp;V90&amp;".",""),IF(TEXTJOIN(", ",TRUE,IF(W90&lt;&gt;"","TEV ("&amp;W90&amp;")",""),IF(X90&lt;&gt;"","LAMG ("&amp;X90&amp;")",""),IF(Y90&lt;&gt;"","úlcera de córnea com "&amp;Y90,""))&lt;&gt;"","Em uso de profilaxia: "&amp;TEXTJOIN(", ",TRUE,IF(W90&lt;&gt;"","TEV ("&amp;W90&amp;")",""),IF(X90&lt;&gt;"","LAMG ("&amp;X90&amp;")",""),IF(Y90&lt;&gt;"","úlcera de córnea com "&amp;Y90,""))&amp;".",""))&amp;CHAR(10)&amp;CHAR(10)&amp;"2. Farmacoterapia"&amp;CHAR(10)&amp;IF(Z90&lt;&gt;"","Corticoide/DART: "&amp;Z90,"Sem corticoide/DART registrado.")&amp;CHAR(10)&amp;CHAR(10)&amp;"3. Conduta Farmacêutica"&amp;CHAR(10)&amp;IF(TEXTJOIN(CHAR(10),TRUE,AB90,AC90,AD90)="","Nenhuma intervenção registrada hoje.",TEXTJOIN(CHAR(10),TRUE,AB90,AC90,AD90))&amp;CHAR(10)&amp;CHAR(10)&amp;"4. Plano Terapêutico"&amp;CHAR(10)&amp;IF(AA90&lt;&gt;"",AA90,"Não definido.")</f>
      </c>
    </row>
    <row r="91" spans="1:32" x14ac:dyDescent="0.25">
      <c r="A91" s="4"/>
      <c r="B91" s="6">
        <f>IFERROR(INDEX(Pacientes!$A:$A,MATCH($A91,Pacientes!$B:$B,0)),"")</f>
      </c>
      <c r="C91" s="6">
        <f>IFERROR(INDEX(Pacientes!$C:$C,MATCH($A91,Pacientes!$B:$B,0)),"")</f>
      </c>
      <c r="D91" s="6">
        <f>IFERROR(INDEX(Pacientes!$D:$D,MATCH($A91,Pacientes!$B:$B,0)),"")</f>
      </c>
      <c r="E91" s="6">
        <f>IFERROR(INDEX(Pacientes!$E:$E,MATCH($A91,Pacientes!$B:$B,0)),"")</f>
      </c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>
        <f>IFERROR(INDEX(Intervenções!$K$2:$K$300,AGGREGATE(15,6,(ROW(Intervenções!$K$2:$K$300)-ROW(Intervenções!$K$2)+1)/((Intervenções!$B$2:$B$300=A91)*(Intervenções!$A$2:$A$300=F91)*(Intervenções!$K$2:$K$300&lt;&gt;"")),1)),"")</f>
      </c>
      <c r="AC91" s="4">
        <f>IFERROR(INDEX(Intervenções!$K$2:$K$300,AGGREGATE(15,6,(ROW(Intervenções!$K$2:$K$300)-ROW(Intervenções!$K$2)+1)/((Intervenções!$B$2:$B$300=A91)*(Intervenções!$A$2:$A$300=F91)*(Intervenções!$K$2:$K$300&lt;&gt;"")),2)),"")</f>
      </c>
      <c r="AD91" s="4">
        <f>IFERROR(INDEX(Intervenções!$K$2:$K$300,AGGREGATE(15,6,(ROW(Intervenções!$K$2:$K$300)-ROW(Intervenções!$K$2)+1)/((Intervenções!$B$2:$B$300=A91)*(Intervenções!$A$2:$A$300=F91)*(Intervenções!$K$2:$K$300&lt;&gt;"")),3)),"")</f>
      </c>
      <c r="AE91" s="4">
        <f>"RECONCILIAÇÃO MEDICAMENTOSA"&amp;CHAR(10)&amp;IF(G91&lt;&gt;"","Medicamentos de uso prévio: "&amp;G91&amp;".","Sem medicamentos de uso prévio relatados.")&amp;CHAR(10)&amp;IF(H91&lt;&gt;"","Histórico de alergia/RAM: "&amp;H91&amp;".","Nega alergias/RAM conhecidas.")</f>
      </c>
      <c r="AF91" s="4">
        <f>AE91&amp;CHAR(10)&amp;CHAR(10)&amp;"1. Evolução Clínica"&amp;CHAR(10)&amp;TEXTJOIN(" ",TRUE,"Paciente "&amp;I91&amp;", "&amp;IF(J91="","sem DVA","em uso de "&amp;J91)&amp;".",IF(K91&lt;&gt;"","Em "&amp;K91&amp;IF(L91&lt;&gt;""," ("&amp;L91&amp;")","")&amp;IF(M91&lt;&gt;"", ", "&amp;M91,"")&amp;IF(N91&lt;&gt;"", ", sob analgosedação com "&amp;N91,"")&amp;".",""),IF(O91&lt;&gt;"",O91&amp;IF(P91&lt;&gt;"", ", com "&amp;LOWER(P91),"")&amp;IF(Q91&lt;&gt;"", " — "&amp;Q91,"")&amp;".",""),IF(R91="Febre","Apresentou episódio febril nas últimas 24h"&amp;IF(S91&lt;&gt;""," ("&amp;S91&amp;")","")&amp;".",IF(R91="Afebril","Encontra-se afebril.","")),IF(T91&lt;&gt;"",IF(U91="Sim","Apresenta disfunção renal aguda ","Função renal preservada ")&amp;"("&amp;T91&amp;").",""),IF(V91&lt;&gt;"","Em uso do esquema antimicrobiano com "&amp;V91&amp;".",""),IF(TEXTJOIN(", ",TRUE,IF(W91&lt;&gt;"","TEV ("&amp;W91&amp;")",""),IF(X91&lt;&gt;"","LAMG ("&amp;X91&amp;")",""),IF(Y91&lt;&gt;"","úlcera de córnea com "&amp;Y91,""))&lt;&gt;"","Em uso de profilaxia: "&amp;TEXTJOIN(", ",TRUE,IF(W91&lt;&gt;"","TEV ("&amp;W91&amp;")",""),IF(X91&lt;&gt;"","LAMG ("&amp;X91&amp;")",""),IF(Y91&lt;&gt;"","úlcera de córnea com "&amp;Y91,""))&amp;".",""))&amp;CHAR(10)&amp;CHAR(10)&amp;"2. Farmacoterapia"&amp;CHAR(10)&amp;IF(Z91&lt;&gt;"","Corticoide/DART: "&amp;Z91,"Sem corticoide/DART registrado.")&amp;CHAR(10)&amp;CHAR(10)&amp;"3. Conduta Farmacêutica"&amp;CHAR(10)&amp;IF(TEXTJOIN(CHAR(10),TRUE,AB91,AC91,AD91)="","Nenhuma intervenção registrada hoje.",TEXTJOIN(CHAR(10),TRUE,AB91,AC91,AD91))&amp;CHAR(10)&amp;CHAR(10)&amp;"4. Plano Terapêutico"&amp;CHAR(10)&amp;IF(AA91&lt;&gt;"",AA91,"Não definido.")</f>
      </c>
    </row>
    <row r="92" spans="1:32" x14ac:dyDescent="0.25">
      <c r="A92" s="4"/>
      <c r="B92" s="6">
        <f>IFERROR(INDEX(Pacientes!$A:$A,MATCH($A92,Pacientes!$B:$B,0)),"")</f>
      </c>
      <c r="C92" s="6">
        <f>IFERROR(INDEX(Pacientes!$C:$C,MATCH($A92,Pacientes!$B:$B,0)),"")</f>
      </c>
      <c r="D92" s="6">
        <f>IFERROR(INDEX(Pacientes!$D:$D,MATCH($A92,Pacientes!$B:$B,0)),"")</f>
      </c>
      <c r="E92" s="6">
        <f>IFERROR(INDEX(Pacientes!$E:$E,MATCH($A92,Pacientes!$B:$B,0)),"")</f>
      </c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>
        <f>IFERROR(INDEX(Intervenções!$K$2:$K$300,AGGREGATE(15,6,(ROW(Intervenções!$K$2:$K$300)-ROW(Intervenções!$K$2)+1)/((Intervenções!$B$2:$B$300=A92)*(Intervenções!$A$2:$A$300=F92)*(Intervenções!$K$2:$K$300&lt;&gt;"")),1)),"")</f>
      </c>
      <c r="AC92" s="4">
        <f>IFERROR(INDEX(Intervenções!$K$2:$K$300,AGGREGATE(15,6,(ROW(Intervenções!$K$2:$K$300)-ROW(Intervenções!$K$2)+1)/((Intervenções!$B$2:$B$300=A92)*(Intervenções!$A$2:$A$300=F92)*(Intervenções!$K$2:$K$300&lt;&gt;"")),2)),"")</f>
      </c>
      <c r="AD92" s="4">
        <f>IFERROR(INDEX(Intervenções!$K$2:$K$300,AGGREGATE(15,6,(ROW(Intervenções!$K$2:$K$300)-ROW(Intervenções!$K$2)+1)/((Intervenções!$B$2:$B$300=A92)*(Intervenções!$A$2:$A$300=F92)*(Intervenções!$K$2:$K$300&lt;&gt;"")),3)),"")</f>
      </c>
      <c r="AE92" s="4">
        <f>"RECONCILIAÇÃO MEDICAMENTOSA"&amp;CHAR(10)&amp;IF(G92&lt;&gt;"","Medicamentos de uso prévio: "&amp;G92&amp;".","Sem medicamentos de uso prévio relatados.")&amp;CHAR(10)&amp;IF(H92&lt;&gt;"","Histórico de alergia/RAM: "&amp;H92&amp;".","Nega alergias/RAM conhecidas.")</f>
      </c>
      <c r="AF92" s="4">
        <f>AE92&amp;CHAR(10)&amp;CHAR(10)&amp;"1. Evolução Clínica"&amp;CHAR(10)&amp;TEXTJOIN(" ",TRUE,"Paciente "&amp;I92&amp;", "&amp;IF(J92="","sem DVA","em uso de "&amp;J92)&amp;".",IF(K92&lt;&gt;"","Em "&amp;K92&amp;IF(L92&lt;&gt;""," ("&amp;L92&amp;")","")&amp;IF(M92&lt;&gt;"", ", "&amp;M92,"")&amp;IF(N92&lt;&gt;"", ", sob analgosedação com "&amp;N92,"")&amp;".",""),IF(O92&lt;&gt;"",O92&amp;IF(P92&lt;&gt;"", ", com "&amp;LOWER(P92),"")&amp;IF(Q92&lt;&gt;"", " — "&amp;Q92,"")&amp;".",""),IF(R92="Febre","Apresentou episódio febril nas últimas 24h"&amp;IF(S92&lt;&gt;""," ("&amp;S92&amp;")","")&amp;".",IF(R92="Afebril","Encontra-se afebril.","")),IF(T92&lt;&gt;"",IF(U92="Sim","Apresenta disfunção renal aguda ","Função renal preservada ")&amp;"("&amp;T92&amp;").",""),IF(V92&lt;&gt;"","Em uso do esquema antimicrobiano com "&amp;V92&amp;".",""),IF(TEXTJOIN(", ",TRUE,IF(W92&lt;&gt;"","TEV ("&amp;W92&amp;")",""),IF(X92&lt;&gt;"","LAMG ("&amp;X92&amp;")",""),IF(Y92&lt;&gt;"","úlcera de córnea com "&amp;Y92,""))&lt;&gt;"","Em uso de profilaxia: "&amp;TEXTJOIN(", ",TRUE,IF(W92&lt;&gt;"","TEV ("&amp;W92&amp;")",""),IF(X92&lt;&gt;"","LAMG ("&amp;X92&amp;")",""),IF(Y92&lt;&gt;"","úlcera de córnea com "&amp;Y92,""))&amp;".",""))&amp;CHAR(10)&amp;CHAR(10)&amp;"2. Farmacoterapia"&amp;CHAR(10)&amp;IF(Z92&lt;&gt;"","Corticoide/DART: "&amp;Z92,"Sem corticoide/DART registrado.")&amp;CHAR(10)&amp;CHAR(10)&amp;"3. Conduta Farmacêutica"&amp;CHAR(10)&amp;IF(TEXTJOIN(CHAR(10),TRUE,AB92,AC92,AD92)="","Nenhuma intervenção registrada hoje.",TEXTJOIN(CHAR(10),TRUE,AB92,AC92,AD92))&amp;CHAR(10)&amp;CHAR(10)&amp;"4. Plano Terapêutico"&amp;CHAR(10)&amp;IF(AA92&lt;&gt;"",AA92,"Não definido.")</f>
      </c>
    </row>
    <row r="93" spans="1:32" x14ac:dyDescent="0.25">
      <c r="A93" s="4"/>
      <c r="B93" s="6">
        <f>IFERROR(INDEX(Pacientes!$A:$A,MATCH($A93,Pacientes!$B:$B,0)),"")</f>
      </c>
      <c r="C93" s="6">
        <f>IFERROR(INDEX(Pacientes!$C:$C,MATCH($A93,Pacientes!$B:$B,0)),"")</f>
      </c>
      <c r="D93" s="6">
        <f>IFERROR(INDEX(Pacientes!$D:$D,MATCH($A93,Pacientes!$B:$B,0)),"")</f>
      </c>
      <c r="E93" s="6">
        <f>IFERROR(INDEX(Pacientes!$E:$E,MATCH($A93,Pacientes!$B:$B,0)),"")</f>
      </c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>
        <f>IFERROR(INDEX(Intervenções!$K$2:$K$300,AGGREGATE(15,6,(ROW(Intervenções!$K$2:$K$300)-ROW(Intervenções!$K$2)+1)/((Intervenções!$B$2:$B$300=A93)*(Intervenções!$A$2:$A$300=F93)*(Intervenções!$K$2:$K$300&lt;&gt;"")),1)),"")</f>
      </c>
      <c r="AC93" s="4">
        <f>IFERROR(INDEX(Intervenções!$K$2:$K$300,AGGREGATE(15,6,(ROW(Intervenções!$K$2:$K$300)-ROW(Intervenções!$K$2)+1)/((Intervenções!$B$2:$B$300=A93)*(Intervenções!$A$2:$A$300=F93)*(Intervenções!$K$2:$K$300&lt;&gt;"")),2)),"")</f>
      </c>
      <c r="AD93" s="4">
        <f>IFERROR(INDEX(Intervenções!$K$2:$K$300,AGGREGATE(15,6,(ROW(Intervenções!$K$2:$K$300)-ROW(Intervenções!$K$2)+1)/((Intervenções!$B$2:$B$300=A93)*(Intervenções!$A$2:$A$300=F93)*(Intervenções!$K$2:$K$300&lt;&gt;"")),3)),"")</f>
      </c>
      <c r="AE93" s="4">
        <f>"RECONCILIAÇÃO MEDICAMENTOSA"&amp;CHAR(10)&amp;IF(G93&lt;&gt;"","Medicamentos de uso prévio: "&amp;G93&amp;".","Sem medicamentos de uso prévio relatados.")&amp;CHAR(10)&amp;IF(H93&lt;&gt;"","Histórico de alergia/RAM: "&amp;H93&amp;".","Nega alergias/RAM conhecidas.")</f>
      </c>
      <c r="AF93" s="4">
        <f>AE93&amp;CHAR(10)&amp;CHAR(10)&amp;"1. Evolução Clínica"&amp;CHAR(10)&amp;TEXTJOIN(" ",TRUE,"Paciente "&amp;I93&amp;", "&amp;IF(J93="","sem DVA","em uso de "&amp;J93)&amp;".",IF(K93&lt;&gt;"","Em "&amp;K93&amp;IF(L93&lt;&gt;""," ("&amp;L93&amp;")","")&amp;IF(M93&lt;&gt;"", ", "&amp;M93,"")&amp;IF(N93&lt;&gt;"", ", sob analgosedação com "&amp;N93,"")&amp;".",""),IF(O93&lt;&gt;"",O93&amp;IF(P93&lt;&gt;"", ", com "&amp;LOWER(P93),"")&amp;IF(Q93&lt;&gt;"", " — "&amp;Q93,"")&amp;".",""),IF(R93="Febre","Apresentou episódio febril nas últimas 24h"&amp;IF(S93&lt;&gt;""," ("&amp;S93&amp;")","")&amp;".",IF(R93="Afebril","Encontra-se afebril.","")),IF(T93&lt;&gt;"",IF(U93="Sim","Apresenta disfunção renal aguda ","Função renal preservada ")&amp;"("&amp;T93&amp;").",""),IF(V93&lt;&gt;"","Em uso do esquema antimicrobiano com "&amp;V93&amp;".",""),IF(TEXTJOIN(", ",TRUE,IF(W93&lt;&gt;"","TEV ("&amp;W93&amp;")",""),IF(X93&lt;&gt;"","LAMG ("&amp;X93&amp;")",""),IF(Y93&lt;&gt;"","úlcera de córnea com "&amp;Y93,""))&lt;&gt;"","Em uso de profilaxia: "&amp;TEXTJOIN(", ",TRUE,IF(W93&lt;&gt;"","TEV ("&amp;W93&amp;")",""),IF(X93&lt;&gt;"","LAMG ("&amp;X93&amp;")",""),IF(Y93&lt;&gt;"","úlcera de córnea com "&amp;Y93,""))&amp;".",""))&amp;CHAR(10)&amp;CHAR(10)&amp;"2. Farmacoterapia"&amp;CHAR(10)&amp;IF(Z93&lt;&gt;"","Corticoide/DART: "&amp;Z93,"Sem corticoide/DART registrado.")&amp;CHAR(10)&amp;CHAR(10)&amp;"3. Conduta Farmacêutica"&amp;CHAR(10)&amp;IF(TEXTJOIN(CHAR(10),TRUE,AB93,AC93,AD93)="","Nenhuma intervenção registrada hoje.",TEXTJOIN(CHAR(10),TRUE,AB93,AC93,AD93))&amp;CHAR(10)&amp;CHAR(10)&amp;"4. Plano Terapêutico"&amp;CHAR(10)&amp;IF(AA93&lt;&gt;"",AA93,"Não definido.")</f>
      </c>
    </row>
    <row r="94" spans="1:32" x14ac:dyDescent="0.25">
      <c r="A94" s="4"/>
      <c r="B94" s="6">
        <f>IFERROR(INDEX(Pacientes!$A:$A,MATCH($A94,Pacientes!$B:$B,0)),"")</f>
      </c>
      <c r="C94" s="6">
        <f>IFERROR(INDEX(Pacientes!$C:$C,MATCH($A94,Pacientes!$B:$B,0)),"")</f>
      </c>
      <c r="D94" s="6">
        <f>IFERROR(INDEX(Pacientes!$D:$D,MATCH($A94,Pacientes!$B:$B,0)),"")</f>
      </c>
      <c r="E94" s="6">
        <f>IFERROR(INDEX(Pacientes!$E:$E,MATCH($A94,Pacientes!$B:$B,0)),"")</f>
      </c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>
        <f>IFERROR(INDEX(Intervenções!$K$2:$K$300,AGGREGATE(15,6,(ROW(Intervenções!$K$2:$K$300)-ROW(Intervenções!$K$2)+1)/((Intervenções!$B$2:$B$300=A94)*(Intervenções!$A$2:$A$300=F94)*(Intervenções!$K$2:$K$300&lt;&gt;"")),1)),"")</f>
      </c>
      <c r="AC94" s="4">
        <f>IFERROR(INDEX(Intervenções!$K$2:$K$300,AGGREGATE(15,6,(ROW(Intervenções!$K$2:$K$300)-ROW(Intervenções!$K$2)+1)/((Intervenções!$B$2:$B$300=A94)*(Intervenções!$A$2:$A$300=F94)*(Intervenções!$K$2:$K$300&lt;&gt;"")),2)),"")</f>
      </c>
      <c r="AD94" s="4">
        <f>IFERROR(INDEX(Intervenções!$K$2:$K$300,AGGREGATE(15,6,(ROW(Intervenções!$K$2:$K$300)-ROW(Intervenções!$K$2)+1)/((Intervenções!$B$2:$B$300=A94)*(Intervenções!$A$2:$A$300=F94)*(Intervenções!$K$2:$K$300&lt;&gt;"")),3)),"")</f>
      </c>
      <c r="AE94" s="4">
        <f>"RECONCILIAÇÃO MEDICAMENTOSA"&amp;CHAR(10)&amp;IF(G94&lt;&gt;"","Medicamentos de uso prévio: "&amp;G94&amp;".","Sem medicamentos de uso prévio relatados.")&amp;CHAR(10)&amp;IF(H94&lt;&gt;"","Histórico de alergia/RAM: "&amp;H94&amp;".","Nega alergias/RAM conhecidas.")</f>
      </c>
      <c r="AF94" s="4">
        <f>AE94&amp;CHAR(10)&amp;CHAR(10)&amp;"1. Evolução Clínica"&amp;CHAR(10)&amp;TEXTJOIN(" ",TRUE,"Paciente "&amp;I94&amp;", "&amp;IF(J94="","sem DVA","em uso de "&amp;J94)&amp;".",IF(K94&lt;&gt;"","Em "&amp;K94&amp;IF(L94&lt;&gt;""," ("&amp;L94&amp;")","")&amp;IF(M94&lt;&gt;"", ", "&amp;M94,"")&amp;IF(N94&lt;&gt;"", ", sob analgosedação com "&amp;N94,"")&amp;".",""),IF(O94&lt;&gt;"",O94&amp;IF(P94&lt;&gt;"", ", com "&amp;LOWER(P94),"")&amp;IF(Q94&lt;&gt;"", " — "&amp;Q94,"")&amp;".",""),IF(R94="Febre","Apresentou episódio febril nas últimas 24h"&amp;IF(S94&lt;&gt;""," ("&amp;S94&amp;")","")&amp;".",IF(R94="Afebril","Encontra-se afebril.","")),IF(T94&lt;&gt;"",IF(U94="Sim","Apresenta disfunção renal aguda ","Função renal preservada ")&amp;"("&amp;T94&amp;").",""),IF(V94&lt;&gt;"","Em uso do esquema antimicrobiano com "&amp;V94&amp;".",""),IF(TEXTJOIN(", ",TRUE,IF(W94&lt;&gt;"","TEV ("&amp;W94&amp;")",""),IF(X94&lt;&gt;"","LAMG ("&amp;X94&amp;")",""),IF(Y94&lt;&gt;"","úlcera de córnea com "&amp;Y94,""))&lt;&gt;"","Em uso de profilaxia: "&amp;TEXTJOIN(", ",TRUE,IF(W94&lt;&gt;"","TEV ("&amp;W94&amp;")",""),IF(X94&lt;&gt;"","LAMG ("&amp;X94&amp;")",""),IF(Y94&lt;&gt;"","úlcera de córnea com "&amp;Y94,""))&amp;".",""))&amp;CHAR(10)&amp;CHAR(10)&amp;"2. Farmacoterapia"&amp;CHAR(10)&amp;IF(Z94&lt;&gt;"","Corticoide/DART: "&amp;Z94,"Sem corticoide/DART registrado.")&amp;CHAR(10)&amp;CHAR(10)&amp;"3. Conduta Farmacêutica"&amp;CHAR(10)&amp;IF(TEXTJOIN(CHAR(10),TRUE,AB94,AC94,AD94)="","Nenhuma intervenção registrada hoje.",TEXTJOIN(CHAR(10),TRUE,AB94,AC94,AD94))&amp;CHAR(10)&amp;CHAR(10)&amp;"4. Plano Terapêutico"&amp;CHAR(10)&amp;IF(AA94&lt;&gt;"",AA94,"Não definido.")</f>
      </c>
    </row>
    <row r="95" spans="1:32" x14ac:dyDescent="0.25">
      <c r="A95" s="4"/>
      <c r="B95" s="6">
        <f>IFERROR(INDEX(Pacientes!$A:$A,MATCH($A95,Pacientes!$B:$B,0)),"")</f>
      </c>
      <c r="C95" s="6">
        <f>IFERROR(INDEX(Pacientes!$C:$C,MATCH($A95,Pacientes!$B:$B,0)),"")</f>
      </c>
      <c r="D95" s="6">
        <f>IFERROR(INDEX(Pacientes!$D:$D,MATCH($A95,Pacientes!$B:$B,0)),"")</f>
      </c>
      <c r="E95" s="6">
        <f>IFERROR(INDEX(Pacientes!$E:$E,MATCH($A95,Pacientes!$B:$B,0)),"")</f>
      </c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>
        <f>IFERROR(INDEX(Intervenções!$K$2:$K$300,AGGREGATE(15,6,(ROW(Intervenções!$K$2:$K$300)-ROW(Intervenções!$K$2)+1)/((Intervenções!$B$2:$B$300=A95)*(Intervenções!$A$2:$A$300=F95)*(Intervenções!$K$2:$K$300&lt;&gt;"")),1)),"")</f>
      </c>
      <c r="AC95" s="4">
        <f>IFERROR(INDEX(Intervenções!$K$2:$K$300,AGGREGATE(15,6,(ROW(Intervenções!$K$2:$K$300)-ROW(Intervenções!$K$2)+1)/((Intervenções!$B$2:$B$300=A95)*(Intervenções!$A$2:$A$300=F95)*(Intervenções!$K$2:$K$300&lt;&gt;"")),2)),"")</f>
      </c>
      <c r="AD95" s="4">
        <f>IFERROR(INDEX(Intervenções!$K$2:$K$300,AGGREGATE(15,6,(ROW(Intervenções!$K$2:$K$300)-ROW(Intervenções!$K$2)+1)/((Intervenções!$B$2:$B$300=A95)*(Intervenções!$A$2:$A$300=F95)*(Intervenções!$K$2:$K$300&lt;&gt;"")),3)),"")</f>
      </c>
      <c r="AE95" s="4">
        <f>"RECONCILIAÇÃO MEDICAMENTOSA"&amp;CHAR(10)&amp;IF(G95&lt;&gt;"","Medicamentos de uso prévio: "&amp;G95&amp;".","Sem medicamentos de uso prévio relatados.")&amp;CHAR(10)&amp;IF(H95&lt;&gt;"","Histórico de alergia/RAM: "&amp;H95&amp;".","Nega alergias/RAM conhecidas.")</f>
      </c>
      <c r="AF95" s="4">
        <f>AE95&amp;CHAR(10)&amp;CHAR(10)&amp;"1. Evolução Clínica"&amp;CHAR(10)&amp;TEXTJOIN(" ",TRUE,"Paciente "&amp;I95&amp;", "&amp;IF(J95="","sem DVA","em uso de "&amp;J95)&amp;".",IF(K95&lt;&gt;"","Em "&amp;K95&amp;IF(L95&lt;&gt;""," ("&amp;L95&amp;")","")&amp;IF(M95&lt;&gt;"", ", "&amp;M95,"")&amp;IF(N95&lt;&gt;"", ", sob analgosedação com "&amp;N95,"")&amp;".",""),IF(O95&lt;&gt;"",O95&amp;IF(P95&lt;&gt;"", ", com "&amp;LOWER(P95),"")&amp;IF(Q95&lt;&gt;"", " — "&amp;Q95,"")&amp;".",""),IF(R95="Febre","Apresentou episódio febril nas últimas 24h"&amp;IF(S95&lt;&gt;""," ("&amp;S95&amp;")","")&amp;".",IF(R95="Afebril","Encontra-se afebril.","")),IF(T95&lt;&gt;"",IF(U95="Sim","Apresenta disfunção renal aguda ","Função renal preservada ")&amp;"("&amp;T95&amp;").",""),IF(V95&lt;&gt;"","Em uso do esquema antimicrobiano com "&amp;V95&amp;".",""),IF(TEXTJOIN(", ",TRUE,IF(W95&lt;&gt;"","TEV ("&amp;W95&amp;")",""),IF(X95&lt;&gt;"","LAMG ("&amp;X95&amp;")",""),IF(Y95&lt;&gt;"","úlcera de córnea com "&amp;Y95,""))&lt;&gt;"","Em uso de profilaxia: "&amp;TEXTJOIN(", ",TRUE,IF(W95&lt;&gt;"","TEV ("&amp;W95&amp;")",""),IF(X95&lt;&gt;"","LAMG ("&amp;X95&amp;")",""),IF(Y95&lt;&gt;"","úlcera de córnea com "&amp;Y95,""))&amp;".",""))&amp;CHAR(10)&amp;CHAR(10)&amp;"2. Farmacoterapia"&amp;CHAR(10)&amp;IF(Z95&lt;&gt;"","Corticoide/DART: "&amp;Z95,"Sem corticoide/DART registrado.")&amp;CHAR(10)&amp;CHAR(10)&amp;"3. Conduta Farmacêutica"&amp;CHAR(10)&amp;IF(TEXTJOIN(CHAR(10),TRUE,AB95,AC95,AD95)="","Nenhuma intervenção registrada hoje.",TEXTJOIN(CHAR(10),TRUE,AB95,AC95,AD95))&amp;CHAR(10)&amp;CHAR(10)&amp;"4. Plano Terapêutico"&amp;CHAR(10)&amp;IF(AA95&lt;&gt;"",AA95,"Não definido.")</f>
      </c>
    </row>
    <row r="96" spans="1:32" x14ac:dyDescent="0.25">
      <c r="A96" s="4"/>
      <c r="B96" s="6">
        <f>IFERROR(INDEX(Pacientes!$A:$A,MATCH($A96,Pacientes!$B:$B,0)),"")</f>
      </c>
      <c r="C96" s="6">
        <f>IFERROR(INDEX(Pacientes!$C:$C,MATCH($A96,Pacientes!$B:$B,0)),"")</f>
      </c>
      <c r="D96" s="6">
        <f>IFERROR(INDEX(Pacientes!$D:$D,MATCH($A96,Pacientes!$B:$B,0)),"")</f>
      </c>
      <c r="E96" s="6">
        <f>IFERROR(INDEX(Pacientes!$E:$E,MATCH($A96,Pacientes!$B:$B,0)),"")</f>
      </c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>
        <f>IFERROR(INDEX(Intervenções!$K$2:$K$300,AGGREGATE(15,6,(ROW(Intervenções!$K$2:$K$300)-ROW(Intervenções!$K$2)+1)/((Intervenções!$B$2:$B$300=A96)*(Intervenções!$A$2:$A$300=F96)*(Intervenções!$K$2:$K$300&lt;&gt;"")),1)),"")</f>
      </c>
      <c r="AC96" s="4">
        <f>IFERROR(INDEX(Intervenções!$K$2:$K$300,AGGREGATE(15,6,(ROW(Intervenções!$K$2:$K$300)-ROW(Intervenções!$K$2)+1)/((Intervenções!$B$2:$B$300=A96)*(Intervenções!$A$2:$A$300=F96)*(Intervenções!$K$2:$K$300&lt;&gt;"")),2)),"")</f>
      </c>
      <c r="AD96" s="4">
        <f>IFERROR(INDEX(Intervenções!$K$2:$K$300,AGGREGATE(15,6,(ROW(Intervenções!$K$2:$K$300)-ROW(Intervenções!$K$2)+1)/((Intervenções!$B$2:$B$300=A96)*(Intervenções!$A$2:$A$300=F96)*(Intervenções!$K$2:$K$300&lt;&gt;"")),3)),"")</f>
      </c>
      <c r="AE96" s="4">
        <f>"RECONCILIAÇÃO MEDICAMENTOSA"&amp;CHAR(10)&amp;IF(G96&lt;&gt;"","Medicamentos de uso prévio: "&amp;G96&amp;".","Sem medicamentos de uso prévio relatados.")&amp;CHAR(10)&amp;IF(H96&lt;&gt;"","Histórico de alergia/RAM: "&amp;H96&amp;".","Nega alergias/RAM conhecidas.")</f>
      </c>
      <c r="AF96" s="4">
        <f>AE96&amp;CHAR(10)&amp;CHAR(10)&amp;"1. Evolução Clínica"&amp;CHAR(10)&amp;TEXTJOIN(" ",TRUE,"Paciente "&amp;I96&amp;", "&amp;IF(J96="","sem DVA","em uso de "&amp;J96)&amp;".",IF(K96&lt;&gt;"","Em "&amp;K96&amp;IF(L96&lt;&gt;""," ("&amp;L96&amp;")","")&amp;IF(M96&lt;&gt;"", ", "&amp;M96,"")&amp;IF(N96&lt;&gt;"", ", sob analgosedação com "&amp;N96,"")&amp;".",""),IF(O96&lt;&gt;"",O96&amp;IF(P96&lt;&gt;"", ", com "&amp;LOWER(P96),"")&amp;IF(Q96&lt;&gt;"", " — "&amp;Q96,"")&amp;".",""),IF(R96="Febre","Apresentou episódio febril nas últimas 24h"&amp;IF(S96&lt;&gt;""," ("&amp;S96&amp;")","")&amp;".",IF(R96="Afebril","Encontra-se afebril.","")),IF(T96&lt;&gt;"",IF(U96="Sim","Apresenta disfunção renal aguda ","Função renal preservada ")&amp;"("&amp;T96&amp;").",""),IF(V96&lt;&gt;"","Em uso do esquema antimicrobiano com "&amp;V96&amp;".",""),IF(TEXTJOIN(", ",TRUE,IF(W96&lt;&gt;"","TEV ("&amp;W96&amp;")",""),IF(X96&lt;&gt;"","LAMG ("&amp;X96&amp;")",""),IF(Y96&lt;&gt;"","úlcera de córnea com "&amp;Y96,""))&lt;&gt;"","Em uso de profilaxia: "&amp;TEXTJOIN(", ",TRUE,IF(W96&lt;&gt;"","TEV ("&amp;W96&amp;")",""),IF(X96&lt;&gt;"","LAMG ("&amp;X96&amp;")",""),IF(Y96&lt;&gt;"","úlcera de córnea com "&amp;Y96,""))&amp;".",""))&amp;CHAR(10)&amp;CHAR(10)&amp;"2. Farmacoterapia"&amp;CHAR(10)&amp;IF(Z96&lt;&gt;"","Corticoide/DART: "&amp;Z96,"Sem corticoide/DART registrado.")&amp;CHAR(10)&amp;CHAR(10)&amp;"3. Conduta Farmacêutica"&amp;CHAR(10)&amp;IF(TEXTJOIN(CHAR(10),TRUE,AB96,AC96,AD96)="","Nenhuma intervenção registrada hoje.",TEXTJOIN(CHAR(10),TRUE,AB96,AC96,AD96))&amp;CHAR(10)&amp;CHAR(10)&amp;"4. Plano Terapêutico"&amp;CHAR(10)&amp;IF(AA96&lt;&gt;"",AA96,"Não definido.")</f>
      </c>
    </row>
    <row r="97" spans="1:32" x14ac:dyDescent="0.25">
      <c r="A97" s="4"/>
      <c r="B97" s="6">
        <f>IFERROR(INDEX(Pacientes!$A:$A,MATCH($A97,Pacientes!$B:$B,0)),"")</f>
      </c>
      <c r="C97" s="6">
        <f>IFERROR(INDEX(Pacientes!$C:$C,MATCH($A97,Pacientes!$B:$B,0)),"")</f>
      </c>
      <c r="D97" s="6">
        <f>IFERROR(INDEX(Pacientes!$D:$D,MATCH($A97,Pacientes!$B:$B,0)),"")</f>
      </c>
      <c r="E97" s="6">
        <f>IFERROR(INDEX(Pacientes!$E:$E,MATCH($A97,Pacientes!$B:$B,0)),"")</f>
      </c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>
        <f>IFERROR(INDEX(Intervenções!$K$2:$K$300,AGGREGATE(15,6,(ROW(Intervenções!$K$2:$K$300)-ROW(Intervenções!$K$2)+1)/((Intervenções!$B$2:$B$300=A97)*(Intervenções!$A$2:$A$300=F97)*(Intervenções!$K$2:$K$300&lt;&gt;"")),1)),"")</f>
      </c>
      <c r="AC97" s="4">
        <f>IFERROR(INDEX(Intervenções!$K$2:$K$300,AGGREGATE(15,6,(ROW(Intervenções!$K$2:$K$300)-ROW(Intervenções!$K$2)+1)/((Intervenções!$B$2:$B$300=A97)*(Intervenções!$A$2:$A$300=F97)*(Intervenções!$K$2:$K$300&lt;&gt;"")),2)),"")</f>
      </c>
      <c r="AD97" s="4">
        <f>IFERROR(INDEX(Intervenções!$K$2:$K$300,AGGREGATE(15,6,(ROW(Intervenções!$K$2:$K$300)-ROW(Intervenções!$K$2)+1)/((Intervenções!$B$2:$B$300=A97)*(Intervenções!$A$2:$A$300=F97)*(Intervenções!$K$2:$K$300&lt;&gt;"")),3)),"")</f>
      </c>
      <c r="AE97" s="4">
        <f>"RECONCILIAÇÃO MEDICAMENTOSA"&amp;CHAR(10)&amp;IF(G97&lt;&gt;"","Medicamentos de uso prévio: "&amp;G97&amp;".","Sem medicamentos de uso prévio relatados.")&amp;CHAR(10)&amp;IF(H97&lt;&gt;"","Histórico de alergia/RAM: "&amp;H97&amp;".","Nega alergias/RAM conhecidas.")</f>
      </c>
      <c r="AF97" s="4">
        <f>AE97&amp;CHAR(10)&amp;CHAR(10)&amp;"1. Evolução Clínica"&amp;CHAR(10)&amp;TEXTJOIN(" ",TRUE,"Paciente "&amp;I97&amp;", "&amp;IF(J97="","sem DVA","em uso de "&amp;J97)&amp;".",IF(K97&lt;&gt;"","Em "&amp;K97&amp;IF(L97&lt;&gt;""," ("&amp;L97&amp;")","")&amp;IF(M97&lt;&gt;"", ", "&amp;M97,"")&amp;IF(N97&lt;&gt;"", ", sob analgosedação com "&amp;N97,"")&amp;".",""),IF(O97&lt;&gt;"",O97&amp;IF(P97&lt;&gt;"", ", com "&amp;LOWER(P97),"")&amp;IF(Q97&lt;&gt;"", " — "&amp;Q97,"")&amp;".",""),IF(R97="Febre","Apresentou episódio febril nas últimas 24h"&amp;IF(S97&lt;&gt;""," ("&amp;S97&amp;")","")&amp;".",IF(R97="Afebril","Encontra-se afebril.","")),IF(T97&lt;&gt;"",IF(U97="Sim","Apresenta disfunção renal aguda ","Função renal preservada ")&amp;"("&amp;T97&amp;").",""),IF(V97&lt;&gt;"","Em uso do esquema antimicrobiano com "&amp;V97&amp;".",""),IF(TEXTJOIN(", ",TRUE,IF(W97&lt;&gt;"","TEV ("&amp;W97&amp;")",""),IF(X97&lt;&gt;"","LAMG ("&amp;X97&amp;")",""),IF(Y97&lt;&gt;"","úlcera de córnea com "&amp;Y97,""))&lt;&gt;"","Em uso de profilaxia: "&amp;TEXTJOIN(", ",TRUE,IF(W97&lt;&gt;"","TEV ("&amp;W97&amp;")",""),IF(X97&lt;&gt;"","LAMG ("&amp;X97&amp;")",""),IF(Y97&lt;&gt;"","úlcera de córnea com "&amp;Y97,""))&amp;".",""))&amp;CHAR(10)&amp;CHAR(10)&amp;"2. Farmacoterapia"&amp;CHAR(10)&amp;IF(Z97&lt;&gt;"","Corticoide/DART: "&amp;Z97,"Sem corticoide/DART registrado.")&amp;CHAR(10)&amp;CHAR(10)&amp;"3. Conduta Farmacêutica"&amp;CHAR(10)&amp;IF(TEXTJOIN(CHAR(10),TRUE,AB97,AC97,AD97)="","Nenhuma intervenção registrada hoje.",TEXTJOIN(CHAR(10),TRUE,AB97,AC97,AD97))&amp;CHAR(10)&amp;CHAR(10)&amp;"4. Plano Terapêutico"&amp;CHAR(10)&amp;IF(AA97&lt;&gt;"",AA97,"Não definido.")</f>
      </c>
    </row>
    <row r="98" spans="1:32" x14ac:dyDescent="0.25">
      <c r="A98" s="4"/>
      <c r="B98" s="6">
        <f>IFERROR(INDEX(Pacientes!$A:$A,MATCH($A98,Pacientes!$B:$B,0)),"")</f>
      </c>
      <c r="C98" s="6">
        <f>IFERROR(INDEX(Pacientes!$C:$C,MATCH($A98,Pacientes!$B:$B,0)),"")</f>
      </c>
      <c r="D98" s="6">
        <f>IFERROR(INDEX(Pacientes!$D:$D,MATCH($A98,Pacientes!$B:$B,0)),"")</f>
      </c>
      <c r="E98" s="6">
        <f>IFERROR(INDEX(Pacientes!$E:$E,MATCH($A98,Pacientes!$B:$B,0)),"")</f>
      </c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>
        <f>IFERROR(INDEX(Intervenções!$K$2:$K$300,AGGREGATE(15,6,(ROW(Intervenções!$K$2:$K$300)-ROW(Intervenções!$K$2)+1)/((Intervenções!$B$2:$B$300=A98)*(Intervenções!$A$2:$A$300=F98)*(Intervenções!$K$2:$K$300&lt;&gt;"")),1)),"")</f>
      </c>
      <c r="AC98" s="4">
        <f>IFERROR(INDEX(Intervenções!$K$2:$K$300,AGGREGATE(15,6,(ROW(Intervenções!$K$2:$K$300)-ROW(Intervenções!$K$2)+1)/((Intervenções!$B$2:$B$300=A98)*(Intervenções!$A$2:$A$300=F98)*(Intervenções!$K$2:$K$300&lt;&gt;"")),2)),"")</f>
      </c>
      <c r="AD98" s="4">
        <f>IFERROR(INDEX(Intervenções!$K$2:$K$300,AGGREGATE(15,6,(ROW(Intervenções!$K$2:$K$300)-ROW(Intervenções!$K$2)+1)/((Intervenções!$B$2:$B$300=A98)*(Intervenções!$A$2:$A$300=F98)*(Intervenções!$K$2:$K$300&lt;&gt;"")),3)),"")</f>
      </c>
      <c r="AE98" s="4">
        <f>"RECONCILIAÇÃO MEDICAMENTOSA"&amp;CHAR(10)&amp;IF(G98&lt;&gt;"","Medicamentos de uso prévio: "&amp;G98&amp;".","Sem medicamentos de uso prévio relatados.")&amp;CHAR(10)&amp;IF(H98&lt;&gt;"","Histórico de alergia/RAM: "&amp;H98&amp;".","Nega alergias/RAM conhecidas.")</f>
      </c>
      <c r="AF98" s="4">
        <f>AE98&amp;CHAR(10)&amp;CHAR(10)&amp;"1. Evolução Clínica"&amp;CHAR(10)&amp;TEXTJOIN(" ",TRUE,"Paciente "&amp;I98&amp;", "&amp;IF(J98="","sem DVA","em uso de "&amp;J98)&amp;".",IF(K98&lt;&gt;"","Em "&amp;K98&amp;IF(L98&lt;&gt;""," ("&amp;L98&amp;")","")&amp;IF(M98&lt;&gt;"", ", "&amp;M98,"")&amp;IF(N98&lt;&gt;"", ", sob analgosedação com "&amp;N98,"")&amp;".",""),IF(O98&lt;&gt;"",O98&amp;IF(P98&lt;&gt;"", ", com "&amp;LOWER(P98),"")&amp;IF(Q98&lt;&gt;"", " — "&amp;Q98,"")&amp;".",""),IF(R98="Febre","Apresentou episódio febril nas últimas 24h"&amp;IF(S98&lt;&gt;""," ("&amp;S98&amp;")","")&amp;".",IF(R98="Afebril","Encontra-se afebril.","")),IF(T98&lt;&gt;"",IF(U98="Sim","Apresenta disfunção renal aguda ","Função renal preservada ")&amp;"("&amp;T98&amp;").",""),IF(V98&lt;&gt;"","Em uso do esquema antimicrobiano com "&amp;V98&amp;".",""),IF(TEXTJOIN(", ",TRUE,IF(W98&lt;&gt;"","TEV ("&amp;W98&amp;")",""),IF(X98&lt;&gt;"","LAMG ("&amp;X98&amp;")",""),IF(Y98&lt;&gt;"","úlcera de córnea com "&amp;Y98,""))&lt;&gt;"","Em uso de profilaxia: "&amp;TEXTJOIN(", ",TRUE,IF(W98&lt;&gt;"","TEV ("&amp;W98&amp;")",""),IF(X98&lt;&gt;"","LAMG ("&amp;X98&amp;")",""),IF(Y98&lt;&gt;"","úlcera de córnea com "&amp;Y98,""))&amp;".",""))&amp;CHAR(10)&amp;CHAR(10)&amp;"2. Farmacoterapia"&amp;CHAR(10)&amp;IF(Z98&lt;&gt;"","Corticoide/DART: "&amp;Z98,"Sem corticoide/DART registrado.")&amp;CHAR(10)&amp;CHAR(10)&amp;"3. Conduta Farmacêutica"&amp;CHAR(10)&amp;IF(TEXTJOIN(CHAR(10),TRUE,AB98,AC98,AD98)="","Nenhuma intervenção registrada hoje.",TEXTJOIN(CHAR(10),TRUE,AB98,AC98,AD98))&amp;CHAR(10)&amp;CHAR(10)&amp;"4. Plano Terapêutico"&amp;CHAR(10)&amp;IF(AA98&lt;&gt;"",AA98,"Não definido.")</f>
      </c>
    </row>
    <row r="99" spans="1:32" x14ac:dyDescent="0.25">
      <c r="A99" s="4"/>
      <c r="B99" s="6">
        <f>IFERROR(INDEX(Pacientes!$A:$A,MATCH($A99,Pacientes!$B:$B,0)),"")</f>
      </c>
      <c r="C99" s="6">
        <f>IFERROR(INDEX(Pacientes!$C:$C,MATCH($A99,Pacientes!$B:$B,0)),"")</f>
      </c>
      <c r="D99" s="6">
        <f>IFERROR(INDEX(Pacientes!$D:$D,MATCH($A99,Pacientes!$B:$B,0)),"")</f>
      </c>
      <c r="E99" s="6">
        <f>IFERROR(INDEX(Pacientes!$E:$E,MATCH($A99,Pacientes!$B:$B,0)),"")</f>
      </c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>
        <f>IFERROR(INDEX(Intervenções!$K$2:$K$300,AGGREGATE(15,6,(ROW(Intervenções!$K$2:$K$300)-ROW(Intervenções!$K$2)+1)/((Intervenções!$B$2:$B$300=A99)*(Intervenções!$A$2:$A$300=F99)*(Intervenções!$K$2:$K$300&lt;&gt;"")),1)),"")</f>
      </c>
      <c r="AC99" s="4">
        <f>IFERROR(INDEX(Intervenções!$K$2:$K$300,AGGREGATE(15,6,(ROW(Intervenções!$K$2:$K$300)-ROW(Intervenções!$K$2)+1)/((Intervenções!$B$2:$B$300=A99)*(Intervenções!$A$2:$A$300=F99)*(Intervenções!$K$2:$K$300&lt;&gt;"")),2)),"")</f>
      </c>
      <c r="AD99" s="4">
        <f>IFERROR(INDEX(Intervenções!$K$2:$K$300,AGGREGATE(15,6,(ROW(Intervenções!$K$2:$K$300)-ROW(Intervenções!$K$2)+1)/((Intervenções!$B$2:$B$300=A99)*(Intervenções!$A$2:$A$300=F99)*(Intervenções!$K$2:$K$300&lt;&gt;"")),3)),"")</f>
      </c>
      <c r="AE99" s="4">
        <f>"RECONCILIAÇÃO MEDICAMENTOSA"&amp;CHAR(10)&amp;IF(G99&lt;&gt;"","Medicamentos de uso prévio: "&amp;G99&amp;".","Sem medicamentos de uso prévio relatados.")&amp;CHAR(10)&amp;IF(H99&lt;&gt;"","Histórico de alergia/RAM: "&amp;H99&amp;".","Nega alergias/RAM conhecidas.")</f>
      </c>
      <c r="AF99" s="4">
        <f>AE99&amp;CHAR(10)&amp;CHAR(10)&amp;"1. Evolução Clínica"&amp;CHAR(10)&amp;TEXTJOIN(" ",TRUE,"Paciente "&amp;I99&amp;", "&amp;IF(J99="","sem DVA","em uso de "&amp;J99)&amp;".",IF(K99&lt;&gt;"","Em "&amp;K99&amp;IF(L99&lt;&gt;""," ("&amp;L99&amp;")","")&amp;IF(M99&lt;&gt;"", ", "&amp;M99,"")&amp;IF(N99&lt;&gt;"", ", sob analgosedação com "&amp;N99,"")&amp;".",""),IF(O99&lt;&gt;"",O99&amp;IF(P99&lt;&gt;"", ", com "&amp;LOWER(P99),"")&amp;IF(Q99&lt;&gt;"", " — "&amp;Q99,"")&amp;".",""),IF(R99="Febre","Apresentou episódio febril nas últimas 24h"&amp;IF(S99&lt;&gt;""," ("&amp;S99&amp;")","")&amp;".",IF(R99="Afebril","Encontra-se afebril.","")),IF(T99&lt;&gt;"",IF(U99="Sim","Apresenta disfunção renal aguda ","Função renal preservada ")&amp;"("&amp;T99&amp;").",""),IF(V99&lt;&gt;"","Em uso do esquema antimicrobiano com "&amp;V99&amp;".",""),IF(TEXTJOIN(", ",TRUE,IF(W99&lt;&gt;"","TEV ("&amp;W99&amp;")",""),IF(X99&lt;&gt;"","LAMG ("&amp;X99&amp;")",""),IF(Y99&lt;&gt;"","úlcera de córnea com "&amp;Y99,""))&lt;&gt;"","Em uso de profilaxia: "&amp;TEXTJOIN(", ",TRUE,IF(W99&lt;&gt;"","TEV ("&amp;W99&amp;")",""),IF(X99&lt;&gt;"","LAMG ("&amp;X99&amp;")",""),IF(Y99&lt;&gt;"","úlcera de córnea com "&amp;Y99,""))&amp;".",""))&amp;CHAR(10)&amp;CHAR(10)&amp;"2. Farmacoterapia"&amp;CHAR(10)&amp;IF(Z99&lt;&gt;"","Corticoide/DART: "&amp;Z99,"Sem corticoide/DART registrado.")&amp;CHAR(10)&amp;CHAR(10)&amp;"3. Conduta Farmacêutica"&amp;CHAR(10)&amp;IF(TEXTJOIN(CHAR(10),TRUE,AB99,AC99,AD99)="","Nenhuma intervenção registrada hoje.",TEXTJOIN(CHAR(10),TRUE,AB99,AC99,AD99))&amp;CHAR(10)&amp;CHAR(10)&amp;"4. Plano Terapêutico"&amp;CHAR(10)&amp;IF(AA99&lt;&gt;"",AA99,"Não definido.")</f>
      </c>
    </row>
    <row r="100" spans="1:32" x14ac:dyDescent="0.25">
      <c r="A100" s="4"/>
      <c r="B100" s="6">
        <f>IFERROR(INDEX(Pacientes!$A:$A,MATCH($A100,Pacientes!$B:$B,0)),"")</f>
      </c>
      <c r="C100" s="6">
        <f>IFERROR(INDEX(Pacientes!$C:$C,MATCH($A100,Pacientes!$B:$B,0)),"")</f>
      </c>
      <c r="D100" s="6">
        <f>IFERROR(INDEX(Pacientes!$D:$D,MATCH($A100,Pacientes!$B:$B,0)),"")</f>
      </c>
      <c r="E100" s="6">
        <f>IFERROR(INDEX(Pacientes!$E:$E,MATCH($A100,Pacientes!$B:$B,0)),"")</f>
      </c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>
        <f>IFERROR(INDEX(Intervenções!$K$2:$K$300,AGGREGATE(15,6,(ROW(Intervenções!$K$2:$K$300)-ROW(Intervenções!$K$2)+1)/((Intervenções!$B$2:$B$300=A100)*(Intervenções!$A$2:$A$300=F100)*(Intervenções!$K$2:$K$300&lt;&gt;"")),1)),"")</f>
      </c>
      <c r="AC100" s="4">
        <f>IFERROR(INDEX(Intervenções!$K$2:$K$300,AGGREGATE(15,6,(ROW(Intervenções!$K$2:$K$300)-ROW(Intervenções!$K$2)+1)/((Intervenções!$B$2:$B$300=A100)*(Intervenções!$A$2:$A$300=F100)*(Intervenções!$K$2:$K$300&lt;&gt;"")),2)),"")</f>
      </c>
      <c r="AD100" s="4">
        <f>IFERROR(INDEX(Intervenções!$K$2:$K$300,AGGREGATE(15,6,(ROW(Intervenções!$K$2:$K$300)-ROW(Intervenções!$K$2)+1)/((Intervenções!$B$2:$B$300=A100)*(Intervenções!$A$2:$A$300=F100)*(Intervenções!$K$2:$K$300&lt;&gt;"")),3)),"")</f>
      </c>
      <c r="AE100" s="4">
        <f>"RECONCILIAÇÃO MEDICAMENTOSA"&amp;CHAR(10)&amp;IF(G100&lt;&gt;"","Medicamentos de uso prévio: "&amp;G100&amp;".","Sem medicamentos de uso prévio relatados.")&amp;CHAR(10)&amp;IF(H100&lt;&gt;"","Histórico de alergia/RAM: "&amp;H100&amp;".","Nega alergias/RAM conhecidas.")</f>
      </c>
      <c r="AF100" s="4">
        <f>AE100&amp;CHAR(10)&amp;CHAR(10)&amp;"1. Evolução Clínica"&amp;CHAR(10)&amp;TEXTJOIN(" ",TRUE,"Paciente "&amp;I100&amp;", "&amp;IF(J100="","sem DVA","em uso de "&amp;J100)&amp;".",IF(K100&lt;&gt;"","Em "&amp;K100&amp;IF(L100&lt;&gt;""," ("&amp;L100&amp;")","")&amp;IF(M100&lt;&gt;"", ", "&amp;M100,"")&amp;IF(N100&lt;&gt;"", ", sob analgosedação com "&amp;N100,"")&amp;".",""),IF(O100&lt;&gt;"",O100&amp;IF(P100&lt;&gt;"", ", com "&amp;LOWER(P100),"")&amp;IF(Q100&lt;&gt;"", " — "&amp;Q100,"")&amp;".",""),IF(R100="Febre","Apresentou episódio febril nas últimas 24h"&amp;IF(S100&lt;&gt;""," ("&amp;S100&amp;")","")&amp;".",IF(R100="Afebril","Encontra-se afebril.","")),IF(T100&lt;&gt;"",IF(U100="Sim","Apresenta disfunção renal aguda ","Função renal preservada ")&amp;"("&amp;T100&amp;").",""),IF(V100&lt;&gt;"","Em uso do esquema antimicrobiano com "&amp;V100&amp;".",""),IF(TEXTJOIN(", ",TRUE,IF(W100&lt;&gt;"","TEV ("&amp;W100&amp;")",""),IF(X100&lt;&gt;"","LAMG ("&amp;X100&amp;")",""),IF(Y100&lt;&gt;"","úlcera de córnea com "&amp;Y100,""))&lt;&gt;"","Em uso de profilaxia: "&amp;TEXTJOIN(", ",TRUE,IF(W100&lt;&gt;"","TEV ("&amp;W100&amp;")",""),IF(X100&lt;&gt;"","LAMG ("&amp;X100&amp;")",""),IF(Y100&lt;&gt;"","úlcera de córnea com "&amp;Y100,""))&amp;".",""))&amp;CHAR(10)&amp;CHAR(10)&amp;"2. Farmacoterapia"&amp;CHAR(10)&amp;IF(Z100&lt;&gt;"","Corticoide/DART: "&amp;Z100,"Sem corticoide/DART registrado.")&amp;CHAR(10)&amp;CHAR(10)&amp;"3. Conduta Farmacêutica"&amp;CHAR(10)&amp;IF(TEXTJOIN(CHAR(10),TRUE,AB100,AC100,AD100)="","Nenhuma intervenção registrada hoje.",TEXTJOIN(CHAR(10),TRUE,AB100,AC100,AD100))&amp;CHAR(10)&amp;CHAR(10)&amp;"4. Plano Terapêutico"&amp;CHAR(10)&amp;IF(AA100&lt;&gt;"",AA100,"Não definido.")</f>
      </c>
    </row>
    <row r="101" spans="1:32" x14ac:dyDescent="0.25">
      <c r="A101" s="4"/>
      <c r="B101" s="6">
        <f>IFERROR(INDEX(Pacientes!$A:$A,MATCH($A101,Pacientes!$B:$B,0)),"")</f>
      </c>
      <c r="C101" s="6">
        <f>IFERROR(INDEX(Pacientes!$C:$C,MATCH($A101,Pacientes!$B:$B,0)),"")</f>
      </c>
      <c r="D101" s="6">
        <f>IFERROR(INDEX(Pacientes!$D:$D,MATCH($A101,Pacientes!$B:$B,0)),"")</f>
      </c>
      <c r="E101" s="6">
        <f>IFERROR(INDEX(Pacientes!$E:$E,MATCH($A101,Pacientes!$B:$B,0)),"")</f>
      </c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>
        <f>IFERROR(INDEX(Intervenções!$K$2:$K$300,AGGREGATE(15,6,(ROW(Intervenções!$K$2:$K$300)-ROW(Intervenções!$K$2)+1)/((Intervenções!$B$2:$B$300=A101)*(Intervenções!$A$2:$A$300=F101)*(Intervenções!$K$2:$K$300&lt;&gt;"")),1)),"")</f>
      </c>
      <c r="AC101" s="4">
        <f>IFERROR(INDEX(Intervenções!$K$2:$K$300,AGGREGATE(15,6,(ROW(Intervenções!$K$2:$K$300)-ROW(Intervenções!$K$2)+1)/((Intervenções!$B$2:$B$300=A101)*(Intervenções!$A$2:$A$300=F101)*(Intervenções!$K$2:$K$300&lt;&gt;"")),2)),"")</f>
      </c>
      <c r="AD101" s="4">
        <f>IFERROR(INDEX(Intervenções!$K$2:$K$300,AGGREGATE(15,6,(ROW(Intervenções!$K$2:$K$300)-ROW(Intervenções!$K$2)+1)/((Intervenções!$B$2:$B$300=A101)*(Intervenções!$A$2:$A$300=F101)*(Intervenções!$K$2:$K$300&lt;&gt;"")),3)),"")</f>
      </c>
      <c r="AE101" s="4">
        <f>"RECONCILIAÇÃO MEDICAMENTOSA"&amp;CHAR(10)&amp;IF(G101&lt;&gt;"","Medicamentos de uso prévio: "&amp;G101&amp;".","Sem medicamentos de uso prévio relatados.")&amp;CHAR(10)&amp;IF(H101&lt;&gt;"","Histórico de alergia/RAM: "&amp;H101&amp;".","Nega alergias/RAM conhecidas.")</f>
      </c>
      <c r="AF101" s="4">
        <f>AE101&amp;CHAR(10)&amp;CHAR(10)&amp;"1. Evolução Clínica"&amp;CHAR(10)&amp;TEXTJOIN(" ",TRUE,"Paciente "&amp;I101&amp;", "&amp;IF(J101="","sem DVA","em uso de "&amp;J101)&amp;".",IF(K101&lt;&gt;"","Em "&amp;K101&amp;IF(L101&lt;&gt;""," ("&amp;L101&amp;")","")&amp;IF(M101&lt;&gt;"", ", "&amp;M101,"")&amp;IF(N101&lt;&gt;"", ", sob analgosedação com "&amp;N101,"")&amp;".",""),IF(O101&lt;&gt;"",O101&amp;IF(P101&lt;&gt;"", ", com "&amp;LOWER(P101),"")&amp;IF(Q101&lt;&gt;"", " — "&amp;Q101,"")&amp;".",""),IF(R101="Febre","Apresentou episódio febril nas últimas 24h"&amp;IF(S101&lt;&gt;""," ("&amp;S101&amp;")","")&amp;".",IF(R101="Afebril","Encontra-se afebril.","")),IF(T101&lt;&gt;"",IF(U101="Sim","Apresenta disfunção renal aguda ","Função renal preservada ")&amp;"("&amp;T101&amp;").",""),IF(V101&lt;&gt;"","Em uso do esquema antimicrobiano com "&amp;V101&amp;".",""),IF(TEXTJOIN(", ",TRUE,IF(W101&lt;&gt;"","TEV ("&amp;W101&amp;")",""),IF(X101&lt;&gt;"","LAMG ("&amp;X101&amp;")",""),IF(Y101&lt;&gt;"","úlcera de córnea com "&amp;Y101,""))&lt;&gt;"","Em uso de profilaxia: "&amp;TEXTJOIN(", ",TRUE,IF(W101&lt;&gt;"","TEV ("&amp;W101&amp;")",""),IF(X101&lt;&gt;"","LAMG ("&amp;X101&amp;")",""),IF(Y101&lt;&gt;"","úlcera de córnea com "&amp;Y101,""))&amp;".",""))&amp;CHAR(10)&amp;CHAR(10)&amp;"2. Farmacoterapia"&amp;CHAR(10)&amp;IF(Z101&lt;&gt;"","Corticoide/DART: "&amp;Z101,"Sem corticoide/DART registrado.")&amp;CHAR(10)&amp;CHAR(10)&amp;"3. Conduta Farmacêutica"&amp;CHAR(10)&amp;IF(TEXTJOIN(CHAR(10),TRUE,AB101,AC101,AD101)="","Nenhuma intervenção registrada hoje.",TEXTJOIN(CHAR(10),TRUE,AB101,AC101,AD101))&amp;CHAR(10)&amp;CHAR(10)&amp;"4. Plano Terapêutico"&amp;CHAR(10)&amp;IF(AA101&lt;&gt;"",AA101,"Não definido.")</f>
      </c>
    </row>
    <row r="102" spans="1:32" x14ac:dyDescent="0.25">
      <c r="A102" s="4"/>
      <c r="B102" s="6">
        <f>IFERROR(INDEX(Pacientes!$A:$A,MATCH($A102,Pacientes!$B:$B,0)),"")</f>
      </c>
      <c r="C102" s="6">
        <f>IFERROR(INDEX(Pacientes!$C:$C,MATCH($A102,Pacientes!$B:$B,0)),"")</f>
      </c>
      <c r="D102" s="6">
        <f>IFERROR(INDEX(Pacientes!$D:$D,MATCH($A102,Pacientes!$B:$B,0)),"")</f>
      </c>
      <c r="E102" s="6">
        <f>IFERROR(INDEX(Pacientes!$E:$E,MATCH($A102,Pacientes!$B:$B,0)),"")</f>
      </c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>
        <f>IFERROR(INDEX(Intervenções!$K$2:$K$300,AGGREGATE(15,6,(ROW(Intervenções!$K$2:$K$300)-ROW(Intervenções!$K$2)+1)/((Intervenções!$B$2:$B$300=A102)*(Intervenções!$A$2:$A$300=F102)*(Intervenções!$K$2:$K$300&lt;&gt;"")),1)),"")</f>
      </c>
      <c r="AC102" s="4">
        <f>IFERROR(INDEX(Intervenções!$K$2:$K$300,AGGREGATE(15,6,(ROW(Intervenções!$K$2:$K$300)-ROW(Intervenções!$K$2)+1)/((Intervenções!$B$2:$B$300=A102)*(Intervenções!$A$2:$A$300=F102)*(Intervenções!$K$2:$K$300&lt;&gt;"")),2)),"")</f>
      </c>
      <c r="AD102" s="4">
        <f>IFERROR(INDEX(Intervenções!$K$2:$K$300,AGGREGATE(15,6,(ROW(Intervenções!$K$2:$K$300)-ROW(Intervenções!$K$2)+1)/((Intervenções!$B$2:$B$300=A102)*(Intervenções!$A$2:$A$300=F102)*(Intervenções!$K$2:$K$300&lt;&gt;"")),3)),"")</f>
      </c>
      <c r="AE102" s="4">
        <f>"RECONCILIAÇÃO MEDICAMENTOSA"&amp;CHAR(10)&amp;IF(G102&lt;&gt;"","Medicamentos de uso prévio: "&amp;G102&amp;".","Sem medicamentos de uso prévio relatados.")&amp;CHAR(10)&amp;IF(H102&lt;&gt;"","Histórico de alergia/RAM: "&amp;H102&amp;".","Nega alergias/RAM conhecidas.")</f>
      </c>
      <c r="AF102" s="4">
        <f>AE102&amp;CHAR(10)&amp;CHAR(10)&amp;"1. Evolução Clínica"&amp;CHAR(10)&amp;TEXTJOIN(" ",TRUE,"Paciente "&amp;I102&amp;", "&amp;IF(J102="","sem DVA","em uso de "&amp;J102)&amp;".",IF(K102&lt;&gt;"","Em "&amp;K102&amp;IF(L102&lt;&gt;""," ("&amp;L102&amp;")","")&amp;IF(M102&lt;&gt;"", ", "&amp;M102,"")&amp;IF(N102&lt;&gt;"", ", sob analgosedação com "&amp;N102,"")&amp;".",""),IF(O102&lt;&gt;"",O102&amp;IF(P102&lt;&gt;"", ", com "&amp;LOWER(P102),"")&amp;IF(Q102&lt;&gt;"", " — "&amp;Q102,"")&amp;".",""),IF(R102="Febre","Apresentou episódio febril nas últimas 24h"&amp;IF(S102&lt;&gt;""," ("&amp;S102&amp;")","")&amp;".",IF(R102="Afebril","Encontra-se afebril.","")),IF(T102&lt;&gt;"",IF(U102="Sim","Apresenta disfunção renal aguda ","Função renal preservada ")&amp;"("&amp;T102&amp;").",""),IF(V102&lt;&gt;"","Em uso do esquema antimicrobiano com "&amp;V102&amp;".",""),IF(TEXTJOIN(", ",TRUE,IF(W102&lt;&gt;"","TEV ("&amp;W102&amp;")",""),IF(X102&lt;&gt;"","LAMG ("&amp;X102&amp;")",""),IF(Y102&lt;&gt;"","úlcera de córnea com "&amp;Y102,""))&lt;&gt;"","Em uso de profilaxia: "&amp;TEXTJOIN(", ",TRUE,IF(W102&lt;&gt;"","TEV ("&amp;W102&amp;")",""),IF(X102&lt;&gt;"","LAMG ("&amp;X102&amp;")",""),IF(Y102&lt;&gt;"","úlcera de córnea com "&amp;Y102,""))&amp;".",""))&amp;CHAR(10)&amp;CHAR(10)&amp;"2. Farmacoterapia"&amp;CHAR(10)&amp;IF(Z102&lt;&gt;"","Corticoide/DART: "&amp;Z102,"Sem corticoide/DART registrado.")&amp;CHAR(10)&amp;CHAR(10)&amp;"3. Conduta Farmacêutica"&amp;CHAR(10)&amp;IF(TEXTJOIN(CHAR(10),TRUE,AB102,AC102,AD102)="","Nenhuma intervenção registrada hoje.",TEXTJOIN(CHAR(10),TRUE,AB102,AC102,AD102))&amp;CHAR(10)&amp;CHAR(10)&amp;"4. Plano Terapêutico"&amp;CHAR(10)&amp;IF(AA102&lt;&gt;"",AA102,"Não definido.")</f>
      </c>
    </row>
    <row r="103" spans="1:32" x14ac:dyDescent="0.25">
      <c r="A103" s="4"/>
      <c r="B103" s="6">
        <f>IFERROR(INDEX(Pacientes!$A:$A,MATCH($A103,Pacientes!$B:$B,0)),"")</f>
      </c>
      <c r="C103" s="6">
        <f>IFERROR(INDEX(Pacientes!$C:$C,MATCH($A103,Pacientes!$B:$B,0)),"")</f>
      </c>
      <c r="D103" s="6">
        <f>IFERROR(INDEX(Pacientes!$D:$D,MATCH($A103,Pacientes!$B:$B,0)),"")</f>
      </c>
      <c r="E103" s="6">
        <f>IFERROR(INDEX(Pacientes!$E:$E,MATCH($A103,Pacientes!$B:$B,0)),"")</f>
      </c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>
        <f>IFERROR(INDEX(Intervenções!$K$2:$K$300,AGGREGATE(15,6,(ROW(Intervenções!$K$2:$K$300)-ROW(Intervenções!$K$2)+1)/((Intervenções!$B$2:$B$300=A103)*(Intervenções!$A$2:$A$300=F103)*(Intervenções!$K$2:$K$300&lt;&gt;"")),1)),"")</f>
      </c>
      <c r="AC103" s="4">
        <f>IFERROR(INDEX(Intervenções!$K$2:$K$300,AGGREGATE(15,6,(ROW(Intervenções!$K$2:$K$300)-ROW(Intervenções!$K$2)+1)/((Intervenções!$B$2:$B$300=A103)*(Intervenções!$A$2:$A$300=F103)*(Intervenções!$K$2:$K$300&lt;&gt;"")),2)),"")</f>
      </c>
      <c r="AD103" s="4">
        <f>IFERROR(INDEX(Intervenções!$K$2:$K$300,AGGREGATE(15,6,(ROW(Intervenções!$K$2:$K$300)-ROW(Intervenções!$K$2)+1)/((Intervenções!$B$2:$B$300=A103)*(Intervenções!$A$2:$A$300=F103)*(Intervenções!$K$2:$K$300&lt;&gt;"")),3)),"")</f>
      </c>
      <c r="AE103" s="4">
        <f>"RECONCILIAÇÃO MEDICAMENTOSA"&amp;CHAR(10)&amp;IF(G103&lt;&gt;"","Medicamentos de uso prévio: "&amp;G103&amp;".","Sem medicamentos de uso prévio relatados.")&amp;CHAR(10)&amp;IF(H103&lt;&gt;"","Histórico de alergia/RAM: "&amp;H103&amp;".","Nega alergias/RAM conhecidas.")</f>
      </c>
      <c r="AF103" s="4">
        <f>AE103&amp;CHAR(10)&amp;CHAR(10)&amp;"1. Evolução Clínica"&amp;CHAR(10)&amp;TEXTJOIN(" ",TRUE,"Paciente "&amp;I103&amp;", "&amp;IF(J103="","sem DVA","em uso de "&amp;J103)&amp;".",IF(K103&lt;&gt;"","Em "&amp;K103&amp;IF(L103&lt;&gt;""," ("&amp;L103&amp;")","")&amp;IF(M103&lt;&gt;"", ", "&amp;M103,"")&amp;IF(N103&lt;&gt;"", ", sob analgosedação com "&amp;N103,"")&amp;".",""),IF(O103&lt;&gt;"",O103&amp;IF(P103&lt;&gt;"", ", com "&amp;LOWER(P103),"")&amp;IF(Q103&lt;&gt;"", " — "&amp;Q103,"")&amp;".",""),IF(R103="Febre","Apresentou episódio febril nas últimas 24h"&amp;IF(S103&lt;&gt;""," ("&amp;S103&amp;")","")&amp;".",IF(R103="Afebril","Encontra-se afebril.","")),IF(T103&lt;&gt;"",IF(U103="Sim","Apresenta disfunção renal aguda ","Função renal preservada ")&amp;"("&amp;T103&amp;").",""),IF(V103&lt;&gt;"","Em uso do esquema antimicrobiano com "&amp;V103&amp;".",""),IF(TEXTJOIN(", ",TRUE,IF(W103&lt;&gt;"","TEV ("&amp;W103&amp;")",""),IF(X103&lt;&gt;"","LAMG ("&amp;X103&amp;")",""),IF(Y103&lt;&gt;"","úlcera de córnea com "&amp;Y103,""))&lt;&gt;"","Em uso de profilaxia: "&amp;TEXTJOIN(", ",TRUE,IF(W103&lt;&gt;"","TEV ("&amp;W103&amp;")",""),IF(X103&lt;&gt;"","LAMG ("&amp;X103&amp;")",""),IF(Y103&lt;&gt;"","úlcera de córnea com "&amp;Y103,""))&amp;".",""))&amp;CHAR(10)&amp;CHAR(10)&amp;"2. Farmacoterapia"&amp;CHAR(10)&amp;IF(Z103&lt;&gt;"","Corticoide/DART: "&amp;Z103,"Sem corticoide/DART registrado.")&amp;CHAR(10)&amp;CHAR(10)&amp;"3. Conduta Farmacêutica"&amp;CHAR(10)&amp;IF(TEXTJOIN(CHAR(10),TRUE,AB103,AC103,AD103)="","Nenhuma intervenção registrada hoje.",TEXTJOIN(CHAR(10),TRUE,AB103,AC103,AD103))&amp;CHAR(10)&amp;CHAR(10)&amp;"4. Plano Terapêutico"&amp;CHAR(10)&amp;IF(AA103&lt;&gt;"",AA103,"Não definido.")</f>
      </c>
    </row>
    <row r="104" spans="1:32" x14ac:dyDescent="0.25">
      <c r="A104" s="4"/>
      <c r="B104" s="6">
        <f>IFERROR(INDEX(Pacientes!$A:$A,MATCH($A104,Pacientes!$B:$B,0)),"")</f>
      </c>
      <c r="C104" s="6">
        <f>IFERROR(INDEX(Pacientes!$C:$C,MATCH($A104,Pacientes!$B:$B,0)),"")</f>
      </c>
      <c r="D104" s="6">
        <f>IFERROR(INDEX(Pacientes!$D:$D,MATCH($A104,Pacientes!$B:$B,0)),"")</f>
      </c>
      <c r="E104" s="6">
        <f>IFERROR(INDEX(Pacientes!$E:$E,MATCH($A104,Pacientes!$B:$B,0)),"")</f>
      </c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>
        <f>IFERROR(INDEX(Intervenções!$K$2:$K$300,AGGREGATE(15,6,(ROW(Intervenções!$K$2:$K$300)-ROW(Intervenções!$K$2)+1)/((Intervenções!$B$2:$B$300=A104)*(Intervenções!$A$2:$A$300=F104)*(Intervenções!$K$2:$K$300&lt;&gt;"")),1)),"")</f>
      </c>
      <c r="AC104" s="4">
        <f>IFERROR(INDEX(Intervenções!$K$2:$K$300,AGGREGATE(15,6,(ROW(Intervenções!$K$2:$K$300)-ROW(Intervenções!$K$2)+1)/((Intervenções!$B$2:$B$300=A104)*(Intervenções!$A$2:$A$300=F104)*(Intervenções!$K$2:$K$300&lt;&gt;"")),2)),"")</f>
      </c>
      <c r="AD104" s="4">
        <f>IFERROR(INDEX(Intervenções!$K$2:$K$300,AGGREGATE(15,6,(ROW(Intervenções!$K$2:$K$300)-ROW(Intervenções!$K$2)+1)/((Intervenções!$B$2:$B$300=A104)*(Intervenções!$A$2:$A$300=F104)*(Intervenções!$K$2:$K$300&lt;&gt;"")),3)),"")</f>
      </c>
      <c r="AE104" s="4">
        <f>"RECONCILIAÇÃO MEDICAMENTOSA"&amp;CHAR(10)&amp;IF(G104&lt;&gt;"","Medicamentos de uso prévio: "&amp;G104&amp;".","Sem medicamentos de uso prévio relatados.")&amp;CHAR(10)&amp;IF(H104&lt;&gt;"","Histórico de alergia/RAM: "&amp;H104&amp;".","Nega alergias/RAM conhecidas.")</f>
      </c>
      <c r="AF104" s="4">
        <f>AE104&amp;CHAR(10)&amp;CHAR(10)&amp;"1. Evolução Clínica"&amp;CHAR(10)&amp;TEXTJOIN(" ",TRUE,"Paciente "&amp;I104&amp;", "&amp;IF(J104="","sem DVA","em uso de "&amp;J104)&amp;".",IF(K104&lt;&gt;"","Em "&amp;K104&amp;IF(L104&lt;&gt;""," ("&amp;L104&amp;")","")&amp;IF(M104&lt;&gt;"", ", "&amp;M104,"")&amp;IF(N104&lt;&gt;"", ", sob analgosedação com "&amp;N104,"")&amp;".",""),IF(O104&lt;&gt;"",O104&amp;IF(P104&lt;&gt;"", ", com "&amp;LOWER(P104),"")&amp;IF(Q104&lt;&gt;"", " — "&amp;Q104,"")&amp;".",""),IF(R104="Febre","Apresentou episódio febril nas últimas 24h"&amp;IF(S104&lt;&gt;""," ("&amp;S104&amp;")","")&amp;".",IF(R104="Afebril","Encontra-se afebril.","")),IF(T104&lt;&gt;"",IF(U104="Sim","Apresenta disfunção renal aguda ","Função renal preservada ")&amp;"("&amp;T104&amp;").",""),IF(V104&lt;&gt;"","Em uso do esquema antimicrobiano com "&amp;V104&amp;".",""),IF(TEXTJOIN(", ",TRUE,IF(W104&lt;&gt;"","TEV ("&amp;W104&amp;")",""),IF(X104&lt;&gt;"","LAMG ("&amp;X104&amp;")",""),IF(Y104&lt;&gt;"","úlcera de córnea com "&amp;Y104,""))&lt;&gt;"","Em uso de profilaxia: "&amp;TEXTJOIN(", ",TRUE,IF(W104&lt;&gt;"","TEV ("&amp;W104&amp;")",""),IF(X104&lt;&gt;"","LAMG ("&amp;X104&amp;")",""),IF(Y104&lt;&gt;"","úlcera de córnea com "&amp;Y104,""))&amp;".",""))&amp;CHAR(10)&amp;CHAR(10)&amp;"2. Farmacoterapia"&amp;CHAR(10)&amp;IF(Z104&lt;&gt;"","Corticoide/DART: "&amp;Z104,"Sem corticoide/DART registrado.")&amp;CHAR(10)&amp;CHAR(10)&amp;"3. Conduta Farmacêutica"&amp;CHAR(10)&amp;IF(TEXTJOIN(CHAR(10),TRUE,AB104,AC104,AD104)="","Nenhuma intervenção registrada hoje.",TEXTJOIN(CHAR(10),TRUE,AB104,AC104,AD104))&amp;CHAR(10)&amp;CHAR(10)&amp;"4. Plano Terapêutico"&amp;CHAR(10)&amp;IF(AA104&lt;&gt;"",AA104,"Não definido.")</f>
      </c>
    </row>
    <row r="105" spans="1:32" x14ac:dyDescent="0.25">
      <c r="A105" s="4"/>
      <c r="B105" s="6">
        <f>IFERROR(INDEX(Pacientes!$A:$A,MATCH($A105,Pacientes!$B:$B,0)),"")</f>
      </c>
      <c r="C105" s="6">
        <f>IFERROR(INDEX(Pacientes!$C:$C,MATCH($A105,Pacientes!$B:$B,0)),"")</f>
      </c>
      <c r="D105" s="6">
        <f>IFERROR(INDEX(Pacientes!$D:$D,MATCH($A105,Pacientes!$B:$B,0)),"")</f>
      </c>
      <c r="E105" s="6">
        <f>IFERROR(INDEX(Pacientes!$E:$E,MATCH($A105,Pacientes!$B:$B,0)),"")</f>
      </c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>
        <f>IFERROR(INDEX(Intervenções!$K$2:$K$300,AGGREGATE(15,6,(ROW(Intervenções!$K$2:$K$300)-ROW(Intervenções!$K$2)+1)/((Intervenções!$B$2:$B$300=A105)*(Intervenções!$A$2:$A$300=F105)*(Intervenções!$K$2:$K$300&lt;&gt;"")),1)),"")</f>
      </c>
      <c r="AC105" s="4">
        <f>IFERROR(INDEX(Intervenções!$K$2:$K$300,AGGREGATE(15,6,(ROW(Intervenções!$K$2:$K$300)-ROW(Intervenções!$K$2)+1)/((Intervenções!$B$2:$B$300=A105)*(Intervenções!$A$2:$A$300=F105)*(Intervenções!$K$2:$K$300&lt;&gt;"")),2)),"")</f>
      </c>
      <c r="AD105" s="4">
        <f>IFERROR(INDEX(Intervenções!$K$2:$K$300,AGGREGATE(15,6,(ROW(Intervenções!$K$2:$K$300)-ROW(Intervenções!$K$2)+1)/((Intervenções!$B$2:$B$300=A105)*(Intervenções!$A$2:$A$300=F105)*(Intervenções!$K$2:$K$300&lt;&gt;"")),3)),"")</f>
      </c>
      <c r="AE105" s="4">
        <f>"RECONCILIAÇÃO MEDICAMENTOSA"&amp;CHAR(10)&amp;IF(G105&lt;&gt;"","Medicamentos de uso prévio: "&amp;G105&amp;".","Sem medicamentos de uso prévio relatados.")&amp;CHAR(10)&amp;IF(H105&lt;&gt;"","Histórico de alergia/RAM: "&amp;H105&amp;".","Nega alergias/RAM conhecidas.")</f>
      </c>
      <c r="AF105" s="4">
        <f>AE105&amp;CHAR(10)&amp;CHAR(10)&amp;"1. Evolução Clínica"&amp;CHAR(10)&amp;TEXTJOIN(" ",TRUE,"Paciente "&amp;I105&amp;", "&amp;IF(J105="","sem DVA","em uso de "&amp;J105)&amp;".",IF(K105&lt;&gt;"","Em "&amp;K105&amp;IF(L105&lt;&gt;""," ("&amp;L105&amp;")","")&amp;IF(M105&lt;&gt;"", ", "&amp;M105,"")&amp;IF(N105&lt;&gt;"", ", sob analgosedação com "&amp;N105,"")&amp;".",""),IF(O105&lt;&gt;"",O105&amp;IF(P105&lt;&gt;"", ", com "&amp;LOWER(P105),"")&amp;IF(Q105&lt;&gt;"", " — "&amp;Q105,"")&amp;".",""),IF(R105="Febre","Apresentou episódio febril nas últimas 24h"&amp;IF(S105&lt;&gt;""," ("&amp;S105&amp;")","")&amp;".",IF(R105="Afebril","Encontra-se afebril.","")),IF(T105&lt;&gt;"",IF(U105="Sim","Apresenta disfunção renal aguda ","Função renal preservada ")&amp;"("&amp;T105&amp;").",""),IF(V105&lt;&gt;"","Em uso do esquema antimicrobiano com "&amp;V105&amp;".",""),IF(TEXTJOIN(", ",TRUE,IF(W105&lt;&gt;"","TEV ("&amp;W105&amp;")",""),IF(X105&lt;&gt;"","LAMG ("&amp;X105&amp;")",""),IF(Y105&lt;&gt;"","úlcera de córnea com "&amp;Y105,""))&lt;&gt;"","Em uso de profilaxia: "&amp;TEXTJOIN(", ",TRUE,IF(W105&lt;&gt;"","TEV ("&amp;W105&amp;")",""),IF(X105&lt;&gt;"","LAMG ("&amp;X105&amp;")",""),IF(Y105&lt;&gt;"","úlcera de córnea com "&amp;Y105,""))&amp;".",""))&amp;CHAR(10)&amp;CHAR(10)&amp;"2. Farmacoterapia"&amp;CHAR(10)&amp;IF(Z105&lt;&gt;"","Corticoide/DART: "&amp;Z105,"Sem corticoide/DART registrado.")&amp;CHAR(10)&amp;CHAR(10)&amp;"3. Conduta Farmacêutica"&amp;CHAR(10)&amp;IF(TEXTJOIN(CHAR(10),TRUE,AB105,AC105,AD105)="","Nenhuma intervenção registrada hoje.",TEXTJOIN(CHAR(10),TRUE,AB105,AC105,AD105))&amp;CHAR(10)&amp;CHAR(10)&amp;"4. Plano Terapêutico"&amp;CHAR(10)&amp;IF(AA105&lt;&gt;"",AA105,"Não definido.")</f>
      </c>
    </row>
    <row r="106" spans="1:32" x14ac:dyDescent="0.25">
      <c r="A106" s="4"/>
      <c r="B106" s="6">
        <f>IFERROR(INDEX(Pacientes!$A:$A,MATCH($A106,Pacientes!$B:$B,0)),"")</f>
      </c>
      <c r="C106" s="6">
        <f>IFERROR(INDEX(Pacientes!$C:$C,MATCH($A106,Pacientes!$B:$B,0)),"")</f>
      </c>
      <c r="D106" s="6">
        <f>IFERROR(INDEX(Pacientes!$D:$D,MATCH($A106,Pacientes!$B:$B,0)),"")</f>
      </c>
      <c r="E106" s="6">
        <f>IFERROR(INDEX(Pacientes!$E:$E,MATCH($A106,Pacientes!$B:$B,0)),"")</f>
      </c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>
        <f>IFERROR(INDEX(Intervenções!$K$2:$K$300,AGGREGATE(15,6,(ROW(Intervenções!$K$2:$K$300)-ROW(Intervenções!$K$2)+1)/((Intervenções!$B$2:$B$300=A106)*(Intervenções!$A$2:$A$300=F106)*(Intervenções!$K$2:$K$300&lt;&gt;"")),1)),"")</f>
      </c>
      <c r="AC106" s="4">
        <f>IFERROR(INDEX(Intervenções!$K$2:$K$300,AGGREGATE(15,6,(ROW(Intervenções!$K$2:$K$300)-ROW(Intervenções!$K$2)+1)/((Intervenções!$B$2:$B$300=A106)*(Intervenções!$A$2:$A$300=F106)*(Intervenções!$K$2:$K$300&lt;&gt;"")),2)),"")</f>
      </c>
      <c r="AD106" s="4">
        <f>IFERROR(INDEX(Intervenções!$K$2:$K$300,AGGREGATE(15,6,(ROW(Intervenções!$K$2:$K$300)-ROW(Intervenções!$K$2)+1)/((Intervenções!$B$2:$B$300=A106)*(Intervenções!$A$2:$A$300=F106)*(Intervenções!$K$2:$K$300&lt;&gt;"")),3)),"")</f>
      </c>
      <c r="AE106" s="4">
        <f>"RECONCILIAÇÃO MEDICAMENTOSA"&amp;CHAR(10)&amp;IF(G106&lt;&gt;"","Medicamentos de uso prévio: "&amp;G106&amp;".","Sem medicamentos de uso prévio relatados.")&amp;CHAR(10)&amp;IF(H106&lt;&gt;"","Histórico de alergia/RAM: "&amp;H106&amp;".","Nega alergias/RAM conhecidas.")</f>
      </c>
      <c r="AF106" s="4">
        <f>AE106&amp;CHAR(10)&amp;CHAR(10)&amp;"1. Evolução Clínica"&amp;CHAR(10)&amp;TEXTJOIN(" ",TRUE,"Paciente "&amp;I106&amp;", "&amp;IF(J106="","sem DVA","em uso de "&amp;J106)&amp;".",IF(K106&lt;&gt;"","Em "&amp;K106&amp;IF(L106&lt;&gt;""," ("&amp;L106&amp;")","")&amp;IF(M106&lt;&gt;"", ", "&amp;M106,"")&amp;IF(N106&lt;&gt;"", ", sob analgosedação com "&amp;N106,"")&amp;".",""),IF(O106&lt;&gt;"",O106&amp;IF(P106&lt;&gt;"", ", com "&amp;LOWER(P106),"")&amp;IF(Q106&lt;&gt;"", " — "&amp;Q106,"")&amp;".",""),IF(R106="Febre","Apresentou episódio febril nas últimas 24h"&amp;IF(S106&lt;&gt;""," ("&amp;S106&amp;")","")&amp;".",IF(R106="Afebril","Encontra-se afebril.","")),IF(T106&lt;&gt;"",IF(U106="Sim","Apresenta disfunção renal aguda ","Função renal preservada ")&amp;"("&amp;T106&amp;").",""),IF(V106&lt;&gt;"","Em uso do esquema antimicrobiano com "&amp;V106&amp;".",""),IF(TEXTJOIN(", ",TRUE,IF(W106&lt;&gt;"","TEV ("&amp;W106&amp;")",""),IF(X106&lt;&gt;"","LAMG ("&amp;X106&amp;")",""),IF(Y106&lt;&gt;"","úlcera de córnea com "&amp;Y106,""))&lt;&gt;"","Em uso de profilaxia: "&amp;TEXTJOIN(", ",TRUE,IF(W106&lt;&gt;"","TEV ("&amp;W106&amp;")",""),IF(X106&lt;&gt;"","LAMG ("&amp;X106&amp;")",""),IF(Y106&lt;&gt;"","úlcera de córnea com "&amp;Y106,""))&amp;".",""))&amp;CHAR(10)&amp;CHAR(10)&amp;"2. Farmacoterapia"&amp;CHAR(10)&amp;IF(Z106&lt;&gt;"","Corticoide/DART: "&amp;Z106,"Sem corticoide/DART registrado.")&amp;CHAR(10)&amp;CHAR(10)&amp;"3. Conduta Farmacêutica"&amp;CHAR(10)&amp;IF(TEXTJOIN(CHAR(10),TRUE,AB106,AC106,AD106)="","Nenhuma intervenção registrada hoje.",TEXTJOIN(CHAR(10),TRUE,AB106,AC106,AD106))&amp;CHAR(10)&amp;CHAR(10)&amp;"4. Plano Terapêutico"&amp;CHAR(10)&amp;IF(AA106&lt;&gt;"",AA106,"Não definido.")</f>
      </c>
    </row>
    <row r="107" spans="1:32" x14ac:dyDescent="0.25">
      <c r="A107" s="4"/>
      <c r="B107" s="6">
        <f>IFERROR(INDEX(Pacientes!$A:$A,MATCH($A107,Pacientes!$B:$B,0)),"")</f>
      </c>
      <c r="C107" s="6">
        <f>IFERROR(INDEX(Pacientes!$C:$C,MATCH($A107,Pacientes!$B:$B,0)),"")</f>
      </c>
      <c r="D107" s="6">
        <f>IFERROR(INDEX(Pacientes!$D:$D,MATCH($A107,Pacientes!$B:$B,0)),"")</f>
      </c>
      <c r="E107" s="6">
        <f>IFERROR(INDEX(Pacientes!$E:$E,MATCH($A107,Pacientes!$B:$B,0)),"")</f>
      </c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>
        <f>IFERROR(INDEX(Intervenções!$K$2:$K$300,AGGREGATE(15,6,(ROW(Intervenções!$K$2:$K$300)-ROW(Intervenções!$K$2)+1)/((Intervenções!$B$2:$B$300=A107)*(Intervenções!$A$2:$A$300=F107)*(Intervenções!$K$2:$K$300&lt;&gt;"")),1)),"")</f>
      </c>
      <c r="AC107" s="4">
        <f>IFERROR(INDEX(Intervenções!$K$2:$K$300,AGGREGATE(15,6,(ROW(Intervenções!$K$2:$K$300)-ROW(Intervenções!$K$2)+1)/((Intervenções!$B$2:$B$300=A107)*(Intervenções!$A$2:$A$300=F107)*(Intervenções!$K$2:$K$300&lt;&gt;"")),2)),"")</f>
      </c>
      <c r="AD107" s="4">
        <f>IFERROR(INDEX(Intervenções!$K$2:$K$300,AGGREGATE(15,6,(ROW(Intervenções!$K$2:$K$300)-ROW(Intervenções!$K$2)+1)/((Intervenções!$B$2:$B$300=A107)*(Intervenções!$A$2:$A$300=F107)*(Intervenções!$K$2:$K$300&lt;&gt;"")),3)),"")</f>
      </c>
      <c r="AE107" s="4">
        <f>"RECONCILIAÇÃO MEDICAMENTOSA"&amp;CHAR(10)&amp;IF(G107&lt;&gt;"","Medicamentos de uso prévio: "&amp;G107&amp;".","Sem medicamentos de uso prévio relatados.")&amp;CHAR(10)&amp;IF(H107&lt;&gt;"","Histórico de alergia/RAM: "&amp;H107&amp;".","Nega alergias/RAM conhecidas.")</f>
      </c>
      <c r="AF107" s="4">
        <f>AE107&amp;CHAR(10)&amp;CHAR(10)&amp;"1. Evolução Clínica"&amp;CHAR(10)&amp;TEXTJOIN(" ",TRUE,"Paciente "&amp;I107&amp;", "&amp;IF(J107="","sem DVA","em uso de "&amp;J107)&amp;".",IF(K107&lt;&gt;"","Em "&amp;K107&amp;IF(L107&lt;&gt;""," ("&amp;L107&amp;")","")&amp;IF(M107&lt;&gt;"", ", "&amp;M107,"")&amp;IF(N107&lt;&gt;"", ", sob analgosedação com "&amp;N107,"")&amp;".",""),IF(O107&lt;&gt;"",O107&amp;IF(P107&lt;&gt;"", ", com "&amp;LOWER(P107),"")&amp;IF(Q107&lt;&gt;"", " — "&amp;Q107,"")&amp;".",""),IF(R107="Febre","Apresentou episódio febril nas últimas 24h"&amp;IF(S107&lt;&gt;""," ("&amp;S107&amp;")","")&amp;".",IF(R107="Afebril","Encontra-se afebril.","")),IF(T107&lt;&gt;"",IF(U107="Sim","Apresenta disfunção renal aguda ","Função renal preservada ")&amp;"("&amp;T107&amp;").",""),IF(V107&lt;&gt;"","Em uso do esquema antimicrobiano com "&amp;V107&amp;".",""),IF(TEXTJOIN(", ",TRUE,IF(W107&lt;&gt;"","TEV ("&amp;W107&amp;")",""),IF(X107&lt;&gt;"","LAMG ("&amp;X107&amp;")",""),IF(Y107&lt;&gt;"","úlcera de córnea com "&amp;Y107,""))&lt;&gt;"","Em uso de profilaxia: "&amp;TEXTJOIN(", ",TRUE,IF(W107&lt;&gt;"","TEV ("&amp;W107&amp;")",""),IF(X107&lt;&gt;"","LAMG ("&amp;X107&amp;")",""),IF(Y107&lt;&gt;"","úlcera de córnea com "&amp;Y107,""))&amp;".",""))&amp;CHAR(10)&amp;CHAR(10)&amp;"2. Farmacoterapia"&amp;CHAR(10)&amp;IF(Z107&lt;&gt;"","Corticoide/DART: "&amp;Z107,"Sem corticoide/DART registrado.")&amp;CHAR(10)&amp;CHAR(10)&amp;"3. Conduta Farmacêutica"&amp;CHAR(10)&amp;IF(TEXTJOIN(CHAR(10),TRUE,AB107,AC107,AD107)="","Nenhuma intervenção registrada hoje.",TEXTJOIN(CHAR(10),TRUE,AB107,AC107,AD107))&amp;CHAR(10)&amp;CHAR(10)&amp;"4. Plano Terapêutico"&amp;CHAR(10)&amp;IF(AA107&lt;&gt;"",AA107,"Não definido.")</f>
      </c>
    </row>
    <row r="108" spans="1:32" x14ac:dyDescent="0.25">
      <c r="A108" s="4"/>
      <c r="B108" s="6">
        <f>IFERROR(INDEX(Pacientes!$A:$A,MATCH($A108,Pacientes!$B:$B,0)),"")</f>
      </c>
      <c r="C108" s="6">
        <f>IFERROR(INDEX(Pacientes!$C:$C,MATCH($A108,Pacientes!$B:$B,0)),"")</f>
      </c>
      <c r="D108" s="6">
        <f>IFERROR(INDEX(Pacientes!$D:$D,MATCH($A108,Pacientes!$B:$B,0)),"")</f>
      </c>
      <c r="E108" s="6">
        <f>IFERROR(INDEX(Pacientes!$E:$E,MATCH($A108,Pacientes!$B:$B,0)),"")</f>
      </c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>
        <f>IFERROR(INDEX(Intervenções!$K$2:$K$300,AGGREGATE(15,6,(ROW(Intervenções!$K$2:$K$300)-ROW(Intervenções!$K$2)+1)/((Intervenções!$B$2:$B$300=A108)*(Intervenções!$A$2:$A$300=F108)*(Intervenções!$K$2:$K$300&lt;&gt;"")),1)),"")</f>
      </c>
      <c r="AC108" s="4">
        <f>IFERROR(INDEX(Intervenções!$K$2:$K$300,AGGREGATE(15,6,(ROW(Intervenções!$K$2:$K$300)-ROW(Intervenções!$K$2)+1)/((Intervenções!$B$2:$B$300=A108)*(Intervenções!$A$2:$A$300=F108)*(Intervenções!$K$2:$K$300&lt;&gt;"")),2)),"")</f>
      </c>
      <c r="AD108" s="4">
        <f>IFERROR(INDEX(Intervenções!$K$2:$K$300,AGGREGATE(15,6,(ROW(Intervenções!$K$2:$K$300)-ROW(Intervenções!$K$2)+1)/((Intervenções!$B$2:$B$300=A108)*(Intervenções!$A$2:$A$300=F108)*(Intervenções!$K$2:$K$300&lt;&gt;"")),3)),"")</f>
      </c>
      <c r="AE108" s="4">
        <f>"RECONCILIAÇÃO MEDICAMENTOSA"&amp;CHAR(10)&amp;IF(G108&lt;&gt;"","Medicamentos de uso prévio: "&amp;G108&amp;".","Sem medicamentos de uso prévio relatados.")&amp;CHAR(10)&amp;IF(H108&lt;&gt;"","Histórico de alergia/RAM: "&amp;H108&amp;".","Nega alergias/RAM conhecidas.")</f>
      </c>
      <c r="AF108" s="4">
        <f>AE108&amp;CHAR(10)&amp;CHAR(10)&amp;"1. Evolução Clínica"&amp;CHAR(10)&amp;TEXTJOIN(" ",TRUE,"Paciente "&amp;I108&amp;", "&amp;IF(J108="","sem DVA","em uso de "&amp;J108)&amp;".",IF(K108&lt;&gt;"","Em "&amp;K108&amp;IF(L108&lt;&gt;""," ("&amp;L108&amp;")","")&amp;IF(M108&lt;&gt;"", ", "&amp;M108,"")&amp;IF(N108&lt;&gt;"", ", sob analgosedação com "&amp;N108,"")&amp;".",""),IF(O108&lt;&gt;"",O108&amp;IF(P108&lt;&gt;"", ", com "&amp;LOWER(P108),"")&amp;IF(Q108&lt;&gt;"", " — "&amp;Q108,"")&amp;".",""),IF(R108="Febre","Apresentou episódio febril nas últimas 24h"&amp;IF(S108&lt;&gt;""," ("&amp;S108&amp;")","")&amp;".",IF(R108="Afebril","Encontra-se afebril.","")),IF(T108&lt;&gt;"",IF(U108="Sim","Apresenta disfunção renal aguda ","Função renal preservada ")&amp;"("&amp;T108&amp;").",""),IF(V108&lt;&gt;"","Em uso do esquema antimicrobiano com "&amp;V108&amp;".",""),IF(TEXTJOIN(", ",TRUE,IF(W108&lt;&gt;"","TEV ("&amp;W108&amp;")",""),IF(X108&lt;&gt;"","LAMG ("&amp;X108&amp;")",""),IF(Y108&lt;&gt;"","úlcera de córnea com "&amp;Y108,""))&lt;&gt;"","Em uso de profilaxia: "&amp;TEXTJOIN(", ",TRUE,IF(W108&lt;&gt;"","TEV ("&amp;W108&amp;")",""),IF(X108&lt;&gt;"","LAMG ("&amp;X108&amp;")",""),IF(Y108&lt;&gt;"","úlcera de córnea com "&amp;Y108,""))&amp;".",""))&amp;CHAR(10)&amp;CHAR(10)&amp;"2. Farmacoterapia"&amp;CHAR(10)&amp;IF(Z108&lt;&gt;"","Corticoide/DART: "&amp;Z108,"Sem corticoide/DART registrado.")&amp;CHAR(10)&amp;CHAR(10)&amp;"3. Conduta Farmacêutica"&amp;CHAR(10)&amp;IF(TEXTJOIN(CHAR(10),TRUE,AB108,AC108,AD108)="","Nenhuma intervenção registrada hoje.",TEXTJOIN(CHAR(10),TRUE,AB108,AC108,AD108))&amp;CHAR(10)&amp;CHAR(10)&amp;"4. Plano Terapêutico"&amp;CHAR(10)&amp;IF(AA108&lt;&gt;"",AA108,"Não definido.")</f>
      </c>
    </row>
    <row r="109" spans="1:32" x14ac:dyDescent="0.25">
      <c r="A109" s="4"/>
      <c r="B109" s="6">
        <f>IFERROR(INDEX(Pacientes!$A:$A,MATCH($A109,Pacientes!$B:$B,0)),"")</f>
      </c>
      <c r="C109" s="6">
        <f>IFERROR(INDEX(Pacientes!$C:$C,MATCH($A109,Pacientes!$B:$B,0)),"")</f>
      </c>
      <c r="D109" s="6">
        <f>IFERROR(INDEX(Pacientes!$D:$D,MATCH($A109,Pacientes!$B:$B,0)),"")</f>
      </c>
      <c r="E109" s="6">
        <f>IFERROR(INDEX(Pacientes!$E:$E,MATCH($A109,Pacientes!$B:$B,0)),"")</f>
      </c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>
        <f>IFERROR(INDEX(Intervenções!$K$2:$K$300,AGGREGATE(15,6,(ROW(Intervenções!$K$2:$K$300)-ROW(Intervenções!$K$2)+1)/((Intervenções!$B$2:$B$300=A109)*(Intervenções!$A$2:$A$300=F109)*(Intervenções!$K$2:$K$300&lt;&gt;"")),1)),"")</f>
      </c>
      <c r="AC109" s="4">
        <f>IFERROR(INDEX(Intervenções!$K$2:$K$300,AGGREGATE(15,6,(ROW(Intervenções!$K$2:$K$300)-ROW(Intervenções!$K$2)+1)/((Intervenções!$B$2:$B$300=A109)*(Intervenções!$A$2:$A$300=F109)*(Intervenções!$K$2:$K$300&lt;&gt;"")),2)),"")</f>
      </c>
      <c r="AD109" s="4">
        <f>IFERROR(INDEX(Intervenções!$K$2:$K$300,AGGREGATE(15,6,(ROW(Intervenções!$K$2:$K$300)-ROW(Intervenções!$K$2)+1)/((Intervenções!$B$2:$B$300=A109)*(Intervenções!$A$2:$A$300=F109)*(Intervenções!$K$2:$K$300&lt;&gt;"")),3)),"")</f>
      </c>
      <c r="AE109" s="4">
        <f>"RECONCILIAÇÃO MEDICAMENTOSA"&amp;CHAR(10)&amp;IF(G109&lt;&gt;"","Medicamentos de uso prévio: "&amp;G109&amp;".","Sem medicamentos de uso prévio relatados.")&amp;CHAR(10)&amp;IF(H109&lt;&gt;"","Histórico de alergia/RAM: "&amp;H109&amp;".","Nega alergias/RAM conhecidas.")</f>
      </c>
      <c r="AF109" s="4">
        <f>AE109&amp;CHAR(10)&amp;CHAR(10)&amp;"1. Evolução Clínica"&amp;CHAR(10)&amp;TEXTJOIN(" ",TRUE,"Paciente "&amp;I109&amp;", "&amp;IF(J109="","sem DVA","em uso de "&amp;J109)&amp;".",IF(K109&lt;&gt;"","Em "&amp;K109&amp;IF(L109&lt;&gt;""," ("&amp;L109&amp;")","")&amp;IF(M109&lt;&gt;"", ", "&amp;M109,"")&amp;IF(N109&lt;&gt;"", ", sob analgosedação com "&amp;N109,"")&amp;".",""),IF(O109&lt;&gt;"",O109&amp;IF(P109&lt;&gt;"", ", com "&amp;LOWER(P109),"")&amp;IF(Q109&lt;&gt;"", " — "&amp;Q109,"")&amp;".",""),IF(R109="Febre","Apresentou episódio febril nas últimas 24h"&amp;IF(S109&lt;&gt;""," ("&amp;S109&amp;")","")&amp;".",IF(R109="Afebril","Encontra-se afebril.","")),IF(T109&lt;&gt;"",IF(U109="Sim","Apresenta disfunção renal aguda ","Função renal preservada ")&amp;"("&amp;T109&amp;").",""),IF(V109&lt;&gt;"","Em uso do esquema antimicrobiano com "&amp;V109&amp;".",""),IF(TEXTJOIN(", ",TRUE,IF(W109&lt;&gt;"","TEV ("&amp;W109&amp;")",""),IF(X109&lt;&gt;"","LAMG ("&amp;X109&amp;")",""),IF(Y109&lt;&gt;"","úlcera de córnea com "&amp;Y109,""))&lt;&gt;"","Em uso de profilaxia: "&amp;TEXTJOIN(", ",TRUE,IF(W109&lt;&gt;"","TEV ("&amp;W109&amp;")",""),IF(X109&lt;&gt;"","LAMG ("&amp;X109&amp;")",""),IF(Y109&lt;&gt;"","úlcera de córnea com "&amp;Y109,""))&amp;".",""))&amp;CHAR(10)&amp;CHAR(10)&amp;"2. Farmacoterapia"&amp;CHAR(10)&amp;IF(Z109&lt;&gt;"","Corticoide/DART: "&amp;Z109,"Sem corticoide/DART registrado.")&amp;CHAR(10)&amp;CHAR(10)&amp;"3. Conduta Farmacêutica"&amp;CHAR(10)&amp;IF(TEXTJOIN(CHAR(10),TRUE,AB109,AC109,AD109)="","Nenhuma intervenção registrada hoje.",TEXTJOIN(CHAR(10),TRUE,AB109,AC109,AD109))&amp;CHAR(10)&amp;CHAR(10)&amp;"4. Plano Terapêutico"&amp;CHAR(10)&amp;IF(AA109&lt;&gt;"",AA109,"Não definido.")</f>
      </c>
    </row>
    <row r="110" spans="1:32" x14ac:dyDescent="0.25">
      <c r="A110" s="4"/>
      <c r="B110" s="6">
        <f>IFERROR(INDEX(Pacientes!$A:$A,MATCH($A110,Pacientes!$B:$B,0)),"")</f>
      </c>
      <c r="C110" s="6">
        <f>IFERROR(INDEX(Pacientes!$C:$C,MATCH($A110,Pacientes!$B:$B,0)),"")</f>
      </c>
      <c r="D110" s="6">
        <f>IFERROR(INDEX(Pacientes!$D:$D,MATCH($A110,Pacientes!$B:$B,0)),"")</f>
      </c>
      <c r="E110" s="6">
        <f>IFERROR(INDEX(Pacientes!$E:$E,MATCH($A110,Pacientes!$B:$B,0)),"")</f>
      </c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>
        <f>IFERROR(INDEX(Intervenções!$K$2:$K$300,AGGREGATE(15,6,(ROW(Intervenções!$K$2:$K$300)-ROW(Intervenções!$K$2)+1)/((Intervenções!$B$2:$B$300=A110)*(Intervenções!$A$2:$A$300=F110)*(Intervenções!$K$2:$K$300&lt;&gt;"")),1)),"")</f>
      </c>
      <c r="AC110" s="4">
        <f>IFERROR(INDEX(Intervenções!$K$2:$K$300,AGGREGATE(15,6,(ROW(Intervenções!$K$2:$K$300)-ROW(Intervenções!$K$2)+1)/((Intervenções!$B$2:$B$300=A110)*(Intervenções!$A$2:$A$300=F110)*(Intervenções!$K$2:$K$300&lt;&gt;"")),2)),"")</f>
      </c>
      <c r="AD110" s="4">
        <f>IFERROR(INDEX(Intervenções!$K$2:$K$300,AGGREGATE(15,6,(ROW(Intervenções!$K$2:$K$300)-ROW(Intervenções!$K$2)+1)/((Intervenções!$B$2:$B$300=A110)*(Intervenções!$A$2:$A$300=F110)*(Intervenções!$K$2:$K$300&lt;&gt;"")),3)),"")</f>
      </c>
      <c r="AE110" s="4">
        <f>"RECONCILIAÇÃO MEDICAMENTOSA"&amp;CHAR(10)&amp;IF(G110&lt;&gt;"","Medicamentos de uso prévio: "&amp;G110&amp;".","Sem medicamentos de uso prévio relatados.")&amp;CHAR(10)&amp;IF(H110&lt;&gt;"","Histórico de alergia/RAM: "&amp;H110&amp;".","Nega alergias/RAM conhecidas.")</f>
      </c>
      <c r="AF110" s="4">
        <f>AE110&amp;CHAR(10)&amp;CHAR(10)&amp;"1. Evolução Clínica"&amp;CHAR(10)&amp;TEXTJOIN(" ",TRUE,"Paciente "&amp;I110&amp;", "&amp;IF(J110="","sem DVA","em uso de "&amp;J110)&amp;".",IF(K110&lt;&gt;"","Em "&amp;K110&amp;IF(L110&lt;&gt;""," ("&amp;L110&amp;")","")&amp;IF(M110&lt;&gt;"", ", "&amp;M110,"")&amp;IF(N110&lt;&gt;"", ", sob analgosedação com "&amp;N110,"")&amp;".",""),IF(O110&lt;&gt;"",O110&amp;IF(P110&lt;&gt;"", ", com "&amp;LOWER(P110),"")&amp;IF(Q110&lt;&gt;"", " — "&amp;Q110,"")&amp;".",""),IF(R110="Febre","Apresentou episódio febril nas últimas 24h"&amp;IF(S110&lt;&gt;""," ("&amp;S110&amp;")","")&amp;".",IF(R110="Afebril","Encontra-se afebril.","")),IF(T110&lt;&gt;"",IF(U110="Sim","Apresenta disfunção renal aguda ","Função renal preservada ")&amp;"("&amp;T110&amp;").",""),IF(V110&lt;&gt;"","Em uso do esquema antimicrobiano com "&amp;V110&amp;".",""),IF(TEXTJOIN(", ",TRUE,IF(W110&lt;&gt;"","TEV ("&amp;W110&amp;")",""),IF(X110&lt;&gt;"","LAMG ("&amp;X110&amp;")",""),IF(Y110&lt;&gt;"","úlcera de córnea com "&amp;Y110,""))&lt;&gt;"","Em uso de profilaxia: "&amp;TEXTJOIN(", ",TRUE,IF(W110&lt;&gt;"","TEV ("&amp;W110&amp;")",""),IF(X110&lt;&gt;"","LAMG ("&amp;X110&amp;")",""),IF(Y110&lt;&gt;"","úlcera de córnea com "&amp;Y110,""))&amp;".",""))&amp;CHAR(10)&amp;CHAR(10)&amp;"2. Farmacoterapia"&amp;CHAR(10)&amp;IF(Z110&lt;&gt;"","Corticoide/DART: "&amp;Z110,"Sem corticoide/DART registrado.")&amp;CHAR(10)&amp;CHAR(10)&amp;"3. Conduta Farmacêutica"&amp;CHAR(10)&amp;IF(TEXTJOIN(CHAR(10),TRUE,AB110,AC110,AD110)="","Nenhuma intervenção registrada hoje.",TEXTJOIN(CHAR(10),TRUE,AB110,AC110,AD110))&amp;CHAR(10)&amp;CHAR(10)&amp;"4. Plano Terapêutico"&amp;CHAR(10)&amp;IF(AA110&lt;&gt;"",AA110,"Não definido.")</f>
      </c>
    </row>
    <row r="111" spans="1:32" x14ac:dyDescent="0.25">
      <c r="A111" s="4"/>
      <c r="B111" s="6">
        <f>IFERROR(INDEX(Pacientes!$A:$A,MATCH($A111,Pacientes!$B:$B,0)),"")</f>
      </c>
      <c r="C111" s="6">
        <f>IFERROR(INDEX(Pacientes!$C:$C,MATCH($A111,Pacientes!$B:$B,0)),"")</f>
      </c>
      <c r="D111" s="6">
        <f>IFERROR(INDEX(Pacientes!$D:$D,MATCH($A111,Pacientes!$B:$B,0)),"")</f>
      </c>
      <c r="E111" s="6">
        <f>IFERROR(INDEX(Pacientes!$E:$E,MATCH($A111,Pacientes!$B:$B,0)),"")</f>
      </c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>
        <f>IFERROR(INDEX(Intervenções!$K$2:$K$300,AGGREGATE(15,6,(ROW(Intervenções!$K$2:$K$300)-ROW(Intervenções!$K$2)+1)/((Intervenções!$B$2:$B$300=A111)*(Intervenções!$A$2:$A$300=F111)*(Intervenções!$K$2:$K$300&lt;&gt;"")),1)),"")</f>
      </c>
      <c r="AC111" s="4">
        <f>IFERROR(INDEX(Intervenções!$K$2:$K$300,AGGREGATE(15,6,(ROW(Intervenções!$K$2:$K$300)-ROW(Intervenções!$K$2)+1)/((Intervenções!$B$2:$B$300=A111)*(Intervenções!$A$2:$A$300=F111)*(Intervenções!$K$2:$K$300&lt;&gt;"")),2)),"")</f>
      </c>
      <c r="AD111" s="4">
        <f>IFERROR(INDEX(Intervenções!$K$2:$K$300,AGGREGATE(15,6,(ROW(Intervenções!$K$2:$K$300)-ROW(Intervenções!$K$2)+1)/((Intervenções!$B$2:$B$300=A111)*(Intervenções!$A$2:$A$300=F111)*(Intervenções!$K$2:$K$300&lt;&gt;"")),3)),"")</f>
      </c>
      <c r="AE111" s="4">
        <f>"RECONCILIAÇÃO MEDICAMENTOSA"&amp;CHAR(10)&amp;IF(G111&lt;&gt;"","Medicamentos de uso prévio: "&amp;G111&amp;".","Sem medicamentos de uso prévio relatados.")&amp;CHAR(10)&amp;IF(H111&lt;&gt;"","Histórico de alergia/RAM: "&amp;H111&amp;".","Nega alergias/RAM conhecidas.")</f>
      </c>
      <c r="AF111" s="4">
        <f>AE111&amp;CHAR(10)&amp;CHAR(10)&amp;"1. Evolução Clínica"&amp;CHAR(10)&amp;TEXTJOIN(" ",TRUE,"Paciente "&amp;I111&amp;", "&amp;IF(J111="","sem DVA","em uso de "&amp;J111)&amp;".",IF(K111&lt;&gt;"","Em "&amp;K111&amp;IF(L111&lt;&gt;""," ("&amp;L111&amp;")","")&amp;IF(M111&lt;&gt;"", ", "&amp;M111,"")&amp;IF(N111&lt;&gt;"", ", sob analgosedação com "&amp;N111,"")&amp;".",""),IF(O111&lt;&gt;"",O111&amp;IF(P111&lt;&gt;"", ", com "&amp;LOWER(P111),"")&amp;IF(Q111&lt;&gt;"", " — "&amp;Q111,"")&amp;".",""),IF(R111="Febre","Apresentou episódio febril nas últimas 24h"&amp;IF(S111&lt;&gt;""," ("&amp;S111&amp;")","")&amp;".",IF(R111="Afebril","Encontra-se afebril.","")),IF(T111&lt;&gt;"",IF(U111="Sim","Apresenta disfunção renal aguda ","Função renal preservada ")&amp;"("&amp;T111&amp;").",""),IF(V111&lt;&gt;"","Em uso do esquema antimicrobiano com "&amp;V111&amp;".",""),IF(TEXTJOIN(", ",TRUE,IF(W111&lt;&gt;"","TEV ("&amp;W111&amp;")",""),IF(X111&lt;&gt;"","LAMG ("&amp;X111&amp;")",""),IF(Y111&lt;&gt;"","úlcera de córnea com "&amp;Y111,""))&lt;&gt;"","Em uso de profilaxia: "&amp;TEXTJOIN(", ",TRUE,IF(W111&lt;&gt;"","TEV ("&amp;W111&amp;")",""),IF(X111&lt;&gt;"","LAMG ("&amp;X111&amp;")",""),IF(Y111&lt;&gt;"","úlcera de córnea com "&amp;Y111,""))&amp;".",""))&amp;CHAR(10)&amp;CHAR(10)&amp;"2. Farmacoterapia"&amp;CHAR(10)&amp;IF(Z111&lt;&gt;"","Corticoide/DART: "&amp;Z111,"Sem corticoide/DART registrado.")&amp;CHAR(10)&amp;CHAR(10)&amp;"3. Conduta Farmacêutica"&amp;CHAR(10)&amp;IF(TEXTJOIN(CHAR(10),TRUE,AB111,AC111,AD111)="","Nenhuma intervenção registrada hoje.",TEXTJOIN(CHAR(10),TRUE,AB111,AC111,AD111))&amp;CHAR(10)&amp;CHAR(10)&amp;"4. Plano Terapêutico"&amp;CHAR(10)&amp;IF(AA111&lt;&gt;"",AA111,"Não definido.")</f>
      </c>
    </row>
    <row r="112" spans="1:32" x14ac:dyDescent="0.25">
      <c r="A112" s="4"/>
      <c r="B112" s="6">
        <f>IFERROR(INDEX(Pacientes!$A:$A,MATCH($A112,Pacientes!$B:$B,0)),"")</f>
      </c>
      <c r="C112" s="6">
        <f>IFERROR(INDEX(Pacientes!$C:$C,MATCH($A112,Pacientes!$B:$B,0)),"")</f>
      </c>
      <c r="D112" s="6">
        <f>IFERROR(INDEX(Pacientes!$D:$D,MATCH($A112,Pacientes!$B:$B,0)),"")</f>
      </c>
      <c r="E112" s="6">
        <f>IFERROR(INDEX(Pacientes!$E:$E,MATCH($A112,Pacientes!$B:$B,0)),"")</f>
      </c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>
        <f>IFERROR(INDEX(Intervenções!$K$2:$K$300,AGGREGATE(15,6,(ROW(Intervenções!$K$2:$K$300)-ROW(Intervenções!$K$2)+1)/((Intervenções!$B$2:$B$300=A112)*(Intervenções!$A$2:$A$300=F112)*(Intervenções!$K$2:$K$300&lt;&gt;"")),1)),"")</f>
      </c>
      <c r="AC112" s="4">
        <f>IFERROR(INDEX(Intervenções!$K$2:$K$300,AGGREGATE(15,6,(ROW(Intervenções!$K$2:$K$300)-ROW(Intervenções!$K$2)+1)/((Intervenções!$B$2:$B$300=A112)*(Intervenções!$A$2:$A$300=F112)*(Intervenções!$K$2:$K$300&lt;&gt;"")),2)),"")</f>
      </c>
      <c r="AD112" s="4">
        <f>IFERROR(INDEX(Intervenções!$K$2:$K$300,AGGREGATE(15,6,(ROW(Intervenções!$K$2:$K$300)-ROW(Intervenções!$K$2)+1)/((Intervenções!$B$2:$B$300=A112)*(Intervenções!$A$2:$A$300=F112)*(Intervenções!$K$2:$K$300&lt;&gt;"")),3)),"")</f>
      </c>
      <c r="AE112" s="4">
        <f>"RECONCILIAÇÃO MEDICAMENTOSA"&amp;CHAR(10)&amp;IF(G112&lt;&gt;"","Medicamentos de uso prévio: "&amp;G112&amp;".","Sem medicamentos de uso prévio relatados.")&amp;CHAR(10)&amp;IF(H112&lt;&gt;"","Histórico de alergia/RAM: "&amp;H112&amp;".","Nega alergias/RAM conhecidas.")</f>
      </c>
      <c r="AF112" s="4">
        <f>AE112&amp;CHAR(10)&amp;CHAR(10)&amp;"1. Evolução Clínica"&amp;CHAR(10)&amp;TEXTJOIN(" ",TRUE,"Paciente "&amp;I112&amp;", "&amp;IF(J112="","sem DVA","em uso de "&amp;J112)&amp;".",IF(K112&lt;&gt;"","Em "&amp;K112&amp;IF(L112&lt;&gt;""," ("&amp;L112&amp;")","")&amp;IF(M112&lt;&gt;"", ", "&amp;M112,"")&amp;IF(N112&lt;&gt;"", ", sob analgosedação com "&amp;N112,"")&amp;".",""),IF(O112&lt;&gt;"",O112&amp;IF(P112&lt;&gt;"", ", com "&amp;LOWER(P112),"")&amp;IF(Q112&lt;&gt;"", " — "&amp;Q112,"")&amp;".",""),IF(R112="Febre","Apresentou episódio febril nas últimas 24h"&amp;IF(S112&lt;&gt;""," ("&amp;S112&amp;")","")&amp;".",IF(R112="Afebril","Encontra-se afebril.","")),IF(T112&lt;&gt;"",IF(U112="Sim","Apresenta disfunção renal aguda ","Função renal preservada ")&amp;"("&amp;T112&amp;").",""),IF(V112&lt;&gt;"","Em uso do esquema antimicrobiano com "&amp;V112&amp;".",""),IF(TEXTJOIN(", ",TRUE,IF(W112&lt;&gt;"","TEV ("&amp;W112&amp;")",""),IF(X112&lt;&gt;"","LAMG ("&amp;X112&amp;")",""),IF(Y112&lt;&gt;"","úlcera de córnea com "&amp;Y112,""))&lt;&gt;"","Em uso de profilaxia: "&amp;TEXTJOIN(", ",TRUE,IF(W112&lt;&gt;"","TEV ("&amp;W112&amp;")",""),IF(X112&lt;&gt;"","LAMG ("&amp;X112&amp;")",""),IF(Y112&lt;&gt;"","úlcera de córnea com "&amp;Y112,""))&amp;".",""))&amp;CHAR(10)&amp;CHAR(10)&amp;"2. Farmacoterapia"&amp;CHAR(10)&amp;IF(Z112&lt;&gt;"","Corticoide/DART: "&amp;Z112,"Sem corticoide/DART registrado.")&amp;CHAR(10)&amp;CHAR(10)&amp;"3. Conduta Farmacêutica"&amp;CHAR(10)&amp;IF(TEXTJOIN(CHAR(10),TRUE,AB112,AC112,AD112)="","Nenhuma intervenção registrada hoje.",TEXTJOIN(CHAR(10),TRUE,AB112,AC112,AD112))&amp;CHAR(10)&amp;CHAR(10)&amp;"4. Plano Terapêutico"&amp;CHAR(10)&amp;IF(AA112&lt;&gt;"",AA112,"Não definido.")</f>
      </c>
    </row>
    <row r="113" spans="1:32" x14ac:dyDescent="0.25">
      <c r="A113" s="4"/>
      <c r="B113" s="6">
        <f>IFERROR(INDEX(Pacientes!$A:$A,MATCH($A113,Pacientes!$B:$B,0)),"")</f>
      </c>
      <c r="C113" s="6">
        <f>IFERROR(INDEX(Pacientes!$C:$C,MATCH($A113,Pacientes!$B:$B,0)),"")</f>
      </c>
      <c r="D113" s="6">
        <f>IFERROR(INDEX(Pacientes!$D:$D,MATCH($A113,Pacientes!$B:$B,0)),"")</f>
      </c>
      <c r="E113" s="6">
        <f>IFERROR(INDEX(Pacientes!$E:$E,MATCH($A113,Pacientes!$B:$B,0)),"")</f>
      </c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>
        <f>IFERROR(INDEX(Intervenções!$K$2:$K$300,AGGREGATE(15,6,(ROW(Intervenções!$K$2:$K$300)-ROW(Intervenções!$K$2)+1)/((Intervenções!$B$2:$B$300=A113)*(Intervenções!$A$2:$A$300=F113)*(Intervenções!$K$2:$K$300&lt;&gt;"")),1)),"")</f>
      </c>
      <c r="AC113" s="4">
        <f>IFERROR(INDEX(Intervenções!$K$2:$K$300,AGGREGATE(15,6,(ROW(Intervenções!$K$2:$K$300)-ROW(Intervenções!$K$2)+1)/((Intervenções!$B$2:$B$300=A113)*(Intervenções!$A$2:$A$300=F113)*(Intervenções!$K$2:$K$300&lt;&gt;"")),2)),"")</f>
      </c>
      <c r="AD113" s="4">
        <f>IFERROR(INDEX(Intervenções!$K$2:$K$300,AGGREGATE(15,6,(ROW(Intervenções!$K$2:$K$300)-ROW(Intervenções!$K$2)+1)/((Intervenções!$B$2:$B$300=A113)*(Intervenções!$A$2:$A$300=F113)*(Intervenções!$K$2:$K$300&lt;&gt;"")),3)),"")</f>
      </c>
      <c r="AE113" s="4">
        <f>"RECONCILIAÇÃO MEDICAMENTOSA"&amp;CHAR(10)&amp;IF(G113&lt;&gt;"","Medicamentos de uso prévio: "&amp;G113&amp;".","Sem medicamentos de uso prévio relatados.")&amp;CHAR(10)&amp;IF(H113&lt;&gt;"","Histórico de alergia/RAM: "&amp;H113&amp;".","Nega alergias/RAM conhecidas.")</f>
      </c>
      <c r="AF113" s="4">
        <f>AE113&amp;CHAR(10)&amp;CHAR(10)&amp;"1. Evolução Clínica"&amp;CHAR(10)&amp;TEXTJOIN(" ",TRUE,"Paciente "&amp;I113&amp;", "&amp;IF(J113="","sem DVA","em uso de "&amp;J113)&amp;".",IF(K113&lt;&gt;"","Em "&amp;K113&amp;IF(L113&lt;&gt;""," ("&amp;L113&amp;")","")&amp;IF(M113&lt;&gt;"", ", "&amp;M113,"")&amp;IF(N113&lt;&gt;"", ", sob analgosedação com "&amp;N113,"")&amp;".",""),IF(O113&lt;&gt;"",O113&amp;IF(P113&lt;&gt;"", ", com "&amp;LOWER(P113),"")&amp;IF(Q113&lt;&gt;"", " — "&amp;Q113,"")&amp;".",""),IF(R113="Febre","Apresentou episódio febril nas últimas 24h"&amp;IF(S113&lt;&gt;""," ("&amp;S113&amp;")","")&amp;".",IF(R113="Afebril","Encontra-se afebril.","")),IF(T113&lt;&gt;"",IF(U113="Sim","Apresenta disfunção renal aguda ","Função renal preservada ")&amp;"("&amp;T113&amp;").",""),IF(V113&lt;&gt;"","Em uso do esquema antimicrobiano com "&amp;V113&amp;".",""),IF(TEXTJOIN(", ",TRUE,IF(W113&lt;&gt;"","TEV ("&amp;W113&amp;")",""),IF(X113&lt;&gt;"","LAMG ("&amp;X113&amp;")",""),IF(Y113&lt;&gt;"","úlcera de córnea com "&amp;Y113,""))&lt;&gt;"","Em uso de profilaxia: "&amp;TEXTJOIN(", ",TRUE,IF(W113&lt;&gt;"","TEV ("&amp;W113&amp;")",""),IF(X113&lt;&gt;"","LAMG ("&amp;X113&amp;")",""),IF(Y113&lt;&gt;"","úlcera de córnea com "&amp;Y113,""))&amp;".",""))&amp;CHAR(10)&amp;CHAR(10)&amp;"2. Farmacoterapia"&amp;CHAR(10)&amp;IF(Z113&lt;&gt;"","Corticoide/DART: "&amp;Z113,"Sem corticoide/DART registrado.")&amp;CHAR(10)&amp;CHAR(10)&amp;"3. Conduta Farmacêutica"&amp;CHAR(10)&amp;IF(TEXTJOIN(CHAR(10),TRUE,AB113,AC113,AD113)="","Nenhuma intervenção registrada hoje.",TEXTJOIN(CHAR(10),TRUE,AB113,AC113,AD113))&amp;CHAR(10)&amp;CHAR(10)&amp;"4. Plano Terapêutico"&amp;CHAR(10)&amp;IF(AA113&lt;&gt;"",AA113,"Não definido.")</f>
      </c>
    </row>
    <row r="114" spans="1:32" x14ac:dyDescent="0.25">
      <c r="A114" s="4"/>
      <c r="B114" s="6">
        <f>IFERROR(INDEX(Pacientes!$A:$A,MATCH($A114,Pacientes!$B:$B,0)),"")</f>
      </c>
      <c r="C114" s="6">
        <f>IFERROR(INDEX(Pacientes!$C:$C,MATCH($A114,Pacientes!$B:$B,0)),"")</f>
      </c>
      <c r="D114" s="6">
        <f>IFERROR(INDEX(Pacientes!$D:$D,MATCH($A114,Pacientes!$B:$B,0)),"")</f>
      </c>
      <c r="E114" s="6">
        <f>IFERROR(INDEX(Pacientes!$E:$E,MATCH($A114,Pacientes!$B:$B,0)),"")</f>
      </c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>
        <f>IFERROR(INDEX(Intervenções!$K$2:$K$300,AGGREGATE(15,6,(ROW(Intervenções!$K$2:$K$300)-ROW(Intervenções!$K$2)+1)/((Intervenções!$B$2:$B$300=A114)*(Intervenções!$A$2:$A$300=F114)*(Intervenções!$K$2:$K$300&lt;&gt;"")),1)),"")</f>
      </c>
      <c r="AC114" s="4">
        <f>IFERROR(INDEX(Intervenções!$K$2:$K$300,AGGREGATE(15,6,(ROW(Intervenções!$K$2:$K$300)-ROW(Intervenções!$K$2)+1)/((Intervenções!$B$2:$B$300=A114)*(Intervenções!$A$2:$A$300=F114)*(Intervenções!$K$2:$K$300&lt;&gt;"")),2)),"")</f>
      </c>
      <c r="AD114" s="4">
        <f>IFERROR(INDEX(Intervenções!$K$2:$K$300,AGGREGATE(15,6,(ROW(Intervenções!$K$2:$K$300)-ROW(Intervenções!$K$2)+1)/((Intervenções!$B$2:$B$300=A114)*(Intervenções!$A$2:$A$300=F114)*(Intervenções!$K$2:$K$300&lt;&gt;"")),3)),"")</f>
      </c>
      <c r="AE114" s="4">
        <f>"RECONCILIAÇÃO MEDICAMENTOSA"&amp;CHAR(10)&amp;IF(G114&lt;&gt;"","Medicamentos de uso prévio: "&amp;G114&amp;".","Sem medicamentos de uso prévio relatados.")&amp;CHAR(10)&amp;IF(H114&lt;&gt;"","Histórico de alergia/RAM: "&amp;H114&amp;".","Nega alergias/RAM conhecidas.")</f>
      </c>
      <c r="AF114" s="4">
        <f>AE114&amp;CHAR(10)&amp;CHAR(10)&amp;"1. Evolução Clínica"&amp;CHAR(10)&amp;TEXTJOIN(" ",TRUE,"Paciente "&amp;I114&amp;", "&amp;IF(J114="","sem DVA","em uso de "&amp;J114)&amp;".",IF(K114&lt;&gt;"","Em "&amp;K114&amp;IF(L114&lt;&gt;""," ("&amp;L114&amp;")","")&amp;IF(M114&lt;&gt;"", ", "&amp;M114,"")&amp;IF(N114&lt;&gt;"", ", sob analgosedação com "&amp;N114,"")&amp;".",""),IF(O114&lt;&gt;"",O114&amp;IF(P114&lt;&gt;"", ", com "&amp;LOWER(P114),"")&amp;IF(Q114&lt;&gt;"", " — "&amp;Q114,"")&amp;".",""),IF(R114="Febre","Apresentou episódio febril nas últimas 24h"&amp;IF(S114&lt;&gt;""," ("&amp;S114&amp;")","")&amp;".",IF(R114="Afebril","Encontra-se afebril.","")),IF(T114&lt;&gt;"",IF(U114="Sim","Apresenta disfunção renal aguda ","Função renal preservada ")&amp;"("&amp;T114&amp;").",""),IF(V114&lt;&gt;"","Em uso do esquema antimicrobiano com "&amp;V114&amp;".",""),IF(TEXTJOIN(", ",TRUE,IF(W114&lt;&gt;"","TEV ("&amp;W114&amp;")",""),IF(X114&lt;&gt;"","LAMG ("&amp;X114&amp;")",""),IF(Y114&lt;&gt;"","úlcera de córnea com "&amp;Y114,""))&lt;&gt;"","Em uso de profilaxia: "&amp;TEXTJOIN(", ",TRUE,IF(W114&lt;&gt;"","TEV ("&amp;W114&amp;")",""),IF(X114&lt;&gt;"","LAMG ("&amp;X114&amp;")",""),IF(Y114&lt;&gt;"","úlcera de córnea com "&amp;Y114,""))&amp;".",""))&amp;CHAR(10)&amp;CHAR(10)&amp;"2. Farmacoterapia"&amp;CHAR(10)&amp;IF(Z114&lt;&gt;"","Corticoide/DART: "&amp;Z114,"Sem corticoide/DART registrado.")&amp;CHAR(10)&amp;CHAR(10)&amp;"3. Conduta Farmacêutica"&amp;CHAR(10)&amp;IF(TEXTJOIN(CHAR(10),TRUE,AB114,AC114,AD114)="","Nenhuma intervenção registrada hoje.",TEXTJOIN(CHAR(10),TRUE,AB114,AC114,AD114))&amp;CHAR(10)&amp;CHAR(10)&amp;"4. Plano Terapêutico"&amp;CHAR(10)&amp;IF(AA114&lt;&gt;"",AA114,"Não definido.")</f>
      </c>
    </row>
    <row r="115" spans="1:32" x14ac:dyDescent="0.25">
      <c r="A115" s="4"/>
      <c r="B115" s="6">
        <f>IFERROR(INDEX(Pacientes!$A:$A,MATCH($A115,Pacientes!$B:$B,0)),"")</f>
      </c>
      <c r="C115" s="6">
        <f>IFERROR(INDEX(Pacientes!$C:$C,MATCH($A115,Pacientes!$B:$B,0)),"")</f>
      </c>
      <c r="D115" s="6">
        <f>IFERROR(INDEX(Pacientes!$D:$D,MATCH($A115,Pacientes!$B:$B,0)),"")</f>
      </c>
      <c r="E115" s="6">
        <f>IFERROR(INDEX(Pacientes!$E:$E,MATCH($A115,Pacientes!$B:$B,0)),"")</f>
      </c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>
        <f>IFERROR(INDEX(Intervenções!$K$2:$K$300,AGGREGATE(15,6,(ROW(Intervenções!$K$2:$K$300)-ROW(Intervenções!$K$2)+1)/((Intervenções!$B$2:$B$300=A115)*(Intervenções!$A$2:$A$300=F115)*(Intervenções!$K$2:$K$300&lt;&gt;"")),1)),"")</f>
      </c>
      <c r="AC115" s="4">
        <f>IFERROR(INDEX(Intervenções!$K$2:$K$300,AGGREGATE(15,6,(ROW(Intervenções!$K$2:$K$300)-ROW(Intervenções!$K$2)+1)/((Intervenções!$B$2:$B$300=A115)*(Intervenções!$A$2:$A$300=F115)*(Intervenções!$K$2:$K$300&lt;&gt;"")),2)),"")</f>
      </c>
      <c r="AD115" s="4">
        <f>IFERROR(INDEX(Intervenções!$K$2:$K$300,AGGREGATE(15,6,(ROW(Intervenções!$K$2:$K$300)-ROW(Intervenções!$K$2)+1)/((Intervenções!$B$2:$B$300=A115)*(Intervenções!$A$2:$A$300=F115)*(Intervenções!$K$2:$K$300&lt;&gt;"")),3)),"")</f>
      </c>
      <c r="AE115" s="4">
        <f>"RECONCILIAÇÃO MEDICAMENTOSA"&amp;CHAR(10)&amp;IF(G115&lt;&gt;"","Medicamentos de uso prévio: "&amp;G115&amp;".","Sem medicamentos de uso prévio relatados.")&amp;CHAR(10)&amp;IF(H115&lt;&gt;"","Histórico de alergia/RAM: "&amp;H115&amp;".","Nega alergias/RAM conhecidas.")</f>
      </c>
      <c r="AF115" s="4">
        <f>AE115&amp;CHAR(10)&amp;CHAR(10)&amp;"1. Evolução Clínica"&amp;CHAR(10)&amp;TEXTJOIN(" ",TRUE,"Paciente "&amp;I115&amp;", "&amp;IF(J115="","sem DVA","em uso de "&amp;J115)&amp;".",IF(K115&lt;&gt;"","Em "&amp;K115&amp;IF(L115&lt;&gt;""," ("&amp;L115&amp;")","")&amp;IF(M115&lt;&gt;"", ", "&amp;M115,"")&amp;IF(N115&lt;&gt;"", ", sob analgosedação com "&amp;N115,"")&amp;".",""),IF(O115&lt;&gt;"",O115&amp;IF(P115&lt;&gt;"", ", com "&amp;LOWER(P115),"")&amp;IF(Q115&lt;&gt;"", " — "&amp;Q115,"")&amp;".",""),IF(R115="Febre","Apresentou episódio febril nas últimas 24h"&amp;IF(S115&lt;&gt;""," ("&amp;S115&amp;")","")&amp;".",IF(R115="Afebril","Encontra-se afebril.","")),IF(T115&lt;&gt;"",IF(U115="Sim","Apresenta disfunção renal aguda ","Função renal preservada ")&amp;"("&amp;T115&amp;").",""),IF(V115&lt;&gt;"","Em uso do esquema antimicrobiano com "&amp;V115&amp;".",""),IF(TEXTJOIN(", ",TRUE,IF(W115&lt;&gt;"","TEV ("&amp;W115&amp;")",""),IF(X115&lt;&gt;"","LAMG ("&amp;X115&amp;")",""),IF(Y115&lt;&gt;"","úlcera de córnea com "&amp;Y115,""))&lt;&gt;"","Em uso de profilaxia: "&amp;TEXTJOIN(", ",TRUE,IF(W115&lt;&gt;"","TEV ("&amp;W115&amp;")",""),IF(X115&lt;&gt;"","LAMG ("&amp;X115&amp;")",""),IF(Y115&lt;&gt;"","úlcera de córnea com "&amp;Y115,""))&amp;".",""))&amp;CHAR(10)&amp;CHAR(10)&amp;"2. Farmacoterapia"&amp;CHAR(10)&amp;IF(Z115&lt;&gt;"","Corticoide/DART: "&amp;Z115,"Sem corticoide/DART registrado.")&amp;CHAR(10)&amp;CHAR(10)&amp;"3. Conduta Farmacêutica"&amp;CHAR(10)&amp;IF(TEXTJOIN(CHAR(10),TRUE,AB115,AC115,AD115)="","Nenhuma intervenção registrada hoje.",TEXTJOIN(CHAR(10),TRUE,AB115,AC115,AD115))&amp;CHAR(10)&amp;CHAR(10)&amp;"4. Plano Terapêutico"&amp;CHAR(10)&amp;IF(AA115&lt;&gt;"",AA115,"Não definido.")</f>
      </c>
    </row>
    <row r="116" spans="1:32" x14ac:dyDescent="0.25">
      <c r="A116" s="4"/>
      <c r="B116" s="6">
        <f>IFERROR(INDEX(Pacientes!$A:$A,MATCH($A116,Pacientes!$B:$B,0)),"")</f>
      </c>
      <c r="C116" s="6">
        <f>IFERROR(INDEX(Pacientes!$C:$C,MATCH($A116,Pacientes!$B:$B,0)),"")</f>
      </c>
      <c r="D116" s="6">
        <f>IFERROR(INDEX(Pacientes!$D:$D,MATCH($A116,Pacientes!$B:$B,0)),"")</f>
      </c>
      <c r="E116" s="6">
        <f>IFERROR(INDEX(Pacientes!$E:$E,MATCH($A116,Pacientes!$B:$B,0)),"")</f>
      </c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>
        <f>IFERROR(INDEX(Intervenções!$K$2:$K$300,AGGREGATE(15,6,(ROW(Intervenções!$K$2:$K$300)-ROW(Intervenções!$K$2)+1)/((Intervenções!$B$2:$B$300=A116)*(Intervenções!$A$2:$A$300=F116)*(Intervenções!$K$2:$K$300&lt;&gt;"")),1)),"")</f>
      </c>
      <c r="AC116" s="4">
        <f>IFERROR(INDEX(Intervenções!$K$2:$K$300,AGGREGATE(15,6,(ROW(Intervenções!$K$2:$K$300)-ROW(Intervenções!$K$2)+1)/((Intervenções!$B$2:$B$300=A116)*(Intervenções!$A$2:$A$300=F116)*(Intervenções!$K$2:$K$300&lt;&gt;"")),2)),"")</f>
      </c>
      <c r="AD116" s="4">
        <f>IFERROR(INDEX(Intervenções!$K$2:$K$300,AGGREGATE(15,6,(ROW(Intervenções!$K$2:$K$300)-ROW(Intervenções!$K$2)+1)/((Intervenções!$B$2:$B$300=A116)*(Intervenções!$A$2:$A$300=F116)*(Intervenções!$K$2:$K$300&lt;&gt;"")),3)),"")</f>
      </c>
      <c r="AE116" s="4">
        <f>"RECONCILIAÇÃO MEDICAMENTOSA"&amp;CHAR(10)&amp;IF(G116&lt;&gt;"","Medicamentos de uso prévio: "&amp;G116&amp;".","Sem medicamentos de uso prévio relatados.")&amp;CHAR(10)&amp;IF(H116&lt;&gt;"","Histórico de alergia/RAM: "&amp;H116&amp;".","Nega alergias/RAM conhecidas.")</f>
      </c>
      <c r="AF116" s="4">
        <f>AE116&amp;CHAR(10)&amp;CHAR(10)&amp;"1. Evolução Clínica"&amp;CHAR(10)&amp;TEXTJOIN(" ",TRUE,"Paciente "&amp;I116&amp;", "&amp;IF(J116="","sem DVA","em uso de "&amp;J116)&amp;".",IF(K116&lt;&gt;"","Em "&amp;K116&amp;IF(L116&lt;&gt;""," ("&amp;L116&amp;")","")&amp;IF(M116&lt;&gt;"", ", "&amp;M116,"")&amp;IF(N116&lt;&gt;"", ", sob analgosedação com "&amp;N116,"")&amp;".",""),IF(O116&lt;&gt;"",O116&amp;IF(P116&lt;&gt;"", ", com "&amp;LOWER(P116),"")&amp;IF(Q116&lt;&gt;"", " — "&amp;Q116,"")&amp;".",""),IF(R116="Febre","Apresentou episódio febril nas últimas 24h"&amp;IF(S116&lt;&gt;""," ("&amp;S116&amp;")","")&amp;".",IF(R116="Afebril","Encontra-se afebril.","")),IF(T116&lt;&gt;"",IF(U116="Sim","Apresenta disfunção renal aguda ","Função renal preservada ")&amp;"("&amp;T116&amp;").",""),IF(V116&lt;&gt;"","Em uso do esquema antimicrobiano com "&amp;V116&amp;".",""),IF(TEXTJOIN(", ",TRUE,IF(W116&lt;&gt;"","TEV ("&amp;W116&amp;")",""),IF(X116&lt;&gt;"","LAMG ("&amp;X116&amp;")",""),IF(Y116&lt;&gt;"","úlcera de córnea com "&amp;Y116,""))&lt;&gt;"","Em uso de profilaxia: "&amp;TEXTJOIN(", ",TRUE,IF(W116&lt;&gt;"","TEV ("&amp;W116&amp;")",""),IF(X116&lt;&gt;"","LAMG ("&amp;X116&amp;")",""),IF(Y116&lt;&gt;"","úlcera de córnea com "&amp;Y116,""))&amp;".",""))&amp;CHAR(10)&amp;CHAR(10)&amp;"2. Farmacoterapia"&amp;CHAR(10)&amp;IF(Z116&lt;&gt;"","Corticoide/DART: "&amp;Z116,"Sem corticoide/DART registrado.")&amp;CHAR(10)&amp;CHAR(10)&amp;"3. Conduta Farmacêutica"&amp;CHAR(10)&amp;IF(TEXTJOIN(CHAR(10),TRUE,AB116,AC116,AD116)="","Nenhuma intervenção registrada hoje.",TEXTJOIN(CHAR(10),TRUE,AB116,AC116,AD116))&amp;CHAR(10)&amp;CHAR(10)&amp;"4. Plano Terapêutico"&amp;CHAR(10)&amp;IF(AA116&lt;&gt;"",AA116,"Não definido.")</f>
      </c>
    </row>
    <row r="117" spans="1:32" x14ac:dyDescent="0.25">
      <c r="A117" s="4"/>
      <c r="B117" s="6">
        <f>IFERROR(INDEX(Pacientes!$A:$A,MATCH($A117,Pacientes!$B:$B,0)),"")</f>
      </c>
      <c r="C117" s="6">
        <f>IFERROR(INDEX(Pacientes!$C:$C,MATCH($A117,Pacientes!$B:$B,0)),"")</f>
      </c>
      <c r="D117" s="6">
        <f>IFERROR(INDEX(Pacientes!$D:$D,MATCH($A117,Pacientes!$B:$B,0)),"")</f>
      </c>
      <c r="E117" s="6">
        <f>IFERROR(INDEX(Pacientes!$E:$E,MATCH($A117,Pacientes!$B:$B,0)),"")</f>
      </c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>
        <f>IFERROR(INDEX(Intervenções!$K$2:$K$300,AGGREGATE(15,6,(ROW(Intervenções!$K$2:$K$300)-ROW(Intervenções!$K$2)+1)/((Intervenções!$B$2:$B$300=A117)*(Intervenções!$A$2:$A$300=F117)*(Intervenções!$K$2:$K$300&lt;&gt;"")),1)),"")</f>
      </c>
      <c r="AC117" s="4">
        <f>IFERROR(INDEX(Intervenções!$K$2:$K$300,AGGREGATE(15,6,(ROW(Intervenções!$K$2:$K$300)-ROW(Intervenções!$K$2)+1)/((Intervenções!$B$2:$B$300=A117)*(Intervenções!$A$2:$A$300=F117)*(Intervenções!$K$2:$K$300&lt;&gt;"")),2)),"")</f>
      </c>
      <c r="AD117" s="4">
        <f>IFERROR(INDEX(Intervenções!$K$2:$K$300,AGGREGATE(15,6,(ROW(Intervenções!$K$2:$K$300)-ROW(Intervenções!$K$2)+1)/((Intervenções!$B$2:$B$300=A117)*(Intervenções!$A$2:$A$300=F117)*(Intervenções!$K$2:$K$300&lt;&gt;"")),3)),"")</f>
      </c>
      <c r="AE117" s="4">
        <f>"RECONCILIAÇÃO MEDICAMENTOSA"&amp;CHAR(10)&amp;IF(G117&lt;&gt;"","Medicamentos de uso prévio: "&amp;G117&amp;".","Sem medicamentos de uso prévio relatados.")&amp;CHAR(10)&amp;IF(H117&lt;&gt;"","Histórico de alergia/RAM: "&amp;H117&amp;".","Nega alergias/RAM conhecidas.")</f>
      </c>
      <c r="AF117" s="4">
        <f>AE117&amp;CHAR(10)&amp;CHAR(10)&amp;"1. Evolução Clínica"&amp;CHAR(10)&amp;TEXTJOIN(" ",TRUE,"Paciente "&amp;I117&amp;", "&amp;IF(J117="","sem DVA","em uso de "&amp;J117)&amp;".",IF(K117&lt;&gt;"","Em "&amp;K117&amp;IF(L117&lt;&gt;""," ("&amp;L117&amp;")","")&amp;IF(M117&lt;&gt;"", ", "&amp;M117,"")&amp;IF(N117&lt;&gt;"", ", sob analgosedação com "&amp;N117,"")&amp;".",""),IF(O117&lt;&gt;"",O117&amp;IF(P117&lt;&gt;"", ", com "&amp;LOWER(P117),"")&amp;IF(Q117&lt;&gt;"", " — "&amp;Q117,"")&amp;".",""),IF(R117="Febre","Apresentou episódio febril nas últimas 24h"&amp;IF(S117&lt;&gt;""," ("&amp;S117&amp;")","")&amp;".",IF(R117="Afebril","Encontra-se afebril.","")),IF(T117&lt;&gt;"",IF(U117="Sim","Apresenta disfunção renal aguda ","Função renal preservada ")&amp;"("&amp;T117&amp;").",""),IF(V117&lt;&gt;"","Em uso do esquema antimicrobiano com "&amp;V117&amp;".",""),IF(TEXTJOIN(", ",TRUE,IF(W117&lt;&gt;"","TEV ("&amp;W117&amp;")",""),IF(X117&lt;&gt;"","LAMG ("&amp;X117&amp;")",""),IF(Y117&lt;&gt;"","úlcera de córnea com "&amp;Y117,""))&lt;&gt;"","Em uso de profilaxia: "&amp;TEXTJOIN(", ",TRUE,IF(W117&lt;&gt;"","TEV ("&amp;W117&amp;")",""),IF(X117&lt;&gt;"","LAMG ("&amp;X117&amp;")",""),IF(Y117&lt;&gt;"","úlcera de córnea com "&amp;Y117,""))&amp;".",""))&amp;CHAR(10)&amp;CHAR(10)&amp;"2. Farmacoterapia"&amp;CHAR(10)&amp;IF(Z117&lt;&gt;"","Corticoide/DART: "&amp;Z117,"Sem corticoide/DART registrado.")&amp;CHAR(10)&amp;CHAR(10)&amp;"3. Conduta Farmacêutica"&amp;CHAR(10)&amp;IF(TEXTJOIN(CHAR(10),TRUE,AB117,AC117,AD117)="","Nenhuma intervenção registrada hoje.",TEXTJOIN(CHAR(10),TRUE,AB117,AC117,AD117))&amp;CHAR(10)&amp;CHAR(10)&amp;"4. Plano Terapêutico"&amp;CHAR(10)&amp;IF(AA117&lt;&gt;"",AA117,"Não definido.")</f>
      </c>
    </row>
    <row r="118" spans="1:32" x14ac:dyDescent="0.25">
      <c r="A118" s="4"/>
      <c r="B118" s="6">
        <f>IFERROR(INDEX(Pacientes!$A:$A,MATCH($A118,Pacientes!$B:$B,0)),"")</f>
      </c>
      <c r="C118" s="6">
        <f>IFERROR(INDEX(Pacientes!$C:$C,MATCH($A118,Pacientes!$B:$B,0)),"")</f>
      </c>
      <c r="D118" s="6">
        <f>IFERROR(INDEX(Pacientes!$D:$D,MATCH($A118,Pacientes!$B:$B,0)),"")</f>
      </c>
      <c r="E118" s="6">
        <f>IFERROR(INDEX(Pacientes!$E:$E,MATCH($A118,Pacientes!$B:$B,0)),"")</f>
      </c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>
        <f>IFERROR(INDEX(Intervenções!$K$2:$K$300,AGGREGATE(15,6,(ROW(Intervenções!$K$2:$K$300)-ROW(Intervenções!$K$2)+1)/((Intervenções!$B$2:$B$300=A118)*(Intervenções!$A$2:$A$300=F118)*(Intervenções!$K$2:$K$300&lt;&gt;"")),1)),"")</f>
      </c>
      <c r="AC118" s="4">
        <f>IFERROR(INDEX(Intervenções!$K$2:$K$300,AGGREGATE(15,6,(ROW(Intervenções!$K$2:$K$300)-ROW(Intervenções!$K$2)+1)/((Intervenções!$B$2:$B$300=A118)*(Intervenções!$A$2:$A$300=F118)*(Intervenções!$K$2:$K$300&lt;&gt;"")),2)),"")</f>
      </c>
      <c r="AD118" s="4">
        <f>IFERROR(INDEX(Intervenções!$K$2:$K$300,AGGREGATE(15,6,(ROW(Intervenções!$K$2:$K$300)-ROW(Intervenções!$K$2)+1)/((Intervenções!$B$2:$B$300=A118)*(Intervenções!$A$2:$A$300=F118)*(Intervenções!$K$2:$K$300&lt;&gt;"")),3)),"")</f>
      </c>
      <c r="AE118" s="4">
        <f>"RECONCILIAÇÃO MEDICAMENTOSA"&amp;CHAR(10)&amp;IF(G118&lt;&gt;"","Medicamentos de uso prévio: "&amp;G118&amp;".","Sem medicamentos de uso prévio relatados.")&amp;CHAR(10)&amp;IF(H118&lt;&gt;"","Histórico de alergia/RAM: "&amp;H118&amp;".","Nega alergias/RAM conhecidas.")</f>
      </c>
      <c r="AF118" s="4">
        <f>AE118&amp;CHAR(10)&amp;CHAR(10)&amp;"1. Evolução Clínica"&amp;CHAR(10)&amp;TEXTJOIN(" ",TRUE,"Paciente "&amp;I118&amp;", "&amp;IF(J118="","sem DVA","em uso de "&amp;J118)&amp;".",IF(K118&lt;&gt;"","Em "&amp;K118&amp;IF(L118&lt;&gt;""," ("&amp;L118&amp;")","")&amp;IF(M118&lt;&gt;"", ", "&amp;M118,"")&amp;IF(N118&lt;&gt;"", ", sob analgosedação com "&amp;N118,"")&amp;".",""),IF(O118&lt;&gt;"",O118&amp;IF(P118&lt;&gt;"", ", com "&amp;LOWER(P118),"")&amp;IF(Q118&lt;&gt;"", " — "&amp;Q118,"")&amp;".",""),IF(R118="Febre","Apresentou episódio febril nas últimas 24h"&amp;IF(S118&lt;&gt;""," ("&amp;S118&amp;")","")&amp;".",IF(R118="Afebril","Encontra-se afebril.","")),IF(T118&lt;&gt;"",IF(U118="Sim","Apresenta disfunção renal aguda ","Função renal preservada ")&amp;"("&amp;T118&amp;").",""),IF(V118&lt;&gt;"","Em uso do esquema antimicrobiano com "&amp;V118&amp;".",""),IF(TEXTJOIN(", ",TRUE,IF(W118&lt;&gt;"","TEV ("&amp;W118&amp;")",""),IF(X118&lt;&gt;"","LAMG ("&amp;X118&amp;")",""),IF(Y118&lt;&gt;"","úlcera de córnea com "&amp;Y118,""))&lt;&gt;"","Em uso de profilaxia: "&amp;TEXTJOIN(", ",TRUE,IF(W118&lt;&gt;"","TEV ("&amp;W118&amp;")",""),IF(X118&lt;&gt;"","LAMG ("&amp;X118&amp;")",""),IF(Y118&lt;&gt;"","úlcera de córnea com "&amp;Y118,""))&amp;".",""))&amp;CHAR(10)&amp;CHAR(10)&amp;"2. Farmacoterapia"&amp;CHAR(10)&amp;IF(Z118&lt;&gt;"","Corticoide/DART: "&amp;Z118,"Sem corticoide/DART registrado.")&amp;CHAR(10)&amp;CHAR(10)&amp;"3. Conduta Farmacêutica"&amp;CHAR(10)&amp;IF(TEXTJOIN(CHAR(10),TRUE,AB118,AC118,AD118)="","Nenhuma intervenção registrada hoje.",TEXTJOIN(CHAR(10),TRUE,AB118,AC118,AD118))&amp;CHAR(10)&amp;CHAR(10)&amp;"4. Plano Terapêutico"&amp;CHAR(10)&amp;IF(AA118&lt;&gt;"",AA118,"Não definido.")</f>
      </c>
    </row>
    <row r="119" spans="1:32" x14ac:dyDescent="0.25">
      <c r="A119" s="4"/>
      <c r="B119" s="6">
        <f>IFERROR(INDEX(Pacientes!$A:$A,MATCH($A119,Pacientes!$B:$B,0)),"")</f>
      </c>
      <c r="C119" s="6">
        <f>IFERROR(INDEX(Pacientes!$C:$C,MATCH($A119,Pacientes!$B:$B,0)),"")</f>
      </c>
      <c r="D119" s="6">
        <f>IFERROR(INDEX(Pacientes!$D:$D,MATCH($A119,Pacientes!$B:$B,0)),"")</f>
      </c>
      <c r="E119" s="6">
        <f>IFERROR(INDEX(Pacientes!$E:$E,MATCH($A119,Pacientes!$B:$B,0)),"")</f>
      </c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>
        <f>IFERROR(INDEX(Intervenções!$K$2:$K$300,AGGREGATE(15,6,(ROW(Intervenções!$K$2:$K$300)-ROW(Intervenções!$K$2)+1)/((Intervenções!$B$2:$B$300=A119)*(Intervenções!$A$2:$A$300=F119)*(Intervenções!$K$2:$K$300&lt;&gt;"")),1)),"")</f>
      </c>
      <c r="AC119" s="4">
        <f>IFERROR(INDEX(Intervenções!$K$2:$K$300,AGGREGATE(15,6,(ROW(Intervenções!$K$2:$K$300)-ROW(Intervenções!$K$2)+1)/((Intervenções!$B$2:$B$300=A119)*(Intervenções!$A$2:$A$300=F119)*(Intervenções!$K$2:$K$300&lt;&gt;"")),2)),"")</f>
      </c>
      <c r="AD119" s="4">
        <f>IFERROR(INDEX(Intervenções!$K$2:$K$300,AGGREGATE(15,6,(ROW(Intervenções!$K$2:$K$300)-ROW(Intervenções!$K$2)+1)/((Intervenções!$B$2:$B$300=A119)*(Intervenções!$A$2:$A$300=F119)*(Intervenções!$K$2:$K$300&lt;&gt;"")),3)),"")</f>
      </c>
      <c r="AE119" s="4">
        <f>"RECONCILIAÇÃO MEDICAMENTOSA"&amp;CHAR(10)&amp;IF(G119&lt;&gt;"","Medicamentos de uso prévio: "&amp;G119&amp;".","Sem medicamentos de uso prévio relatados.")&amp;CHAR(10)&amp;IF(H119&lt;&gt;"","Histórico de alergia/RAM: "&amp;H119&amp;".","Nega alergias/RAM conhecidas.")</f>
      </c>
      <c r="AF119" s="4">
        <f>AE119&amp;CHAR(10)&amp;CHAR(10)&amp;"1. Evolução Clínica"&amp;CHAR(10)&amp;TEXTJOIN(" ",TRUE,"Paciente "&amp;I119&amp;", "&amp;IF(J119="","sem DVA","em uso de "&amp;J119)&amp;".",IF(K119&lt;&gt;"","Em "&amp;K119&amp;IF(L119&lt;&gt;""," ("&amp;L119&amp;")","")&amp;IF(M119&lt;&gt;"", ", "&amp;M119,"")&amp;IF(N119&lt;&gt;"", ", sob analgosedação com "&amp;N119,"")&amp;".",""),IF(O119&lt;&gt;"",O119&amp;IF(P119&lt;&gt;"", ", com "&amp;LOWER(P119),"")&amp;IF(Q119&lt;&gt;"", " — "&amp;Q119,"")&amp;".",""),IF(R119="Febre","Apresentou episódio febril nas últimas 24h"&amp;IF(S119&lt;&gt;""," ("&amp;S119&amp;")","")&amp;".",IF(R119="Afebril","Encontra-se afebril.","")),IF(T119&lt;&gt;"",IF(U119="Sim","Apresenta disfunção renal aguda ","Função renal preservada ")&amp;"("&amp;T119&amp;").",""),IF(V119&lt;&gt;"","Em uso do esquema antimicrobiano com "&amp;V119&amp;".",""),IF(TEXTJOIN(", ",TRUE,IF(W119&lt;&gt;"","TEV ("&amp;W119&amp;")",""),IF(X119&lt;&gt;"","LAMG ("&amp;X119&amp;")",""),IF(Y119&lt;&gt;"","úlcera de córnea com "&amp;Y119,""))&lt;&gt;"","Em uso de profilaxia: "&amp;TEXTJOIN(", ",TRUE,IF(W119&lt;&gt;"","TEV ("&amp;W119&amp;")",""),IF(X119&lt;&gt;"","LAMG ("&amp;X119&amp;")",""),IF(Y119&lt;&gt;"","úlcera de córnea com "&amp;Y119,""))&amp;".",""))&amp;CHAR(10)&amp;CHAR(10)&amp;"2. Farmacoterapia"&amp;CHAR(10)&amp;IF(Z119&lt;&gt;"","Corticoide/DART: "&amp;Z119,"Sem corticoide/DART registrado.")&amp;CHAR(10)&amp;CHAR(10)&amp;"3. Conduta Farmacêutica"&amp;CHAR(10)&amp;IF(TEXTJOIN(CHAR(10),TRUE,AB119,AC119,AD119)="","Nenhuma intervenção registrada hoje.",TEXTJOIN(CHAR(10),TRUE,AB119,AC119,AD119))&amp;CHAR(10)&amp;CHAR(10)&amp;"4. Plano Terapêutico"&amp;CHAR(10)&amp;IF(AA119&lt;&gt;"",AA119,"Não definido.")</f>
      </c>
    </row>
    <row r="120" spans="1:32" x14ac:dyDescent="0.25">
      <c r="A120" s="4"/>
      <c r="B120" s="6">
        <f>IFERROR(INDEX(Pacientes!$A:$A,MATCH($A120,Pacientes!$B:$B,0)),"")</f>
      </c>
      <c r="C120" s="6">
        <f>IFERROR(INDEX(Pacientes!$C:$C,MATCH($A120,Pacientes!$B:$B,0)),"")</f>
      </c>
      <c r="D120" s="6">
        <f>IFERROR(INDEX(Pacientes!$D:$D,MATCH($A120,Pacientes!$B:$B,0)),"")</f>
      </c>
      <c r="E120" s="6">
        <f>IFERROR(INDEX(Pacientes!$E:$E,MATCH($A120,Pacientes!$B:$B,0)),"")</f>
      </c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>
        <f>IFERROR(INDEX(Intervenções!$K$2:$K$300,AGGREGATE(15,6,(ROW(Intervenções!$K$2:$K$300)-ROW(Intervenções!$K$2)+1)/((Intervenções!$B$2:$B$300=A120)*(Intervenções!$A$2:$A$300=F120)*(Intervenções!$K$2:$K$300&lt;&gt;"")),1)),"")</f>
      </c>
      <c r="AC120" s="4">
        <f>IFERROR(INDEX(Intervenções!$K$2:$K$300,AGGREGATE(15,6,(ROW(Intervenções!$K$2:$K$300)-ROW(Intervenções!$K$2)+1)/((Intervenções!$B$2:$B$300=A120)*(Intervenções!$A$2:$A$300=F120)*(Intervenções!$K$2:$K$300&lt;&gt;"")),2)),"")</f>
      </c>
      <c r="AD120" s="4">
        <f>IFERROR(INDEX(Intervenções!$K$2:$K$300,AGGREGATE(15,6,(ROW(Intervenções!$K$2:$K$300)-ROW(Intervenções!$K$2)+1)/((Intervenções!$B$2:$B$300=A120)*(Intervenções!$A$2:$A$300=F120)*(Intervenções!$K$2:$K$300&lt;&gt;"")),3)),"")</f>
      </c>
      <c r="AE120" s="4">
        <f>"RECONCILIAÇÃO MEDICAMENTOSA"&amp;CHAR(10)&amp;IF(G120&lt;&gt;"","Medicamentos de uso prévio: "&amp;G120&amp;".","Sem medicamentos de uso prévio relatados.")&amp;CHAR(10)&amp;IF(H120&lt;&gt;"","Histórico de alergia/RAM: "&amp;H120&amp;".","Nega alergias/RAM conhecidas.")</f>
      </c>
      <c r="AF120" s="4">
        <f>AE120&amp;CHAR(10)&amp;CHAR(10)&amp;"1. Evolução Clínica"&amp;CHAR(10)&amp;TEXTJOIN(" ",TRUE,"Paciente "&amp;I120&amp;", "&amp;IF(J120="","sem DVA","em uso de "&amp;J120)&amp;".",IF(K120&lt;&gt;"","Em "&amp;K120&amp;IF(L120&lt;&gt;""," ("&amp;L120&amp;")","")&amp;IF(M120&lt;&gt;"", ", "&amp;M120,"")&amp;IF(N120&lt;&gt;"", ", sob analgosedação com "&amp;N120,"")&amp;".",""),IF(O120&lt;&gt;"",O120&amp;IF(P120&lt;&gt;"", ", com "&amp;LOWER(P120),"")&amp;IF(Q120&lt;&gt;"", " — "&amp;Q120,"")&amp;".",""),IF(R120="Febre","Apresentou episódio febril nas últimas 24h"&amp;IF(S120&lt;&gt;""," ("&amp;S120&amp;")","")&amp;".",IF(R120="Afebril","Encontra-se afebril.","")),IF(T120&lt;&gt;"",IF(U120="Sim","Apresenta disfunção renal aguda ","Função renal preservada ")&amp;"("&amp;T120&amp;").",""),IF(V120&lt;&gt;"","Em uso do esquema antimicrobiano com "&amp;V120&amp;".",""),IF(TEXTJOIN(", ",TRUE,IF(W120&lt;&gt;"","TEV ("&amp;W120&amp;")",""),IF(X120&lt;&gt;"","LAMG ("&amp;X120&amp;")",""),IF(Y120&lt;&gt;"","úlcera de córnea com "&amp;Y120,""))&lt;&gt;"","Em uso de profilaxia: "&amp;TEXTJOIN(", ",TRUE,IF(W120&lt;&gt;"","TEV ("&amp;W120&amp;")",""),IF(X120&lt;&gt;"","LAMG ("&amp;X120&amp;")",""),IF(Y120&lt;&gt;"","úlcera de córnea com "&amp;Y120,""))&amp;".",""))&amp;CHAR(10)&amp;CHAR(10)&amp;"2. Farmacoterapia"&amp;CHAR(10)&amp;IF(Z120&lt;&gt;"","Corticoide/DART: "&amp;Z120,"Sem corticoide/DART registrado.")&amp;CHAR(10)&amp;CHAR(10)&amp;"3. Conduta Farmacêutica"&amp;CHAR(10)&amp;IF(TEXTJOIN(CHAR(10),TRUE,AB120,AC120,AD120)="","Nenhuma intervenção registrada hoje.",TEXTJOIN(CHAR(10),TRUE,AB120,AC120,AD120))&amp;CHAR(10)&amp;CHAR(10)&amp;"4. Plano Terapêutico"&amp;CHAR(10)&amp;IF(AA120&lt;&gt;"",AA120,"Não definido.")</f>
      </c>
    </row>
    <row r="121" spans="1:32" x14ac:dyDescent="0.25">
      <c r="A121" s="4"/>
      <c r="B121" s="6">
        <f>IFERROR(INDEX(Pacientes!$A:$A,MATCH($A121,Pacientes!$B:$B,0)),"")</f>
      </c>
      <c r="C121" s="6">
        <f>IFERROR(INDEX(Pacientes!$C:$C,MATCH($A121,Pacientes!$B:$B,0)),"")</f>
      </c>
      <c r="D121" s="6">
        <f>IFERROR(INDEX(Pacientes!$D:$D,MATCH($A121,Pacientes!$B:$B,0)),"")</f>
      </c>
      <c r="E121" s="6">
        <f>IFERROR(INDEX(Pacientes!$E:$E,MATCH($A121,Pacientes!$B:$B,0)),"")</f>
      </c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>
        <f>IFERROR(INDEX(Intervenções!$K$2:$K$300,AGGREGATE(15,6,(ROW(Intervenções!$K$2:$K$300)-ROW(Intervenções!$K$2)+1)/((Intervenções!$B$2:$B$300=A121)*(Intervenções!$A$2:$A$300=F121)*(Intervenções!$K$2:$K$300&lt;&gt;"")),1)),"")</f>
      </c>
      <c r="AC121" s="4">
        <f>IFERROR(INDEX(Intervenções!$K$2:$K$300,AGGREGATE(15,6,(ROW(Intervenções!$K$2:$K$300)-ROW(Intervenções!$K$2)+1)/((Intervenções!$B$2:$B$300=A121)*(Intervenções!$A$2:$A$300=F121)*(Intervenções!$K$2:$K$300&lt;&gt;"")),2)),"")</f>
      </c>
      <c r="AD121" s="4">
        <f>IFERROR(INDEX(Intervenções!$K$2:$K$300,AGGREGATE(15,6,(ROW(Intervenções!$K$2:$K$300)-ROW(Intervenções!$K$2)+1)/((Intervenções!$B$2:$B$300=A121)*(Intervenções!$A$2:$A$300=F121)*(Intervenções!$K$2:$K$300&lt;&gt;"")),3)),"")</f>
      </c>
      <c r="AE121" s="4">
        <f>"RECONCILIAÇÃO MEDICAMENTOSA"&amp;CHAR(10)&amp;IF(G121&lt;&gt;"","Medicamentos de uso prévio: "&amp;G121&amp;".","Sem medicamentos de uso prévio relatados.")&amp;CHAR(10)&amp;IF(H121&lt;&gt;"","Histórico de alergia/RAM: "&amp;H121&amp;".","Nega alergias/RAM conhecidas.")</f>
      </c>
      <c r="AF121" s="4">
        <f>AE121&amp;CHAR(10)&amp;CHAR(10)&amp;"1. Evolução Clínica"&amp;CHAR(10)&amp;TEXTJOIN(" ",TRUE,"Paciente "&amp;I121&amp;", "&amp;IF(J121="","sem DVA","em uso de "&amp;J121)&amp;".",IF(K121&lt;&gt;"","Em "&amp;K121&amp;IF(L121&lt;&gt;""," ("&amp;L121&amp;")","")&amp;IF(M121&lt;&gt;"", ", "&amp;M121,"")&amp;IF(N121&lt;&gt;"", ", sob analgosedação com "&amp;N121,"")&amp;".",""),IF(O121&lt;&gt;"",O121&amp;IF(P121&lt;&gt;"", ", com "&amp;LOWER(P121),"")&amp;IF(Q121&lt;&gt;"", " — "&amp;Q121,"")&amp;".",""),IF(R121="Febre","Apresentou episódio febril nas últimas 24h"&amp;IF(S121&lt;&gt;""," ("&amp;S121&amp;")","")&amp;".",IF(R121="Afebril","Encontra-se afebril.","")),IF(T121&lt;&gt;"",IF(U121="Sim","Apresenta disfunção renal aguda ","Função renal preservada ")&amp;"("&amp;T121&amp;").",""),IF(V121&lt;&gt;"","Em uso do esquema antimicrobiano com "&amp;V121&amp;".",""),IF(TEXTJOIN(", ",TRUE,IF(W121&lt;&gt;"","TEV ("&amp;W121&amp;")",""),IF(X121&lt;&gt;"","LAMG ("&amp;X121&amp;")",""),IF(Y121&lt;&gt;"","úlcera de córnea com "&amp;Y121,""))&lt;&gt;"","Em uso de profilaxia: "&amp;TEXTJOIN(", ",TRUE,IF(W121&lt;&gt;"","TEV ("&amp;W121&amp;")",""),IF(X121&lt;&gt;"","LAMG ("&amp;X121&amp;")",""),IF(Y121&lt;&gt;"","úlcera de córnea com "&amp;Y121,""))&amp;".",""))&amp;CHAR(10)&amp;CHAR(10)&amp;"2. Farmacoterapia"&amp;CHAR(10)&amp;IF(Z121&lt;&gt;"","Corticoide/DART: "&amp;Z121,"Sem corticoide/DART registrado.")&amp;CHAR(10)&amp;CHAR(10)&amp;"3. Conduta Farmacêutica"&amp;CHAR(10)&amp;IF(TEXTJOIN(CHAR(10),TRUE,AB121,AC121,AD121)="","Nenhuma intervenção registrada hoje.",TEXTJOIN(CHAR(10),TRUE,AB121,AC121,AD121))&amp;CHAR(10)&amp;CHAR(10)&amp;"4. Plano Terapêutico"&amp;CHAR(10)&amp;IF(AA121&lt;&gt;"",AA121,"Não definido.")</f>
      </c>
    </row>
    <row r="122" spans="1:32" x14ac:dyDescent="0.25">
      <c r="A122" s="4"/>
      <c r="B122" s="6">
        <f>IFERROR(INDEX(Pacientes!$A:$A,MATCH($A122,Pacientes!$B:$B,0)),"")</f>
      </c>
      <c r="C122" s="6">
        <f>IFERROR(INDEX(Pacientes!$C:$C,MATCH($A122,Pacientes!$B:$B,0)),"")</f>
      </c>
      <c r="D122" s="6">
        <f>IFERROR(INDEX(Pacientes!$D:$D,MATCH($A122,Pacientes!$B:$B,0)),"")</f>
      </c>
      <c r="E122" s="6">
        <f>IFERROR(INDEX(Pacientes!$E:$E,MATCH($A122,Pacientes!$B:$B,0)),"")</f>
      </c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>
        <f>IFERROR(INDEX(Intervenções!$K$2:$K$300,AGGREGATE(15,6,(ROW(Intervenções!$K$2:$K$300)-ROW(Intervenções!$K$2)+1)/((Intervenções!$B$2:$B$300=A122)*(Intervenções!$A$2:$A$300=F122)*(Intervenções!$K$2:$K$300&lt;&gt;"")),1)),"")</f>
      </c>
      <c r="AC122" s="4">
        <f>IFERROR(INDEX(Intervenções!$K$2:$K$300,AGGREGATE(15,6,(ROW(Intervenções!$K$2:$K$300)-ROW(Intervenções!$K$2)+1)/((Intervenções!$B$2:$B$300=A122)*(Intervenções!$A$2:$A$300=F122)*(Intervenções!$K$2:$K$300&lt;&gt;"")),2)),"")</f>
      </c>
      <c r="AD122" s="4">
        <f>IFERROR(INDEX(Intervenções!$K$2:$K$300,AGGREGATE(15,6,(ROW(Intervenções!$K$2:$K$300)-ROW(Intervenções!$K$2)+1)/((Intervenções!$B$2:$B$300=A122)*(Intervenções!$A$2:$A$300=F122)*(Intervenções!$K$2:$K$300&lt;&gt;"")),3)),"")</f>
      </c>
      <c r="AE122" s="4">
        <f>"RECONCILIAÇÃO MEDICAMENTOSA"&amp;CHAR(10)&amp;IF(G122&lt;&gt;"","Medicamentos de uso prévio: "&amp;G122&amp;".","Sem medicamentos de uso prévio relatados.")&amp;CHAR(10)&amp;IF(H122&lt;&gt;"","Histórico de alergia/RAM: "&amp;H122&amp;".","Nega alergias/RAM conhecidas.")</f>
      </c>
      <c r="AF122" s="4">
        <f>AE122&amp;CHAR(10)&amp;CHAR(10)&amp;"1. Evolução Clínica"&amp;CHAR(10)&amp;TEXTJOIN(" ",TRUE,"Paciente "&amp;I122&amp;", "&amp;IF(J122="","sem DVA","em uso de "&amp;J122)&amp;".",IF(K122&lt;&gt;"","Em "&amp;K122&amp;IF(L122&lt;&gt;""," ("&amp;L122&amp;")","")&amp;IF(M122&lt;&gt;"", ", "&amp;M122,"")&amp;IF(N122&lt;&gt;"", ", sob analgosedação com "&amp;N122,"")&amp;".",""),IF(O122&lt;&gt;"",O122&amp;IF(P122&lt;&gt;"", ", com "&amp;LOWER(P122),"")&amp;IF(Q122&lt;&gt;"", " — "&amp;Q122,"")&amp;".",""),IF(R122="Febre","Apresentou episódio febril nas últimas 24h"&amp;IF(S122&lt;&gt;""," ("&amp;S122&amp;")","")&amp;".",IF(R122="Afebril","Encontra-se afebril.","")),IF(T122&lt;&gt;"",IF(U122="Sim","Apresenta disfunção renal aguda ","Função renal preservada ")&amp;"("&amp;T122&amp;").",""),IF(V122&lt;&gt;"","Em uso do esquema antimicrobiano com "&amp;V122&amp;".",""),IF(TEXTJOIN(", ",TRUE,IF(W122&lt;&gt;"","TEV ("&amp;W122&amp;")",""),IF(X122&lt;&gt;"","LAMG ("&amp;X122&amp;")",""),IF(Y122&lt;&gt;"","úlcera de córnea com "&amp;Y122,""))&lt;&gt;"","Em uso de profilaxia: "&amp;TEXTJOIN(", ",TRUE,IF(W122&lt;&gt;"","TEV ("&amp;W122&amp;")",""),IF(X122&lt;&gt;"","LAMG ("&amp;X122&amp;")",""),IF(Y122&lt;&gt;"","úlcera de córnea com "&amp;Y122,""))&amp;".",""))&amp;CHAR(10)&amp;CHAR(10)&amp;"2. Farmacoterapia"&amp;CHAR(10)&amp;IF(Z122&lt;&gt;"","Corticoide/DART: "&amp;Z122,"Sem corticoide/DART registrado.")&amp;CHAR(10)&amp;CHAR(10)&amp;"3. Conduta Farmacêutica"&amp;CHAR(10)&amp;IF(TEXTJOIN(CHAR(10),TRUE,AB122,AC122,AD122)="","Nenhuma intervenção registrada hoje.",TEXTJOIN(CHAR(10),TRUE,AB122,AC122,AD122))&amp;CHAR(10)&amp;CHAR(10)&amp;"4. Plano Terapêutico"&amp;CHAR(10)&amp;IF(AA122&lt;&gt;"",AA122,"Não definido.")</f>
      </c>
    </row>
    <row r="123" spans="1:32" x14ac:dyDescent="0.25">
      <c r="A123" s="4"/>
      <c r="B123" s="6">
        <f>IFERROR(INDEX(Pacientes!$A:$A,MATCH($A123,Pacientes!$B:$B,0)),"")</f>
      </c>
      <c r="C123" s="6">
        <f>IFERROR(INDEX(Pacientes!$C:$C,MATCH($A123,Pacientes!$B:$B,0)),"")</f>
      </c>
      <c r="D123" s="6">
        <f>IFERROR(INDEX(Pacientes!$D:$D,MATCH($A123,Pacientes!$B:$B,0)),"")</f>
      </c>
      <c r="E123" s="6">
        <f>IFERROR(INDEX(Pacientes!$E:$E,MATCH($A123,Pacientes!$B:$B,0)),"")</f>
      </c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>
        <f>IFERROR(INDEX(Intervenções!$K$2:$K$300,AGGREGATE(15,6,(ROW(Intervenções!$K$2:$K$300)-ROW(Intervenções!$K$2)+1)/((Intervenções!$B$2:$B$300=A123)*(Intervenções!$A$2:$A$300=F123)*(Intervenções!$K$2:$K$300&lt;&gt;"")),1)),"")</f>
      </c>
      <c r="AC123" s="4">
        <f>IFERROR(INDEX(Intervenções!$K$2:$K$300,AGGREGATE(15,6,(ROW(Intervenções!$K$2:$K$300)-ROW(Intervenções!$K$2)+1)/((Intervenções!$B$2:$B$300=A123)*(Intervenções!$A$2:$A$300=F123)*(Intervenções!$K$2:$K$300&lt;&gt;"")),2)),"")</f>
      </c>
      <c r="AD123" s="4">
        <f>IFERROR(INDEX(Intervenções!$K$2:$K$300,AGGREGATE(15,6,(ROW(Intervenções!$K$2:$K$300)-ROW(Intervenções!$K$2)+1)/((Intervenções!$B$2:$B$300=A123)*(Intervenções!$A$2:$A$300=F123)*(Intervenções!$K$2:$K$300&lt;&gt;"")),3)),"")</f>
      </c>
      <c r="AE123" s="4">
        <f>"RECONCILIAÇÃO MEDICAMENTOSA"&amp;CHAR(10)&amp;IF(G123&lt;&gt;"","Medicamentos de uso prévio: "&amp;G123&amp;".","Sem medicamentos de uso prévio relatados.")&amp;CHAR(10)&amp;IF(H123&lt;&gt;"","Histórico de alergia/RAM: "&amp;H123&amp;".","Nega alergias/RAM conhecidas.")</f>
      </c>
      <c r="AF123" s="4">
        <f>AE123&amp;CHAR(10)&amp;CHAR(10)&amp;"1. Evolução Clínica"&amp;CHAR(10)&amp;TEXTJOIN(" ",TRUE,"Paciente "&amp;I123&amp;", "&amp;IF(J123="","sem DVA","em uso de "&amp;J123)&amp;".",IF(K123&lt;&gt;"","Em "&amp;K123&amp;IF(L123&lt;&gt;""," ("&amp;L123&amp;")","")&amp;IF(M123&lt;&gt;"", ", "&amp;M123,"")&amp;IF(N123&lt;&gt;"", ", sob analgosedação com "&amp;N123,"")&amp;".",""),IF(O123&lt;&gt;"",O123&amp;IF(P123&lt;&gt;"", ", com "&amp;LOWER(P123),"")&amp;IF(Q123&lt;&gt;"", " — "&amp;Q123,"")&amp;".",""),IF(R123="Febre","Apresentou episódio febril nas últimas 24h"&amp;IF(S123&lt;&gt;""," ("&amp;S123&amp;")","")&amp;".",IF(R123="Afebril","Encontra-se afebril.","")),IF(T123&lt;&gt;"",IF(U123="Sim","Apresenta disfunção renal aguda ","Função renal preservada ")&amp;"("&amp;T123&amp;").",""),IF(V123&lt;&gt;"","Em uso do esquema antimicrobiano com "&amp;V123&amp;".",""),IF(TEXTJOIN(", ",TRUE,IF(W123&lt;&gt;"","TEV ("&amp;W123&amp;")",""),IF(X123&lt;&gt;"","LAMG ("&amp;X123&amp;")",""),IF(Y123&lt;&gt;"","úlcera de córnea com "&amp;Y123,""))&lt;&gt;"","Em uso de profilaxia: "&amp;TEXTJOIN(", ",TRUE,IF(W123&lt;&gt;"","TEV ("&amp;W123&amp;")",""),IF(X123&lt;&gt;"","LAMG ("&amp;X123&amp;")",""),IF(Y123&lt;&gt;"","úlcera de córnea com "&amp;Y123,""))&amp;".",""))&amp;CHAR(10)&amp;CHAR(10)&amp;"2. Farmacoterapia"&amp;CHAR(10)&amp;IF(Z123&lt;&gt;"","Corticoide/DART: "&amp;Z123,"Sem corticoide/DART registrado.")&amp;CHAR(10)&amp;CHAR(10)&amp;"3. Conduta Farmacêutica"&amp;CHAR(10)&amp;IF(TEXTJOIN(CHAR(10),TRUE,AB123,AC123,AD123)="","Nenhuma intervenção registrada hoje.",TEXTJOIN(CHAR(10),TRUE,AB123,AC123,AD123))&amp;CHAR(10)&amp;CHAR(10)&amp;"4. Plano Terapêutico"&amp;CHAR(10)&amp;IF(AA123&lt;&gt;"",AA123,"Não definido.")</f>
      </c>
    </row>
    <row r="124" spans="1:32" x14ac:dyDescent="0.25">
      <c r="A124" s="4"/>
      <c r="B124" s="6">
        <f>IFERROR(INDEX(Pacientes!$A:$A,MATCH($A124,Pacientes!$B:$B,0)),"")</f>
      </c>
      <c r="C124" s="6">
        <f>IFERROR(INDEX(Pacientes!$C:$C,MATCH($A124,Pacientes!$B:$B,0)),"")</f>
      </c>
      <c r="D124" s="6">
        <f>IFERROR(INDEX(Pacientes!$D:$D,MATCH($A124,Pacientes!$B:$B,0)),"")</f>
      </c>
      <c r="E124" s="6">
        <f>IFERROR(INDEX(Pacientes!$E:$E,MATCH($A124,Pacientes!$B:$B,0)),"")</f>
      </c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>
        <f>IFERROR(INDEX(Intervenções!$K$2:$K$300,AGGREGATE(15,6,(ROW(Intervenções!$K$2:$K$300)-ROW(Intervenções!$K$2)+1)/((Intervenções!$B$2:$B$300=A124)*(Intervenções!$A$2:$A$300=F124)*(Intervenções!$K$2:$K$300&lt;&gt;"")),1)),"")</f>
      </c>
      <c r="AC124" s="4">
        <f>IFERROR(INDEX(Intervenções!$K$2:$K$300,AGGREGATE(15,6,(ROW(Intervenções!$K$2:$K$300)-ROW(Intervenções!$K$2)+1)/((Intervenções!$B$2:$B$300=A124)*(Intervenções!$A$2:$A$300=F124)*(Intervenções!$K$2:$K$300&lt;&gt;"")),2)),"")</f>
      </c>
      <c r="AD124" s="4">
        <f>IFERROR(INDEX(Intervenções!$K$2:$K$300,AGGREGATE(15,6,(ROW(Intervenções!$K$2:$K$300)-ROW(Intervenções!$K$2)+1)/((Intervenções!$B$2:$B$300=A124)*(Intervenções!$A$2:$A$300=F124)*(Intervenções!$K$2:$K$300&lt;&gt;"")),3)),"")</f>
      </c>
      <c r="AE124" s="4">
        <f>"RECONCILIAÇÃO MEDICAMENTOSA"&amp;CHAR(10)&amp;IF(G124&lt;&gt;"","Medicamentos de uso prévio: "&amp;G124&amp;".","Sem medicamentos de uso prévio relatados.")&amp;CHAR(10)&amp;IF(H124&lt;&gt;"","Histórico de alergia/RAM: "&amp;H124&amp;".","Nega alergias/RAM conhecidas.")</f>
      </c>
      <c r="AF124" s="4">
        <f>AE124&amp;CHAR(10)&amp;CHAR(10)&amp;"1. Evolução Clínica"&amp;CHAR(10)&amp;TEXTJOIN(" ",TRUE,"Paciente "&amp;I124&amp;", "&amp;IF(J124="","sem DVA","em uso de "&amp;J124)&amp;".",IF(K124&lt;&gt;"","Em "&amp;K124&amp;IF(L124&lt;&gt;""," ("&amp;L124&amp;")","")&amp;IF(M124&lt;&gt;"", ", "&amp;M124,"")&amp;IF(N124&lt;&gt;"", ", sob analgosedação com "&amp;N124,"")&amp;".",""),IF(O124&lt;&gt;"",O124&amp;IF(P124&lt;&gt;"", ", com "&amp;LOWER(P124),"")&amp;IF(Q124&lt;&gt;"", " — "&amp;Q124,"")&amp;".",""),IF(R124="Febre","Apresentou episódio febril nas últimas 24h"&amp;IF(S124&lt;&gt;""," ("&amp;S124&amp;")","")&amp;".",IF(R124="Afebril","Encontra-se afebril.","")),IF(T124&lt;&gt;"",IF(U124="Sim","Apresenta disfunção renal aguda ","Função renal preservada ")&amp;"("&amp;T124&amp;").",""),IF(V124&lt;&gt;"","Em uso do esquema antimicrobiano com "&amp;V124&amp;".",""),IF(TEXTJOIN(", ",TRUE,IF(W124&lt;&gt;"","TEV ("&amp;W124&amp;")",""),IF(X124&lt;&gt;"","LAMG ("&amp;X124&amp;")",""),IF(Y124&lt;&gt;"","úlcera de córnea com "&amp;Y124,""))&lt;&gt;"","Em uso de profilaxia: "&amp;TEXTJOIN(", ",TRUE,IF(W124&lt;&gt;"","TEV ("&amp;W124&amp;")",""),IF(X124&lt;&gt;"","LAMG ("&amp;X124&amp;")",""),IF(Y124&lt;&gt;"","úlcera de córnea com "&amp;Y124,""))&amp;".",""))&amp;CHAR(10)&amp;CHAR(10)&amp;"2. Farmacoterapia"&amp;CHAR(10)&amp;IF(Z124&lt;&gt;"","Corticoide/DART: "&amp;Z124,"Sem corticoide/DART registrado.")&amp;CHAR(10)&amp;CHAR(10)&amp;"3. Conduta Farmacêutica"&amp;CHAR(10)&amp;IF(TEXTJOIN(CHAR(10),TRUE,AB124,AC124,AD124)="","Nenhuma intervenção registrada hoje.",TEXTJOIN(CHAR(10),TRUE,AB124,AC124,AD124))&amp;CHAR(10)&amp;CHAR(10)&amp;"4. Plano Terapêutico"&amp;CHAR(10)&amp;IF(AA124&lt;&gt;"",AA124,"Não definido.")</f>
      </c>
    </row>
    <row r="125" spans="1:32" x14ac:dyDescent="0.25">
      <c r="A125" s="4"/>
      <c r="B125" s="6">
        <f>IFERROR(INDEX(Pacientes!$A:$A,MATCH($A125,Pacientes!$B:$B,0)),"")</f>
      </c>
      <c r="C125" s="6">
        <f>IFERROR(INDEX(Pacientes!$C:$C,MATCH($A125,Pacientes!$B:$B,0)),"")</f>
      </c>
      <c r="D125" s="6">
        <f>IFERROR(INDEX(Pacientes!$D:$D,MATCH($A125,Pacientes!$B:$B,0)),"")</f>
      </c>
      <c r="E125" s="6">
        <f>IFERROR(INDEX(Pacientes!$E:$E,MATCH($A125,Pacientes!$B:$B,0)),"")</f>
      </c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>
        <f>IFERROR(INDEX(Intervenções!$K$2:$K$300,AGGREGATE(15,6,(ROW(Intervenções!$K$2:$K$300)-ROW(Intervenções!$K$2)+1)/((Intervenções!$B$2:$B$300=A125)*(Intervenções!$A$2:$A$300=F125)*(Intervenções!$K$2:$K$300&lt;&gt;"")),1)),"")</f>
      </c>
      <c r="AC125" s="4">
        <f>IFERROR(INDEX(Intervenções!$K$2:$K$300,AGGREGATE(15,6,(ROW(Intervenções!$K$2:$K$300)-ROW(Intervenções!$K$2)+1)/((Intervenções!$B$2:$B$300=A125)*(Intervenções!$A$2:$A$300=F125)*(Intervenções!$K$2:$K$300&lt;&gt;"")),2)),"")</f>
      </c>
      <c r="AD125" s="4">
        <f>IFERROR(INDEX(Intervenções!$K$2:$K$300,AGGREGATE(15,6,(ROW(Intervenções!$K$2:$K$300)-ROW(Intervenções!$K$2)+1)/((Intervenções!$B$2:$B$300=A125)*(Intervenções!$A$2:$A$300=F125)*(Intervenções!$K$2:$K$300&lt;&gt;"")),3)),"")</f>
      </c>
      <c r="AE125" s="4">
        <f>"RECONCILIAÇÃO MEDICAMENTOSA"&amp;CHAR(10)&amp;IF(G125&lt;&gt;"","Medicamentos de uso prévio: "&amp;G125&amp;".","Sem medicamentos de uso prévio relatados.")&amp;CHAR(10)&amp;IF(H125&lt;&gt;"","Histórico de alergia/RAM: "&amp;H125&amp;".","Nega alergias/RAM conhecidas.")</f>
      </c>
      <c r="AF125" s="4">
        <f>AE125&amp;CHAR(10)&amp;CHAR(10)&amp;"1. Evolução Clínica"&amp;CHAR(10)&amp;TEXTJOIN(" ",TRUE,"Paciente "&amp;I125&amp;", "&amp;IF(J125="","sem DVA","em uso de "&amp;J125)&amp;".",IF(K125&lt;&gt;"","Em "&amp;K125&amp;IF(L125&lt;&gt;""," ("&amp;L125&amp;")","")&amp;IF(M125&lt;&gt;"", ", "&amp;M125,"")&amp;IF(N125&lt;&gt;"", ", sob analgosedação com "&amp;N125,"")&amp;".",""),IF(O125&lt;&gt;"",O125&amp;IF(P125&lt;&gt;"", ", com "&amp;LOWER(P125),"")&amp;IF(Q125&lt;&gt;"", " — "&amp;Q125,"")&amp;".",""),IF(R125="Febre","Apresentou episódio febril nas últimas 24h"&amp;IF(S125&lt;&gt;""," ("&amp;S125&amp;")","")&amp;".",IF(R125="Afebril","Encontra-se afebril.","")),IF(T125&lt;&gt;"",IF(U125="Sim","Apresenta disfunção renal aguda ","Função renal preservada ")&amp;"("&amp;T125&amp;").",""),IF(V125&lt;&gt;"","Em uso do esquema antimicrobiano com "&amp;V125&amp;".",""),IF(TEXTJOIN(", ",TRUE,IF(W125&lt;&gt;"","TEV ("&amp;W125&amp;")",""),IF(X125&lt;&gt;"","LAMG ("&amp;X125&amp;")",""),IF(Y125&lt;&gt;"","úlcera de córnea com "&amp;Y125,""))&lt;&gt;"","Em uso de profilaxia: "&amp;TEXTJOIN(", ",TRUE,IF(W125&lt;&gt;"","TEV ("&amp;W125&amp;")",""),IF(X125&lt;&gt;"","LAMG ("&amp;X125&amp;")",""),IF(Y125&lt;&gt;"","úlcera de córnea com "&amp;Y125,""))&amp;".",""))&amp;CHAR(10)&amp;CHAR(10)&amp;"2. Farmacoterapia"&amp;CHAR(10)&amp;IF(Z125&lt;&gt;"","Corticoide/DART: "&amp;Z125,"Sem corticoide/DART registrado.")&amp;CHAR(10)&amp;CHAR(10)&amp;"3. Conduta Farmacêutica"&amp;CHAR(10)&amp;IF(TEXTJOIN(CHAR(10),TRUE,AB125,AC125,AD125)="","Nenhuma intervenção registrada hoje.",TEXTJOIN(CHAR(10),TRUE,AB125,AC125,AD125))&amp;CHAR(10)&amp;CHAR(10)&amp;"4. Plano Terapêutico"&amp;CHAR(10)&amp;IF(AA125&lt;&gt;"",AA125,"Não definido.")</f>
      </c>
    </row>
    <row r="126" spans="1:32" x14ac:dyDescent="0.25">
      <c r="A126" s="4"/>
      <c r="B126" s="6">
        <f>IFERROR(INDEX(Pacientes!$A:$A,MATCH($A126,Pacientes!$B:$B,0)),"")</f>
      </c>
      <c r="C126" s="6">
        <f>IFERROR(INDEX(Pacientes!$C:$C,MATCH($A126,Pacientes!$B:$B,0)),"")</f>
      </c>
      <c r="D126" s="6">
        <f>IFERROR(INDEX(Pacientes!$D:$D,MATCH($A126,Pacientes!$B:$B,0)),"")</f>
      </c>
      <c r="E126" s="6">
        <f>IFERROR(INDEX(Pacientes!$E:$E,MATCH($A126,Pacientes!$B:$B,0)),"")</f>
      </c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>
        <f>IFERROR(INDEX(Intervenções!$K$2:$K$300,AGGREGATE(15,6,(ROW(Intervenções!$K$2:$K$300)-ROW(Intervenções!$K$2)+1)/((Intervenções!$B$2:$B$300=A126)*(Intervenções!$A$2:$A$300=F126)*(Intervenções!$K$2:$K$300&lt;&gt;"")),1)),"")</f>
      </c>
      <c r="AC126" s="4">
        <f>IFERROR(INDEX(Intervenções!$K$2:$K$300,AGGREGATE(15,6,(ROW(Intervenções!$K$2:$K$300)-ROW(Intervenções!$K$2)+1)/((Intervenções!$B$2:$B$300=A126)*(Intervenções!$A$2:$A$300=F126)*(Intervenções!$K$2:$K$300&lt;&gt;"")),2)),"")</f>
      </c>
      <c r="AD126" s="4">
        <f>IFERROR(INDEX(Intervenções!$K$2:$K$300,AGGREGATE(15,6,(ROW(Intervenções!$K$2:$K$300)-ROW(Intervenções!$K$2)+1)/((Intervenções!$B$2:$B$300=A126)*(Intervenções!$A$2:$A$300=F126)*(Intervenções!$K$2:$K$300&lt;&gt;"")),3)),"")</f>
      </c>
      <c r="AE126" s="4">
        <f>"RECONCILIAÇÃO MEDICAMENTOSA"&amp;CHAR(10)&amp;IF(G126&lt;&gt;"","Medicamentos de uso prévio: "&amp;G126&amp;".","Sem medicamentos de uso prévio relatados.")&amp;CHAR(10)&amp;IF(H126&lt;&gt;"","Histórico de alergia/RAM: "&amp;H126&amp;".","Nega alergias/RAM conhecidas.")</f>
      </c>
      <c r="AF126" s="4">
        <f>AE126&amp;CHAR(10)&amp;CHAR(10)&amp;"1. Evolução Clínica"&amp;CHAR(10)&amp;TEXTJOIN(" ",TRUE,"Paciente "&amp;I126&amp;", "&amp;IF(J126="","sem DVA","em uso de "&amp;J126)&amp;".",IF(K126&lt;&gt;"","Em "&amp;K126&amp;IF(L126&lt;&gt;""," ("&amp;L126&amp;")","")&amp;IF(M126&lt;&gt;"", ", "&amp;M126,"")&amp;IF(N126&lt;&gt;"", ", sob analgosedação com "&amp;N126,"")&amp;".",""),IF(O126&lt;&gt;"",O126&amp;IF(P126&lt;&gt;"", ", com "&amp;LOWER(P126),"")&amp;IF(Q126&lt;&gt;"", " — "&amp;Q126,"")&amp;".",""),IF(R126="Febre","Apresentou episódio febril nas últimas 24h"&amp;IF(S126&lt;&gt;""," ("&amp;S126&amp;")","")&amp;".",IF(R126="Afebril","Encontra-se afebril.","")),IF(T126&lt;&gt;"",IF(U126="Sim","Apresenta disfunção renal aguda ","Função renal preservada ")&amp;"("&amp;T126&amp;").",""),IF(V126&lt;&gt;"","Em uso do esquema antimicrobiano com "&amp;V126&amp;".",""),IF(TEXTJOIN(", ",TRUE,IF(W126&lt;&gt;"","TEV ("&amp;W126&amp;")",""),IF(X126&lt;&gt;"","LAMG ("&amp;X126&amp;")",""),IF(Y126&lt;&gt;"","úlcera de córnea com "&amp;Y126,""))&lt;&gt;"","Em uso de profilaxia: "&amp;TEXTJOIN(", ",TRUE,IF(W126&lt;&gt;"","TEV ("&amp;W126&amp;")",""),IF(X126&lt;&gt;"","LAMG ("&amp;X126&amp;")",""),IF(Y126&lt;&gt;"","úlcera de córnea com "&amp;Y126,""))&amp;".",""))&amp;CHAR(10)&amp;CHAR(10)&amp;"2. Farmacoterapia"&amp;CHAR(10)&amp;IF(Z126&lt;&gt;"","Corticoide/DART: "&amp;Z126,"Sem corticoide/DART registrado.")&amp;CHAR(10)&amp;CHAR(10)&amp;"3. Conduta Farmacêutica"&amp;CHAR(10)&amp;IF(TEXTJOIN(CHAR(10),TRUE,AB126,AC126,AD126)="","Nenhuma intervenção registrada hoje.",TEXTJOIN(CHAR(10),TRUE,AB126,AC126,AD126))&amp;CHAR(10)&amp;CHAR(10)&amp;"4. Plano Terapêutico"&amp;CHAR(10)&amp;IF(AA126&lt;&gt;"",AA126,"Não definido.")</f>
      </c>
    </row>
    <row r="127" spans="1:32" x14ac:dyDescent="0.25">
      <c r="A127" s="4"/>
      <c r="B127" s="6">
        <f>IFERROR(INDEX(Pacientes!$A:$A,MATCH($A127,Pacientes!$B:$B,0)),"")</f>
      </c>
      <c r="C127" s="6">
        <f>IFERROR(INDEX(Pacientes!$C:$C,MATCH($A127,Pacientes!$B:$B,0)),"")</f>
      </c>
      <c r="D127" s="6">
        <f>IFERROR(INDEX(Pacientes!$D:$D,MATCH($A127,Pacientes!$B:$B,0)),"")</f>
      </c>
      <c r="E127" s="6">
        <f>IFERROR(INDEX(Pacientes!$E:$E,MATCH($A127,Pacientes!$B:$B,0)),"")</f>
      </c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>
        <f>IFERROR(INDEX(Intervenções!$K$2:$K$300,AGGREGATE(15,6,(ROW(Intervenções!$K$2:$K$300)-ROW(Intervenções!$K$2)+1)/((Intervenções!$B$2:$B$300=A127)*(Intervenções!$A$2:$A$300=F127)*(Intervenções!$K$2:$K$300&lt;&gt;"")),1)),"")</f>
      </c>
      <c r="AC127" s="4">
        <f>IFERROR(INDEX(Intervenções!$K$2:$K$300,AGGREGATE(15,6,(ROW(Intervenções!$K$2:$K$300)-ROW(Intervenções!$K$2)+1)/((Intervenções!$B$2:$B$300=A127)*(Intervenções!$A$2:$A$300=F127)*(Intervenções!$K$2:$K$300&lt;&gt;"")),2)),"")</f>
      </c>
      <c r="AD127" s="4">
        <f>IFERROR(INDEX(Intervenções!$K$2:$K$300,AGGREGATE(15,6,(ROW(Intervenções!$K$2:$K$300)-ROW(Intervenções!$K$2)+1)/((Intervenções!$B$2:$B$300=A127)*(Intervenções!$A$2:$A$300=F127)*(Intervenções!$K$2:$K$300&lt;&gt;"")),3)),"")</f>
      </c>
      <c r="AE127" s="4">
        <f>"RECONCILIAÇÃO MEDICAMENTOSA"&amp;CHAR(10)&amp;IF(G127&lt;&gt;"","Medicamentos de uso prévio: "&amp;G127&amp;".","Sem medicamentos de uso prévio relatados.")&amp;CHAR(10)&amp;IF(H127&lt;&gt;"","Histórico de alergia/RAM: "&amp;H127&amp;".","Nega alergias/RAM conhecidas.")</f>
      </c>
      <c r="AF127" s="4">
        <f>AE127&amp;CHAR(10)&amp;CHAR(10)&amp;"1. Evolução Clínica"&amp;CHAR(10)&amp;TEXTJOIN(" ",TRUE,"Paciente "&amp;I127&amp;", "&amp;IF(J127="","sem DVA","em uso de "&amp;J127)&amp;".",IF(K127&lt;&gt;"","Em "&amp;K127&amp;IF(L127&lt;&gt;""," ("&amp;L127&amp;")","")&amp;IF(M127&lt;&gt;"", ", "&amp;M127,"")&amp;IF(N127&lt;&gt;"", ", sob analgosedação com "&amp;N127,"")&amp;".",""),IF(O127&lt;&gt;"",O127&amp;IF(P127&lt;&gt;"", ", com "&amp;LOWER(P127),"")&amp;IF(Q127&lt;&gt;"", " — "&amp;Q127,"")&amp;".",""),IF(R127="Febre","Apresentou episódio febril nas últimas 24h"&amp;IF(S127&lt;&gt;""," ("&amp;S127&amp;")","")&amp;".",IF(R127="Afebril","Encontra-se afebril.","")),IF(T127&lt;&gt;"",IF(U127="Sim","Apresenta disfunção renal aguda ","Função renal preservada ")&amp;"("&amp;T127&amp;").",""),IF(V127&lt;&gt;"","Em uso do esquema antimicrobiano com "&amp;V127&amp;".",""),IF(TEXTJOIN(", ",TRUE,IF(W127&lt;&gt;"","TEV ("&amp;W127&amp;")",""),IF(X127&lt;&gt;"","LAMG ("&amp;X127&amp;")",""),IF(Y127&lt;&gt;"","úlcera de córnea com "&amp;Y127,""))&lt;&gt;"","Em uso de profilaxia: "&amp;TEXTJOIN(", ",TRUE,IF(W127&lt;&gt;"","TEV ("&amp;W127&amp;")",""),IF(X127&lt;&gt;"","LAMG ("&amp;X127&amp;")",""),IF(Y127&lt;&gt;"","úlcera de córnea com "&amp;Y127,""))&amp;".",""))&amp;CHAR(10)&amp;CHAR(10)&amp;"2. Farmacoterapia"&amp;CHAR(10)&amp;IF(Z127&lt;&gt;"","Corticoide/DART: "&amp;Z127,"Sem corticoide/DART registrado.")&amp;CHAR(10)&amp;CHAR(10)&amp;"3. Conduta Farmacêutica"&amp;CHAR(10)&amp;IF(TEXTJOIN(CHAR(10),TRUE,AB127,AC127,AD127)="","Nenhuma intervenção registrada hoje.",TEXTJOIN(CHAR(10),TRUE,AB127,AC127,AD127))&amp;CHAR(10)&amp;CHAR(10)&amp;"4. Plano Terapêutico"&amp;CHAR(10)&amp;IF(AA127&lt;&gt;"",AA127,"Não definido.")</f>
      </c>
    </row>
    <row r="128" spans="1:32" x14ac:dyDescent="0.25">
      <c r="A128" s="4"/>
      <c r="B128" s="6">
        <f>IFERROR(INDEX(Pacientes!$A:$A,MATCH($A128,Pacientes!$B:$B,0)),"")</f>
      </c>
      <c r="C128" s="6">
        <f>IFERROR(INDEX(Pacientes!$C:$C,MATCH($A128,Pacientes!$B:$B,0)),"")</f>
      </c>
      <c r="D128" s="6">
        <f>IFERROR(INDEX(Pacientes!$D:$D,MATCH($A128,Pacientes!$B:$B,0)),"")</f>
      </c>
      <c r="E128" s="6">
        <f>IFERROR(INDEX(Pacientes!$E:$E,MATCH($A128,Pacientes!$B:$B,0)),"")</f>
      </c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>
        <f>IFERROR(INDEX(Intervenções!$K$2:$K$300,AGGREGATE(15,6,(ROW(Intervenções!$K$2:$K$300)-ROW(Intervenções!$K$2)+1)/((Intervenções!$B$2:$B$300=A128)*(Intervenções!$A$2:$A$300=F128)*(Intervenções!$K$2:$K$300&lt;&gt;"")),1)),"")</f>
      </c>
      <c r="AC128" s="4">
        <f>IFERROR(INDEX(Intervenções!$K$2:$K$300,AGGREGATE(15,6,(ROW(Intervenções!$K$2:$K$300)-ROW(Intervenções!$K$2)+1)/((Intervenções!$B$2:$B$300=A128)*(Intervenções!$A$2:$A$300=F128)*(Intervenções!$K$2:$K$300&lt;&gt;"")),2)),"")</f>
      </c>
      <c r="AD128" s="4">
        <f>IFERROR(INDEX(Intervenções!$K$2:$K$300,AGGREGATE(15,6,(ROW(Intervenções!$K$2:$K$300)-ROW(Intervenções!$K$2)+1)/((Intervenções!$B$2:$B$300=A128)*(Intervenções!$A$2:$A$300=F128)*(Intervenções!$K$2:$K$300&lt;&gt;"")),3)),"")</f>
      </c>
      <c r="AE128" s="4">
        <f>"RECONCILIAÇÃO MEDICAMENTOSA"&amp;CHAR(10)&amp;IF(G128&lt;&gt;"","Medicamentos de uso prévio: "&amp;G128&amp;".","Sem medicamentos de uso prévio relatados.")&amp;CHAR(10)&amp;IF(H128&lt;&gt;"","Histórico de alergia/RAM: "&amp;H128&amp;".","Nega alergias/RAM conhecidas.")</f>
      </c>
      <c r="AF128" s="4">
        <f>AE128&amp;CHAR(10)&amp;CHAR(10)&amp;"1. Evolução Clínica"&amp;CHAR(10)&amp;TEXTJOIN(" ",TRUE,"Paciente "&amp;I128&amp;", "&amp;IF(J128="","sem DVA","em uso de "&amp;J128)&amp;".",IF(K128&lt;&gt;"","Em "&amp;K128&amp;IF(L128&lt;&gt;""," ("&amp;L128&amp;")","")&amp;IF(M128&lt;&gt;"", ", "&amp;M128,"")&amp;IF(N128&lt;&gt;"", ", sob analgosedação com "&amp;N128,"")&amp;".",""),IF(O128&lt;&gt;"",O128&amp;IF(P128&lt;&gt;"", ", com "&amp;LOWER(P128),"")&amp;IF(Q128&lt;&gt;"", " — "&amp;Q128,"")&amp;".",""),IF(R128="Febre","Apresentou episódio febril nas últimas 24h"&amp;IF(S128&lt;&gt;""," ("&amp;S128&amp;")","")&amp;".",IF(R128="Afebril","Encontra-se afebril.","")),IF(T128&lt;&gt;"",IF(U128="Sim","Apresenta disfunção renal aguda ","Função renal preservada ")&amp;"("&amp;T128&amp;").",""),IF(V128&lt;&gt;"","Em uso do esquema antimicrobiano com "&amp;V128&amp;".",""),IF(TEXTJOIN(", ",TRUE,IF(W128&lt;&gt;"","TEV ("&amp;W128&amp;")",""),IF(X128&lt;&gt;"","LAMG ("&amp;X128&amp;")",""),IF(Y128&lt;&gt;"","úlcera de córnea com "&amp;Y128,""))&lt;&gt;"","Em uso de profilaxia: "&amp;TEXTJOIN(", ",TRUE,IF(W128&lt;&gt;"","TEV ("&amp;W128&amp;")",""),IF(X128&lt;&gt;"","LAMG ("&amp;X128&amp;")",""),IF(Y128&lt;&gt;"","úlcera de córnea com "&amp;Y128,""))&amp;".",""))&amp;CHAR(10)&amp;CHAR(10)&amp;"2. Farmacoterapia"&amp;CHAR(10)&amp;IF(Z128&lt;&gt;"","Corticoide/DART: "&amp;Z128,"Sem corticoide/DART registrado.")&amp;CHAR(10)&amp;CHAR(10)&amp;"3. Conduta Farmacêutica"&amp;CHAR(10)&amp;IF(TEXTJOIN(CHAR(10),TRUE,AB128,AC128,AD128)="","Nenhuma intervenção registrada hoje.",TEXTJOIN(CHAR(10),TRUE,AB128,AC128,AD128))&amp;CHAR(10)&amp;CHAR(10)&amp;"4. Plano Terapêutico"&amp;CHAR(10)&amp;IF(AA128&lt;&gt;"",AA128,"Não definido.")</f>
      </c>
    </row>
    <row r="129" spans="1:32" x14ac:dyDescent="0.25">
      <c r="A129" s="4"/>
      <c r="B129" s="6">
        <f>IFERROR(INDEX(Pacientes!$A:$A,MATCH($A129,Pacientes!$B:$B,0)),"")</f>
      </c>
      <c r="C129" s="6">
        <f>IFERROR(INDEX(Pacientes!$C:$C,MATCH($A129,Pacientes!$B:$B,0)),"")</f>
      </c>
      <c r="D129" s="6">
        <f>IFERROR(INDEX(Pacientes!$D:$D,MATCH($A129,Pacientes!$B:$B,0)),"")</f>
      </c>
      <c r="E129" s="6">
        <f>IFERROR(INDEX(Pacientes!$E:$E,MATCH($A129,Pacientes!$B:$B,0)),"")</f>
      </c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>
        <f>IFERROR(INDEX(Intervenções!$K$2:$K$300,AGGREGATE(15,6,(ROW(Intervenções!$K$2:$K$300)-ROW(Intervenções!$K$2)+1)/((Intervenções!$B$2:$B$300=A129)*(Intervenções!$A$2:$A$300=F129)*(Intervenções!$K$2:$K$300&lt;&gt;"")),1)),"")</f>
      </c>
      <c r="AC129" s="4">
        <f>IFERROR(INDEX(Intervenções!$K$2:$K$300,AGGREGATE(15,6,(ROW(Intervenções!$K$2:$K$300)-ROW(Intervenções!$K$2)+1)/((Intervenções!$B$2:$B$300=A129)*(Intervenções!$A$2:$A$300=F129)*(Intervenções!$K$2:$K$300&lt;&gt;"")),2)),"")</f>
      </c>
      <c r="AD129" s="4">
        <f>IFERROR(INDEX(Intervenções!$K$2:$K$300,AGGREGATE(15,6,(ROW(Intervenções!$K$2:$K$300)-ROW(Intervenções!$K$2)+1)/((Intervenções!$B$2:$B$300=A129)*(Intervenções!$A$2:$A$300=F129)*(Intervenções!$K$2:$K$300&lt;&gt;"")),3)),"")</f>
      </c>
      <c r="AE129" s="4">
        <f>"RECONCILIAÇÃO MEDICAMENTOSA"&amp;CHAR(10)&amp;IF(G129&lt;&gt;"","Medicamentos de uso prévio: "&amp;G129&amp;".","Sem medicamentos de uso prévio relatados.")&amp;CHAR(10)&amp;IF(H129&lt;&gt;"","Histórico de alergia/RAM: "&amp;H129&amp;".","Nega alergias/RAM conhecidas.")</f>
      </c>
      <c r="AF129" s="4">
        <f>AE129&amp;CHAR(10)&amp;CHAR(10)&amp;"1. Evolução Clínica"&amp;CHAR(10)&amp;TEXTJOIN(" ",TRUE,"Paciente "&amp;I129&amp;", "&amp;IF(J129="","sem DVA","em uso de "&amp;J129)&amp;".",IF(K129&lt;&gt;"","Em "&amp;K129&amp;IF(L129&lt;&gt;""," ("&amp;L129&amp;")","")&amp;IF(M129&lt;&gt;"", ", "&amp;M129,"")&amp;IF(N129&lt;&gt;"", ", sob analgosedação com "&amp;N129,"")&amp;".",""),IF(O129&lt;&gt;"",O129&amp;IF(P129&lt;&gt;"", ", com "&amp;LOWER(P129),"")&amp;IF(Q129&lt;&gt;"", " — "&amp;Q129,"")&amp;".",""),IF(R129="Febre","Apresentou episódio febril nas últimas 24h"&amp;IF(S129&lt;&gt;""," ("&amp;S129&amp;")","")&amp;".",IF(R129="Afebril","Encontra-se afebril.","")),IF(T129&lt;&gt;"",IF(U129="Sim","Apresenta disfunção renal aguda ","Função renal preservada ")&amp;"("&amp;T129&amp;").",""),IF(V129&lt;&gt;"","Em uso do esquema antimicrobiano com "&amp;V129&amp;".",""),IF(TEXTJOIN(", ",TRUE,IF(W129&lt;&gt;"","TEV ("&amp;W129&amp;")",""),IF(X129&lt;&gt;"","LAMG ("&amp;X129&amp;")",""),IF(Y129&lt;&gt;"","úlcera de córnea com "&amp;Y129,""))&lt;&gt;"","Em uso de profilaxia: "&amp;TEXTJOIN(", ",TRUE,IF(W129&lt;&gt;"","TEV ("&amp;W129&amp;")",""),IF(X129&lt;&gt;"","LAMG ("&amp;X129&amp;")",""),IF(Y129&lt;&gt;"","úlcera de córnea com "&amp;Y129,""))&amp;".",""))&amp;CHAR(10)&amp;CHAR(10)&amp;"2. Farmacoterapia"&amp;CHAR(10)&amp;IF(Z129&lt;&gt;"","Corticoide/DART: "&amp;Z129,"Sem corticoide/DART registrado.")&amp;CHAR(10)&amp;CHAR(10)&amp;"3. Conduta Farmacêutica"&amp;CHAR(10)&amp;IF(TEXTJOIN(CHAR(10),TRUE,AB129,AC129,AD129)="","Nenhuma intervenção registrada hoje.",TEXTJOIN(CHAR(10),TRUE,AB129,AC129,AD129))&amp;CHAR(10)&amp;CHAR(10)&amp;"4. Plano Terapêutico"&amp;CHAR(10)&amp;IF(AA129&lt;&gt;"",AA129,"Não definido.")</f>
      </c>
    </row>
    <row r="130" spans="1:32" x14ac:dyDescent="0.25">
      <c r="A130" s="4"/>
      <c r="B130" s="6">
        <f>IFERROR(INDEX(Pacientes!$A:$A,MATCH($A130,Pacientes!$B:$B,0)),"")</f>
      </c>
      <c r="C130" s="6">
        <f>IFERROR(INDEX(Pacientes!$C:$C,MATCH($A130,Pacientes!$B:$B,0)),"")</f>
      </c>
      <c r="D130" s="6">
        <f>IFERROR(INDEX(Pacientes!$D:$D,MATCH($A130,Pacientes!$B:$B,0)),"")</f>
      </c>
      <c r="E130" s="6">
        <f>IFERROR(INDEX(Pacientes!$E:$E,MATCH($A130,Pacientes!$B:$B,0)),"")</f>
      </c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>
        <f>IFERROR(INDEX(Intervenções!$K$2:$K$300,AGGREGATE(15,6,(ROW(Intervenções!$K$2:$K$300)-ROW(Intervenções!$K$2)+1)/((Intervenções!$B$2:$B$300=A130)*(Intervenções!$A$2:$A$300=F130)*(Intervenções!$K$2:$K$300&lt;&gt;"")),1)),"")</f>
      </c>
      <c r="AC130" s="4">
        <f>IFERROR(INDEX(Intervenções!$K$2:$K$300,AGGREGATE(15,6,(ROW(Intervenções!$K$2:$K$300)-ROW(Intervenções!$K$2)+1)/((Intervenções!$B$2:$B$300=A130)*(Intervenções!$A$2:$A$300=F130)*(Intervenções!$K$2:$K$300&lt;&gt;"")),2)),"")</f>
      </c>
      <c r="AD130" s="4">
        <f>IFERROR(INDEX(Intervenções!$K$2:$K$300,AGGREGATE(15,6,(ROW(Intervenções!$K$2:$K$300)-ROW(Intervenções!$K$2)+1)/((Intervenções!$B$2:$B$300=A130)*(Intervenções!$A$2:$A$300=F130)*(Intervenções!$K$2:$K$300&lt;&gt;"")),3)),"")</f>
      </c>
      <c r="AE130" s="4">
        <f>"RECONCILIAÇÃO MEDICAMENTOSA"&amp;CHAR(10)&amp;IF(G130&lt;&gt;"","Medicamentos de uso prévio: "&amp;G130&amp;".","Sem medicamentos de uso prévio relatados.")&amp;CHAR(10)&amp;IF(H130&lt;&gt;"","Histórico de alergia/RAM: "&amp;H130&amp;".","Nega alergias/RAM conhecidas.")</f>
      </c>
      <c r="AF130" s="4">
        <f>AE130&amp;CHAR(10)&amp;CHAR(10)&amp;"1. Evolução Clínica"&amp;CHAR(10)&amp;TEXTJOIN(" ",TRUE,"Paciente "&amp;I130&amp;", "&amp;IF(J130="","sem DVA","em uso de "&amp;J130)&amp;".",IF(K130&lt;&gt;"","Em "&amp;K130&amp;IF(L130&lt;&gt;""," ("&amp;L130&amp;")","")&amp;IF(M130&lt;&gt;"", ", "&amp;M130,"")&amp;IF(N130&lt;&gt;"", ", sob analgosedação com "&amp;N130,"")&amp;".",""),IF(O130&lt;&gt;"",O130&amp;IF(P130&lt;&gt;"", ", com "&amp;LOWER(P130),"")&amp;IF(Q130&lt;&gt;"", " — "&amp;Q130,"")&amp;".",""),IF(R130="Febre","Apresentou episódio febril nas últimas 24h"&amp;IF(S130&lt;&gt;""," ("&amp;S130&amp;")","")&amp;".",IF(R130="Afebril","Encontra-se afebril.","")),IF(T130&lt;&gt;"",IF(U130="Sim","Apresenta disfunção renal aguda ","Função renal preservada ")&amp;"("&amp;T130&amp;").",""),IF(V130&lt;&gt;"","Em uso do esquema antimicrobiano com "&amp;V130&amp;".",""),IF(TEXTJOIN(", ",TRUE,IF(W130&lt;&gt;"","TEV ("&amp;W130&amp;")",""),IF(X130&lt;&gt;"","LAMG ("&amp;X130&amp;")",""),IF(Y130&lt;&gt;"","úlcera de córnea com "&amp;Y130,""))&lt;&gt;"","Em uso de profilaxia: "&amp;TEXTJOIN(", ",TRUE,IF(W130&lt;&gt;"","TEV ("&amp;W130&amp;")",""),IF(X130&lt;&gt;"","LAMG ("&amp;X130&amp;")",""),IF(Y130&lt;&gt;"","úlcera de córnea com "&amp;Y130,""))&amp;".",""))&amp;CHAR(10)&amp;CHAR(10)&amp;"2. Farmacoterapia"&amp;CHAR(10)&amp;IF(Z130&lt;&gt;"","Corticoide/DART: "&amp;Z130,"Sem corticoide/DART registrado.")&amp;CHAR(10)&amp;CHAR(10)&amp;"3. Conduta Farmacêutica"&amp;CHAR(10)&amp;IF(TEXTJOIN(CHAR(10),TRUE,AB130,AC130,AD130)="","Nenhuma intervenção registrada hoje.",TEXTJOIN(CHAR(10),TRUE,AB130,AC130,AD130))&amp;CHAR(10)&amp;CHAR(10)&amp;"4. Plano Terapêutico"&amp;CHAR(10)&amp;IF(AA130&lt;&gt;"",AA130,"Não definido.")</f>
      </c>
    </row>
    <row r="131" spans="1:32" x14ac:dyDescent="0.25">
      <c r="A131" s="4"/>
      <c r="B131" s="6">
        <f>IFERROR(INDEX(Pacientes!$A:$A,MATCH($A131,Pacientes!$B:$B,0)),"")</f>
      </c>
      <c r="C131" s="6">
        <f>IFERROR(INDEX(Pacientes!$C:$C,MATCH($A131,Pacientes!$B:$B,0)),"")</f>
      </c>
      <c r="D131" s="6">
        <f>IFERROR(INDEX(Pacientes!$D:$D,MATCH($A131,Pacientes!$B:$B,0)),"")</f>
      </c>
      <c r="E131" s="6">
        <f>IFERROR(INDEX(Pacientes!$E:$E,MATCH($A131,Pacientes!$B:$B,0)),"")</f>
      </c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>
        <f>IFERROR(INDEX(Intervenções!$K$2:$K$300,AGGREGATE(15,6,(ROW(Intervenções!$K$2:$K$300)-ROW(Intervenções!$K$2)+1)/((Intervenções!$B$2:$B$300=A131)*(Intervenções!$A$2:$A$300=F131)*(Intervenções!$K$2:$K$300&lt;&gt;"")),1)),"")</f>
      </c>
      <c r="AC131" s="4">
        <f>IFERROR(INDEX(Intervenções!$K$2:$K$300,AGGREGATE(15,6,(ROW(Intervenções!$K$2:$K$300)-ROW(Intervenções!$K$2)+1)/((Intervenções!$B$2:$B$300=A131)*(Intervenções!$A$2:$A$300=F131)*(Intervenções!$K$2:$K$300&lt;&gt;"")),2)),"")</f>
      </c>
      <c r="AD131" s="4">
        <f>IFERROR(INDEX(Intervenções!$K$2:$K$300,AGGREGATE(15,6,(ROW(Intervenções!$K$2:$K$300)-ROW(Intervenções!$K$2)+1)/((Intervenções!$B$2:$B$300=A131)*(Intervenções!$A$2:$A$300=F131)*(Intervenções!$K$2:$K$300&lt;&gt;"")),3)),"")</f>
      </c>
      <c r="AE131" s="4">
        <f>"RECONCILIAÇÃO MEDICAMENTOSA"&amp;CHAR(10)&amp;IF(G131&lt;&gt;"","Medicamentos de uso prévio: "&amp;G131&amp;".","Sem medicamentos de uso prévio relatados.")&amp;CHAR(10)&amp;IF(H131&lt;&gt;"","Histórico de alergia/RAM: "&amp;H131&amp;".","Nega alergias/RAM conhecidas.")</f>
      </c>
      <c r="AF131" s="4">
        <f>AE131&amp;CHAR(10)&amp;CHAR(10)&amp;"1. Evolução Clínica"&amp;CHAR(10)&amp;TEXTJOIN(" ",TRUE,"Paciente "&amp;I131&amp;", "&amp;IF(J131="","sem DVA","em uso de "&amp;J131)&amp;".",IF(K131&lt;&gt;"","Em "&amp;K131&amp;IF(L131&lt;&gt;""," ("&amp;L131&amp;")","")&amp;IF(M131&lt;&gt;"", ", "&amp;M131,"")&amp;IF(N131&lt;&gt;"", ", sob analgosedação com "&amp;N131,"")&amp;".",""),IF(O131&lt;&gt;"",O131&amp;IF(P131&lt;&gt;"", ", com "&amp;LOWER(P131),"")&amp;IF(Q131&lt;&gt;"", " — "&amp;Q131,"")&amp;".",""),IF(R131="Febre","Apresentou episódio febril nas últimas 24h"&amp;IF(S131&lt;&gt;""," ("&amp;S131&amp;")","")&amp;".",IF(R131="Afebril","Encontra-se afebril.","")),IF(T131&lt;&gt;"",IF(U131="Sim","Apresenta disfunção renal aguda ","Função renal preservada ")&amp;"("&amp;T131&amp;").",""),IF(V131&lt;&gt;"","Em uso do esquema antimicrobiano com "&amp;V131&amp;".",""),IF(TEXTJOIN(", ",TRUE,IF(W131&lt;&gt;"","TEV ("&amp;W131&amp;")",""),IF(X131&lt;&gt;"","LAMG ("&amp;X131&amp;")",""),IF(Y131&lt;&gt;"","úlcera de córnea com "&amp;Y131,""))&lt;&gt;"","Em uso de profilaxia: "&amp;TEXTJOIN(", ",TRUE,IF(W131&lt;&gt;"","TEV ("&amp;W131&amp;")",""),IF(X131&lt;&gt;"","LAMG ("&amp;X131&amp;")",""),IF(Y131&lt;&gt;"","úlcera de córnea com "&amp;Y131,""))&amp;".",""))&amp;CHAR(10)&amp;CHAR(10)&amp;"2. Farmacoterapia"&amp;CHAR(10)&amp;IF(Z131&lt;&gt;"","Corticoide/DART: "&amp;Z131,"Sem corticoide/DART registrado.")&amp;CHAR(10)&amp;CHAR(10)&amp;"3. Conduta Farmacêutica"&amp;CHAR(10)&amp;IF(TEXTJOIN(CHAR(10),TRUE,AB131,AC131,AD131)="","Nenhuma intervenção registrada hoje.",TEXTJOIN(CHAR(10),TRUE,AB131,AC131,AD131))&amp;CHAR(10)&amp;CHAR(10)&amp;"4. Plano Terapêutico"&amp;CHAR(10)&amp;IF(AA131&lt;&gt;"",AA131,"Não definido.")</f>
      </c>
    </row>
    <row r="132" spans="1:32" x14ac:dyDescent="0.25">
      <c r="A132" s="4"/>
      <c r="B132" s="6">
        <f>IFERROR(INDEX(Pacientes!$A:$A,MATCH($A132,Pacientes!$B:$B,0)),"")</f>
      </c>
      <c r="C132" s="6">
        <f>IFERROR(INDEX(Pacientes!$C:$C,MATCH($A132,Pacientes!$B:$B,0)),"")</f>
      </c>
      <c r="D132" s="6">
        <f>IFERROR(INDEX(Pacientes!$D:$D,MATCH($A132,Pacientes!$B:$B,0)),"")</f>
      </c>
      <c r="E132" s="6">
        <f>IFERROR(INDEX(Pacientes!$E:$E,MATCH($A132,Pacientes!$B:$B,0)),"")</f>
      </c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>
        <f>IFERROR(INDEX(Intervenções!$K$2:$K$300,AGGREGATE(15,6,(ROW(Intervenções!$K$2:$K$300)-ROW(Intervenções!$K$2)+1)/((Intervenções!$B$2:$B$300=A132)*(Intervenções!$A$2:$A$300=F132)*(Intervenções!$K$2:$K$300&lt;&gt;"")),1)),"")</f>
      </c>
      <c r="AC132" s="4">
        <f>IFERROR(INDEX(Intervenções!$K$2:$K$300,AGGREGATE(15,6,(ROW(Intervenções!$K$2:$K$300)-ROW(Intervenções!$K$2)+1)/((Intervenções!$B$2:$B$300=A132)*(Intervenções!$A$2:$A$300=F132)*(Intervenções!$K$2:$K$300&lt;&gt;"")),2)),"")</f>
      </c>
      <c r="AD132" s="4">
        <f>IFERROR(INDEX(Intervenções!$K$2:$K$300,AGGREGATE(15,6,(ROW(Intervenções!$K$2:$K$300)-ROW(Intervenções!$K$2)+1)/((Intervenções!$B$2:$B$300=A132)*(Intervenções!$A$2:$A$300=F132)*(Intervenções!$K$2:$K$300&lt;&gt;"")),3)),"")</f>
      </c>
      <c r="AE132" s="4">
        <f>"RECONCILIAÇÃO MEDICAMENTOSA"&amp;CHAR(10)&amp;IF(G132&lt;&gt;"","Medicamentos de uso prévio: "&amp;G132&amp;".","Sem medicamentos de uso prévio relatados.")&amp;CHAR(10)&amp;IF(H132&lt;&gt;"","Histórico de alergia/RAM: "&amp;H132&amp;".","Nega alergias/RAM conhecidas.")</f>
      </c>
      <c r="AF132" s="4">
        <f>AE132&amp;CHAR(10)&amp;CHAR(10)&amp;"1. Evolução Clínica"&amp;CHAR(10)&amp;TEXTJOIN(" ",TRUE,"Paciente "&amp;I132&amp;", "&amp;IF(J132="","sem DVA","em uso de "&amp;J132)&amp;".",IF(K132&lt;&gt;"","Em "&amp;K132&amp;IF(L132&lt;&gt;""," ("&amp;L132&amp;")","")&amp;IF(M132&lt;&gt;"", ", "&amp;M132,"")&amp;IF(N132&lt;&gt;"", ", sob analgosedação com "&amp;N132,"")&amp;".",""),IF(O132&lt;&gt;"",O132&amp;IF(P132&lt;&gt;"", ", com "&amp;LOWER(P132),"")&amp;IF(Q132&lt;&gt;"", " — "&amp;Q132,"")&amp;".",""),IF(R132="Febre","Apresentou episódio febril nas últimas 24h"&amp;IF(S132&lt;&gt;""," ("&amp;S132&amp;")","")&amp;".",IF(R132="Afebril","Encontra-se afebril.","")),IF(T132&lt;&gt;"",IF(U132="Sim","Apresenta disfunção renal aguda ","Função renal preservada ")&amp;"("&amp;T132&amp;").",""),IF(V132&lt;&gt;"","Em uso do esquema antimicrobiano com "&amp;V132&amp;".",""),IF(TEXTJOIN(", ",TRUE,IF(W132&lt;&gt;"","TEV ("&amp;W132&amp;")",""),IF(X132&lt;&gt;"","LAMG ("&amp;X132&amp;")",""),IF(Y132&lt;&gt;"","úlcera de córnea com "&amp;Y132,""))&lt;&gt;"","Em uso de profilaxia: "&amp;TEXTJOIN(", ",TRUE,IF(W132&lt;&gt;"","TEV ("&amp;W132&amp;")",""),IF(X132&lt;&gt;"","LAMG ("&amp;X132&amp;")",""),IF(Y132&lt;&gt;"","úlcera de córnea com "&amp;Y132,""))&amp;".",""))&amp;CHAR(10)&amp;CHAR(10)&amp;"2. Farmacoterapia"&amp;CHAR(10)&amp;IF(Z132&lt;&gt;"","Corticoide/DART: "&amp;Z132,"Sem corticoide/DART registrado.")&amp;CHAR(10)&amp;CHAR(10)&amp;"3. Conduta Farmacêutica"&amp;CHAR(10)&amp;IF(TEXTJOIN(CHAR(10),TRUE,AB132,AC132,AD132)="","Nenhuma intervenção registrada hoje.",TEXTJOIN(CHAR(10),TRUE,AB132,AC132,AD132))&amp;CHAR(10)&amp;CHAR(10)&amp;"4. Plano Terapêutico"&amp;CHAR(10)&amp;IF(AA132&lt;&gt;"",AA132,"Não definido.")</f>
      </c>
    </row>
    <row r="133" spans="1:32" x14ac:dyDescent="0.25">
      <c r="A133" s="4"/>
      <c r="B133" s="6">
        <f>IFERROR(INDEX(Pacientes!$A:$A,MATCH($A133,Pacientes!$B:$B,0)),"")</f>
      </c>
      <c r="C133" s="6">
        <f>IFERROR(INDEX(Pacientes!$C:$C,MATCH($A133,Pacientes!$B:$B,0)),"")</f>
      </c>
      <c r="D133" s="6">
        <f>IFERROR(INDEX(Pacientes!$D:$D,MATCH($A133,Pacientes!$B:$B,0)),"")</f>
      </c>
      <c r="E133" s="6">
        <f>IFERROR(INDEX(Pacientes!$E:$E,MATCH($A133,Pacientes!$B:$B,0)),"")</f>
      </c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>
        <f>IFERROR(INDEX(Intervenções!$K$2:$K$300,AGGREGATE(15,6,(ROW(Intervenções!$K$2:$K$300)-ROW(Intervenções!$K$2)+1)/((Intervenções!$B$2:$B$300=A133)*(Intervenções!$A$2:$A$300=F133)*(Intervenções!$K$2:$K$300&lt;&gt;"")),1)),"")</f>
      </c>
      <c r="AC133" s="4">
        <f>IFERROR(INDEX(Intervenções!$K$2:$K$300,AGGREGATE(15,6,(ROW(Intervenções!$K$2:$K$300)-ROW(Intervenções!$K$2)+1)/((Intervenções!$B$2:$B$300=A133)*(Intervenções!$A$2:$A$300=F133)*(Intervenções!$K$2:$K$300&lt;&gt;"")),2)),"")</f>
      </c>
      <c r="AD133" s="4">
        <f>IFERROR(INDEX(Intervenções!$K$2:$K$300,AGGREGATE(15,6,(ROW(Intervenções!$K$2:$K$300)-ROW(Intervenções!$K$2)+1)/((Intervenções!$B$2:$B$300=A133)*(Intervenções!$A$2:$A$300=F133)*(Intervenções!$K$2:$K$300&lt;&gt;"")),3)),"")</f>
      </c>
      <c r="AE133" s="4">
        <f>"RECONCILIAÇÃO MEDICAMENTOSA"&amp;CHAR(10)&amp;IF(G133&lt;&gt;"","Medicamentos de uso prévio: "&amp;G133&amp;".","Sem medicamentos de uso prévio relatados.")&amp;CHAR(10)&amp;IF(H133&lt;&gt;"","Histórico de alergia/RAM: "&amp;H133&amp;".","Nega alergias/RAM conhecidas.")</f>
      </c>
      <c r="AF133" s="4">
        <f>AE133&amp;CHAR(10)&amp;CHAR(10)&amp;"1. Evolução Clínica"&amp;CHAR(10)&amp;TEXTJOIN(" ",TRUE,"Paciente "&amp;I133&amp;", "&amp;IF(J133="","sem DVA","em uso de "&amp;J133)&amp;".",IF(K133&lt;&gt;"","Em "&amp;K133&amp;IF(L133&lt;&gt;""," ("&amp;L133&amp;")","")&amp;IF(M133&lt;&gt;"", ", "&amp;M133,"")&amp;IF(N133&lt;&gt;"", ", sob analgosedação com "&amp;N133,"")&amp;".",""),IF(O133&lt;&gt;"",O133&amp;IF(P133&lt;&gt;"", ", com "&amp;LOWER(P133),"")&amp;IF(Q133&lt;&gt;"", " — "&amp;Q133,"")&amp;".",""),IF(R133="Febre","Apresentou episódio febril nas últimas 24h"&amp;IF(S133&lt;&gt;""," ("&amp;S133&amp;")","")&amp;".",IF(R133="Afebril","Encontra-se afebril.","")),IF(T133&lt;&gt;"",IF(U133="Sim","Apresenta disfunção renal aguda ","Função renal preservada ")&amp;"("&amp;T133&amp;").",""),IF(V133&lt;&gt;"","Em uso do esquema antimicrobiano com "&amp;V133&amp;".",""),IF(TEXTJOIN(", ",TRUE,IF(W133&lt;&gt;"","TEV ("&amp;W133&amp;")",""),IF(X133&lt;&gt;"","LAMG ("&amp;X133&amp;")",""),IF(Y133&lt;&gt;"","úlcera de córnea com "&amp;Y133,""))&lt;&gt;"","Em uso de profilaxia: "&amp;TEXTJOIN(", ",TRUE,IF(W133&lt;&gt;"","TEV ("&amp;W133&amp;")",""),IF(X133&lt;&gt;"","LAMG ("&amp;X133&amp;")",""),IF(Y133&lt;&gt;"","úlcera de córnea com "&amp;Y133,""))&amp;".",""))&amp;CHAR(10)&amp;CHAR(10)&amp;"2. Farmacoterapia"&amp;CHAR(10)&amp;IF(Z133&lt;&gt;"","Corticoide/DART: "&amp;Z133,"Sem corticoide/DART registrado.")&amp;CHAR(10)&amp;CHAR(10)&amp;"3. Conduta Farmacêutica"&amp;CHAR(10)&amp;IF(TEXTJOIN(CHAR(10),TRUE,AB133,AC133,AD133)="","Nenhuma intervenção registrada hoje.",TEXTJOIN(CHAR(10),TRUE,AB133,AC133,AD133))&amp;CHAR(10)&amp;CHAR(10)&amp;"4. Plano Terapêutico"&amp;CHAR(10)&amp;IF(AA133&lt;&gt;"",AA133,"Não definido.")</f>
      </c>
    </row>
    <row r="134" spans="1:32" x14ac:dyDescent="0.25">
      <c r="A134" s="4"/>
      <c r="B134" s="6">
        <f>IFERROR(INDEX(Pacientes!$A:$A,MATCH($A134,Pacientes!$B:$B,0)),"")</f>
      </c>
      <c r="C134" s="6">
        <f>IFERROR(INDEX(Pacientes!$C:$C,MATCH($A134,Pacientes!$B:$B,0)),"")</f>
      </c>
      <c r="D134" s="6">
        <f>IFERROR(INDEX(Pacientes!$D:$D,MATCH($A134,Pacientes!$B:$B,0)),"")</f>
      </c>
      <c r="E134" s="6">
        <f>IFERROR(INDEX(Pacientes!$E:$E,MATCH($A134,Pacientes!$B:$B,0)),"")</f>
      </c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>
        <f>IFERROR(INDEX(Intervenções!$K$2:$K$300,AGGREGATE(15,6,(ROW(Intervenções!$K$2:$K$300)-ROW(Intervenções!$K$2)+1)/((Intervenções!$B$2:$B$300=A134)*(Intervenções!$A$2:$A$300=F134)*(Intervenções!$K$2:$K$300&lt;&gt;"")),1)),"")</f>
      </c>
      <c r="AC134" s="4">
        <f>IFERROR(INDEX(Intervenções!$K$2:$K$300,AGGREGATE(15,6,(ROW(Intervenções!$K$2:$K$300)-ROW(Intervenções!$K$2)+1)/((Intervenções!$B$2:$B$300=A134)*(Intervenções!$A$2:$A$300=F134)*(Intervenções!$K$2:$K$300&lt;&gt;"")),2)),"")</f>
      </c>
      <c r="AD134" s="4">
        <f>IFERROR(INDEX(Intervenções!$K$2:$K$300,AGGREGATE(15,6,(ROW(Intervenções!$K$2:$K$300)-ROW(Intervenções!$K$2)+1)/((Intervenções!$B$2:$B$300=A134)*(Intervenções!$A$2:$A$300=F134)*(Intervenções!$K$2:$K$300&lt;&gt;"")),3)),"")</f>
      </c>
      <c r="AE134" s="4">
        <f>"RECONCILIAÇÃO MEDICAMENTOSA"&amp;CHAR(10)&amp;IF(G134&lt;&gt;"","Medicamentos de uso prévio: "&amp;G134&amp;".","Sem medicamentos de uso prévio relatados.")&amp;CHAR(10)&amp;IF(H134&lt;&gt;"","Histórico de alergia/RAM: "&amp;H134&amp;".","Nega alergias/RAM conhecidas.")</f>
      </c>
      <c r="AF134" s="4">
        <f>AE134&amp;CHAR(10)&amp;CHAR(10)&amp;"1. Evolução Clínica"&amp;CHAR(10)&amp;TEXTJOIN(" ",TRUE,"Paciente "&amp;I134&amp;", "&amp;IF(J134="","sem DVA","em uso de "&amp;J134)&amp;".",IF(K134&lt;&gt;"","Em "&amp;K134&amp;IF(L134&lt;&gt;""," ("&amp;L134&amp;")","")&amp;IF(M134&lt;&gt;"", ", "&amp;M134,"")&amp;IF(N134&lt;&gt;"", ", sob analgosedação com "&amp;N134,"")&amp;".",""),IF(O134&lt;&gt;"",O134&amp;IF(P134&lt;&gt;"", ", com "&amp;LOWER(P134),"")&amp;IF(Q134&lt;&gt;"", " — "&amp;Q134,"")&amp;".",""),IF(R134="Febre","Apresentou episódio febril nas últimas 24h"&amp;IF(S134&lt;&gt;""," ("&amp;S134&amp;")","")&amp;".",IF(R134="Afebril","Encontra-se afebril.","")),IF(T134&lt;&gt;"",IF(U134="Sim","Apresenta disfunção renal aguda ","Função renal preservada ")&amp;"("&amp;T134&amp;").",""),IF(V134&lt;&gt;"","Em uso do esquema antimicrobiano com "&amp;V134&amp;".",""),IF(TEXTJOIN(", ",TRUE,IF(W134&lt;&gt;"","TEV ("&amp;W134&amp;")",""),IF(X134&lt;&gt;"","LAMG ("&amp;X134&amp;")",""),IF(Y134&lt;&gt;"","úlcera de córnea com "&amp;Y134,""))&lt;&gt;"","Em uso de profilaxia: "&amp;TEXTJOIN(", ",TRUE,IF(W134&lt;&gt;"","TEV ("&amp;W134&amp;")",""),IF(X134&lt;&gt;"","LAMG ("&amp;X134&amp;")",""),IF(Y134&lt;&gt;"","úlcera de córnea com "&amp;Y134,""))&amp;".",""))&amp;CHAR(10)&amp;CHAR(10)&amp;"2. Farmacoterapia"&amp;CHAR(10)&amp;IF(Z134&lt;&gt;"","Corticoide/DART: "&amp;Z134,"Sem corticoide/DART registrado.")&amp;CHAR(10)&amp;CHAR(10)&amp;"3. Conduta Farmacêutica"&amp;CHAR(10)&amp;IF(TEXTJOIN(CHAR(10),TRUE,AB134,AC134,AD134)="","Nenhuma intervenção registrada hoje.",TEXTJOIN(CHAR(10),TRUE,AB134,AC134,AD134))&amp;CHAR(10)&amp;CHAR(10)&amp;"4. Plano Terapêutico"&amp;CHAR(10)&amp;IF(AA134&lt;&gt;"",AA134,"Não definido.")</f>
      </c>
    </row>
    <row r="135" spans="1:32" x14ac:dyDescent="0.25">
      <c r="A135" s="4"/>
      <c r="B135" s="6">
        <f>IFERROR(INDEX(Pacientes!$A:$A,MATCH($A135,Pacientes!$B:$B,0)),"")</f>
      </c>
      <c r="C135" s="6">
        <f>IFERROR(INDEX(Pacientes!$C:$C,MATCH($A135,Pacientes!$B:$B,0)),"")</f>
      </c>
      <c r="D135" s="6">
        <f>IFERROR(INDEX(Pacientes!$D:$D,MATCH($A135,Pacientes!$B:$B,0)),"")</f>
      </c>
      <c r="E135" s="6">
        <f>IFERROR(INDEX(Pacientes!$E:$E,MATCH($A135,Pacientes!$B:$B,0)),"")</f>
      </c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>
        <f>IFERROR(INDEX(Intervenções!$K$2:$K$300,AGGREGATE(15,6,(ROW(Intervenções!$K$2:$K$300)-ROW(Intervenções!$K$2)+1)/((Intervenções!$B$2:$B$300=A135)*(Intervenções!$A$2:$A$300=F135)*(Intervenções!$K$2:$K$300&lt;&gt;"")),1)),"")</f>
      </c>
      <c r="AC135" s="4">
        <f>IFERROR(INDEX(Intervenções!$K$2:$K$300,AGGREGATE(15,6,(ROW(Intervenções!$K$2:$K$300)-ROW(Intervenções!$K$2)+1)/((Intervenções!$B$2:$B$300=A135)*(Intervenções!$A$2:$A$300=F135)*(Intervenções!$K$2:$K$300&lt;&gt;"")),2)),"")</f>
      </c>
      <c r="AD135" s="4">
        <f>IFERROR(INDEX(Intervenções!$K$2:$K$300,AGGREGATE(15,6,(ROW(Intervenções!$K$2:$K$300)-ROW(Intervenções!$K$2)+1)/((Intervenções!$B$2:$B$300=A135)*(Intervenções!$A$2:$A$300=F135)*(Intervenções!$K$2:$K$300&lt;&gt;"")),3)),"")</f>
      </c>
      <c r="AE135" s="4">
        <f>"RECONCILIAÇÃO MEDICAMENTOSA"&amp;CHAR(10)&amp;IF(G135&lt;&gt;"","Medicamentos de uso prévio: "&amp;G135&amp;".","Sem medicamentos de uso prévio relatados.")&amp;CHAR(10)&amp;IF(H135&lt;&gt;"","Histórico de alergia/RAM: "&amp;H135&amp;".","Nega alergias/RAM conhecidas.")</f>
      </c>
      <c r="AF135" s="4">
        <f>AE135&amp;CHAR(10)&amp;CHAR(10)&amp;"1. Evolução Clínica"&amp;CHAR(10)&amp;TEXTJOIN(" ",TRUE,"Paciente "&amp;I135&amp;", "&amp;IF(J135="","sem DVA","em uso de "&amp;J135)&amp;".",IF(K135&lt;&gt;"","Em "&amp;K135&amp;IF(L135&lt;&gt;""," ("&amp;L135&amp;")","")&amp;IF(M135&lt;&gt;"", ", "&amp;M135,"")&amp;IF(N135&lt;&gt;"", ", sob analgosedação com "&amp;N135,"")&amp;".",""),IF(O135&lt;&gt;"",O135&amp;IF(P135&lt;&gt;"", ", com "&amp;LOWER(P135),"")&amp;IF(Q135&lt;&gt;"", " — "&amp;Q135,"")&amp;".",""),IF(R135="Febre","Apresentou episódio febril nas últimas 24h"&amp;IF(S135&lt;&gt;""," ("&amp;S135&amp;")","")&amp;".",IF(R135="Afebril","Encontra-se afebril.","")),IF(T135&lt;&gt;"",IF(U135="Sim","Apresenta disfunção renal aguda ","Função renal preservada ")&amp;"("&amp;T135&amp;").",""),IF(V135&lt;&gt;"","Em uso do esquema antimicrobiano com "&amp;V135&amp;".",""),IF(TEXTJOIN(", ",TRUE,IF(W135&lt;&gt;"","TEV ("&amp;W135&amp;")",""),IF(X135&lt;&gt;"","LAMG ("&amp;X135&amp;")",""),IF(Y135&lt;&gt;"","úlcera de córnea com "&amp;Y135,""))&lt;&gt;"","Em uso de profilaxia: "&amp;TEXTJOIN(", ",TRUE,IF(W135&lt;&gt;"","TEV ("&amp;W135&amp;")",""),IF(X135&lt;&gt;"","LAMG ("&amp;X135&amp;")",""),IF(Y135&lt;&gt;"","úlcera de córnea com "&amp;Y135,""))&amp;".",""))&amp;CHAR(10)&amp;CHAR(10)&amp;"2. Farmacoterapia"&amp;CHAR(10)&amp;IF(Z135&lt;&gt;"","Corticoide/DART: "&amp;Z135,"Sem corticoide/DART registrado.")&amp;CHAR(10)&amp;CHAR(10)&amp;"3. Conduta Farmacêutica"&amp;CHAR(10)&amp;IF(TEXTJOIN(CHAR(10),TRUE,AB135,AC135,AD135)="","Nenhuma intervenção registrada hoje.",TEXTJOIN(CHAR(10),TRUE,AB135,AC135,AD135))&amp;CHAR(10)&amp;CHAR(10)&amp;"4. Plano Terapêutico"&amp;CHAR(10)&amp;IF(AA135&lt;&gt;"",AA135,"Não definido.")</f>
      </c>
    </row>
    <row r="136" spans="1:32" x14ac:dyDescent="0.25">
      <c r="A136" s="4"/>
      <c r="B136" s="6">
        <f>IFERROR(INDEX(Pacientes!$A:$A,MATCH($A136,Pacientes!$B:$B,0)),"")</f>
      </c>
      <c r="C136" s="6">
        <f>IFERROR(INDEX(Pacientes!$C:$C,MATCH($A136,Pacientes!$B:$B,0)),"")</f>
      </c>
      <c r="D136" s="6">
        <f>IFERROR(INDEX(Pacientes!$D:$D,MATCH($A136,Pacientes!$B:$B,0)),"")</f>
      </c>
      <c r="E136" s="6">
        <f>IFERROR(INDEX(Pacientes!$E:$E,MATCH($A136,Pacientes!$B:$B,0)),"")</f>
      </c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>
        <f>IFERROR(INDEX(Intervenções!$K$2:$K$300,AGGREGATE(15,6,(ROW(Intervenções!$K$2:$K$300)-ROW(Intervenções!$K$2)+1)/((Intervenções!$B$2:$B$300=A136)*(Intervenções!$A$2:$A$300=F136)*(Intervenções!$K$2:$K$300&lt;&gt;"")),1)),"")</f>
      </c>
      <c r="AC136" s="4">
        <f>IFERROR(INDEX(Intervenções!$K$2:$K$300,AGGREGATE(15,6,(ROW(Intervenções!$K$2:$K$300)-ROW(Intervenções!$K$2)+1)/((Intervenções!$B$2:$B$300=A136)*(Intervenções!$A$2:$A$300=F136)*(Intervenções!$K$2:$K$300&lt;&gt;"")),2)),"")</f>
      </c>
      <c r="AD136" s="4">
        <f>IFERROR(INDEX(Intervenções!$K$2:$K$300,AGGREGATE(15,6,(ROW(Intervenções!$K$2:$K$300)-ROW(Intervenções!$K$2)+1)/((Intervenções!$B$2:$B$300=A136)*(Intervenções!$A$2:$A$300=F136)*(Intervenções!$K$2:$K$300&lt;&gt;"")),3)),"")</f>
      </c>
      <c r="AE136" s="4">
        <f>"RECONCILIAÇÃO MEDICAMENTOSA"&amp;CHAR(10)&amp;IF(G136&lt;&gt;"","Medicamentos de uso prévio: "&amp;G136&amp;".","Sem medicamentos de uso prévio relatados.")&amp;CHAR(10)&amp;IF(H136&lt;&gt;"","Histórico de alergia/RAM: "&amp;H136&amp;".","Nega alergias/RAM conhecidas.")</f>
      </c>
      <c r="AF136" s="4">
        <f>AE136&amp;CHAR(10)&amp;CHAR(10)&amp;"1. Evolução Clínica"&amp;CHAR(10)&amp;TEXTJOIN(" ",TRUE,"Paciente "&amp;I136&amp;", "&amp;IF(J136="","sem DVA","em uso de "&amp;J136)&amp;".",IF(K136&lt;&gt;"","Em "&amp;K136&amp;IF(L136&lt;&gt;""," ("&amp;L136&amp;")","")&amp;IF(M136&lt;&gt;"", ", "&amp;M136,"")&amp;IF(N136&lt;&gt;"", ", sob analgosedação com "&amp;N136,"")&amp;".",""),IF(O136&lt;&gt;"",O136&amp;IF(P136&lt;&gt;"", ", com "&amp;LOWER(P136),"")&amp;IF(Q136&lt;&gt;"", " — "&amp;Q136,"")&amp;".",""),IF(R136="Febre","Apresentou episódio febril nas últimas 24h"&amp;IF(S136&lt;&gt;""," ("&amp;S136&amp;")","")&amp;".",IF(R136="Afebril","Encontra-se afebril.","")),IF(T136&lt;&gt;"",IF(U136="Sim","Apresenta disfunção renal aguda ","Função renal preservada ")&amp;"("&amp;T136&amp;").",""),IF(V136&lt;&gt;"","Em uso do esquema antimicrobiano com "&amp;V136&amp;".",""),IF(TEXTJOIN(", ",TRUE,IF(W136&lt;&gt;"","TEV ("&amp;W136&amp;")",""),IF(X136&lt;&gt;"","LAMG ("&amp;X136&amp;")",""),IF(Y136&lt;&gt;"","úlcera de córnea com "&amp;Y136,""))&lt;&gt;"","Em uso de profilaxia: "&amp;TEXTJOIN(", ",TRUE,IF(W136&lt;&gt;"","TEV ("&amp;W136&amp;")",""),IF(X136&lt;&gt;"","LAMG ("&amp;X136&amp;")",""),IF(Y136&lt;&gt;"","úlcera de córnea com "&amp;Y136,""))&amp;".",""))&amp;CHAR(10)&amp;CHAR(10)&amp;"2. Farmacoterapia"&amp;CHAR(10)&amp;IF(Z136&lt;&gt;"","Corticoide/DART: "&amp;Z136,"Sem corticoide/DART registrado.")&amp;CHAR(10)&amp;CHAR(10)&amp;"3. Conduta Farmacêutica"&amp;CHAR(10)&amp;IF(TEXTJOIN(CHAR(10),TRUE,AB136,AC136,AD136)="","Nenhuma intervenção registrada hoje.",TEXTJOIN(CHAR(10),TRUE,AB136,AC136,AD136))&amp;CHAR(10)&amp;CHAR(10)&amp;"4. Plano Terapêutico"&amp;CHAR(10)&amp;IF(AA136&lt;&gt;"",AA136,"Não definido.")</f>
      </c>
    </row>
    <row r="137" spans="1:32" x14ac:dyDescent="0.25">
      <c r="A137" s="4"/>
      <c r="B137" s="6">
        <f>IFERROR(INDEX(Pacientes!$A:$A,MATCH($A137,Pacientes!$B:$B,0)),"")</f>
      </c>
      <c r="C137" s="6">
        <f>IFERROR(INDEX(Pacientes!$C:$C,MATCH($A137,Pacientes!$B:$B,0)),"")</f>
      </c>
      <c r="D137" s="6">
        <f>IFERROR(INDEX(Pacientes!$D:$D,MATCH($A137,Pacientes!$B:$B,0)),"")</f>
      </c>
      <c r="E137" s="6">
        <f>IFERROR(INDEX(Pacientes!$E:$E,MATCH($A137,Pacientes!$B:$B,0)),"")</f>
      </c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>
        <f>IFERROR(INDEX(Intervenções!$K$2:$K$300,AGGREGATE(15,6,(ROW(Intervenções!$K$2:$K$300)-ROW(Intervenções!$K$2)+1)/((Intervenções!$B$2:$B$300=A137)*(Intervenções!$A$2:$A$300=F137)*(Intervenções!$K$2:$K$300&lt;&gt;"")),1)),"")</f>
      </c>
      <c r="AC137" s="4">
        <f>IFERROR(INDEX(Intervenções!$K$2:$K$300,AGGREGATE(15,6,(ROW(Intervenções!$K$2:$K$300)-ROW(Intervenções!$K$2)+1)/((Intervenções!$B$2:$B$300=A137)*(Intervenções!$A$2:$A$300=F137)*(Intervenções!$K$2:$K$300&lt;&gt;"")),2)),"")</f>
      </c>
      <c r="AD137" s="4">
        <f>IFERROR(INDEX(Intervenções!$K$2:$K$300,AGGREGATE(15,6,(ROW(Intervenções!$K$2:$K$300)-ROW(Intervenções!$K$2)+1)/((Intervenções!$B$2:$B$300=A137)*(Intervenções!$A$2:$A$300=F137)*(Intervenções!$K$2:$K$300&lt;&gt;"")),3)),"")</f>
      </c>
      <c r="AE137" s="4">
        <f>"RECONCILIAÇÃO MEDICAMENTOSA"&amp;CHAR(10)&amp;IF(G137&lt;&gt;"","Medicamentos de uso prévio: "&amp;G137&amp;".","Sem medicamentos de uso prévio relatados.")&amp;CHAR(10)&amp;IF(H137&lt;&gt;"","Histórico de alergia/RAM: "&amp;H137&amp;".","Nega alergias/RAM conhecidas.")</f>
      </c>
      <c r="AF137" s="4">
        <f>AE137&amp;CHAR(10)&amp;CHAR(10)&amp;"1. Evolução Clínica"&amp;CHAR(10)&amp;TEXTJOIN(" ",TRUE,"Paciente "&amp;I137&amp;", "&amp;IF(J137="","sem DVA","em uso de "&amp;J137)&amp;".",IF(K137&lt;&gt;"","Em "&amp;K137&amp;IF(L137&lt;&gt;""," ("&amp;L137&amp;")","")&amp;IF(M137&lt;&gt;"", ", "&amp;M137,"")&amp;IF(N137&lt;&gt;"", ", sob analgosedação com "&amp;N137,"")&amp;".",""),IF(O137&lt;&gt;"",O137&amp;IF(P137&lt;&gt;"", ", com "&amp;LOWER(P137),"")&amp;IF(Q137&lt;&gt;"", " — "&amp;Q137,"")&amp;".",""),IF(R137="Febre","Apresentou episódio febril nas últimas 24h"&amp;IF(S137&lt;&gt;""," ("&amp;S137&amp;")","")&amp;".",IF(R137="Afebril","Encontra-se afebril.","")),IF(T137&lt;&gt;"",IF(U137="Sim","Apresenta disfunção renal aguda ","Função renal preservada ")&amp;"("&amp;T137&amp;").",""),IF(V137&lt;&gt;"","Em uso do esquema antimicrobiano com "&amp;V137&amp;".",""),IF(TEXTJOIN(", ",TRUE,IF(W137&lt;&gt;"","TEV ("&amp;W137&amp;")",""),IF(X137&lt;&gt;"","LAMG ("&amp;X137&amp;")",""),IF(Y137&lt;&gt;"","úlcera de córnea com "&amp;Y137,""))&lt;&gt;"","Em uso de profilaxia: "&amp;TEXTJOIN(", ",TRUE,IF(W137&lt;&gt;"","TEV ("&amp;W137&amp;")",""),IF(X137&lt;&gt;"","LAMG ("&amp;X137&amp;")",""),IF(Y137&lt;&gt;"","úlcera de córnea com "&amp;Y137,""))&amp;".",""))&amp;CHAR(10)&amp;CHAR(10)&amp;"2. Farmacoterapia"&amp;CHAR(10)&amp;IF(Z137&lt;&gt;"","Corticoide/DART: "&amp;Z137,"Sem corticoide/DART registrado.")&amp;CHAR(10)&amp;CHAR(10)&amp;"3. Conduta Farmacêutica"&amp;CHAR(10)&amp;IF(TEXTJOIN(CHAR(10),TRUE,AB137,AC137,AD137)="","Nenhuma intervenção registrada hoje.",TEXTJOIN(CHAR(10),TRUE,AB137,AC137,AD137))&amp;CHAR(10)&amp;CHAR(10)&amp;"4. Plano Terapêutico"&amp;CHAR(10)&amp;IF(AA137&lt;&gt;"",AA137,"Não definido.")</f>
      </c>
    </row>
    <row r="138" spans="1:32" x14ac:dyDescent="0.25">
      <c r="A138" s="4"/>
      <c r="B138" s="6">
        <f>IFERROR(INDEX(Pacientes!$A:$A,MATCH($A138,Pacientes!$B:$B,0)),"")</f>
      </c>
      <c r="C138" s="6">
        <f>IFERROR(INDEX(Pacientes!$C:$C,MATCH($A138,Pacientes!$B:$B,0)),"")</f>
      </c>
      <c r="D138" s="6">
        <f>IFERROR(INDEX(Pacientes!$D:$D,MATCH($A138,Pacientes!$B:$B,0)),"")</f>
      </c>
      <c r="E138" s="6">
        <f>IFERROR(INDEX(Pacientes!$E:$E,MATCH($A138,Pacientes!$B:$B,0)),"")</f>
      </c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>
        <f>IFERROR(INDEX(Intervenções!$K$2:$K$300,AGGREGATE(15,6,(ROW(Intervenções!$K$2:$K$300)-ROW(Intervenções!$K$2)+1)/((Intervenções!$B$2:$B$300=A138)*(Intervenções!$A$2:$A$300=F138)*(Intervenções!$K$2:$K$300&lt;&gt;"")),1)),"")</f>
      </c>
      <c r="AC138" s="4">
        <f>IFERROR(INDEX(Intervenções!$K$2:$K$300,AGGREGATE(15,6,(ROW(Intervenções!$K$2:$K$300)-ROW(Intervenções!$K$2)+1)/((Intervenções!$B$2:$B$300=A138)*(Intervenções!$A$2:$A$300=F138)*(Intervenções!$K$2:$K$300&lt;&gt;"")),2)),"")</f>
      </c>
      <c r="AD138" s="4">
        <f>IFERROR(INDEX(Intervenções!$K$2:$K$300,AGGREGATE(15,6,(ROW(Intervenções!$K$2:$K$300)-ROW(Intervenções!$K$2)+1)/((Intervenções!$B$2:$B$300=A138)*(Intervenções!$A$2:$A$300=F138)*(Intervenções!$K$2:$K$300&lt;&gt;"")),3)),"")</f>
      </c>
      <c r="AE138" s="4">
        <f>"RECONCILIAÇÃO MEDICAMENTOSA"&amp;CHAR(10)&amp;IF(G138&lt;&gt;"","Medicamentos de uso prévio: "&amp;G138&amp;".","Sem medicamentos de uso prévio relatados.")&amp;CHAR(10)&amp;IF(H138&lt;&gt;"","Histórico de alergia/RAM: "&amp;H138&amp;".","Nega alergias/RAM conhecidas.")</f>
      </c>
      <c r="AF138" s="4">
        <f>AE138&amp;CHAR(10)&amp;CHAR(10)&amp;"1. Evolução Clínica"&amp;CHAR(10)&amp;TEXTJOIN(" ",TRUE,"Paciente "&amp;I138&amp;", "&amp;IF(J138="","sem DVA","em uso de "&amp;J138)&amp;".",IF(K138&lt;&gt;"","Em "&amp;K138&amp;IF(L138&lt;&gt;""," ("&amp;L138&amp;")","")&amp;IF(M138&lt;&gt;"", ", "&amp;M138,"")&amp;IF(N138&lt;&gt;"", ", sob analgosedação com "&amp;N138,"")&amp;".",""),IF(O138&lt;&gt;"",O138&amp;IF(P138&lt;&gt;"", ", com "&amp;LOWER(P138),"")&amp;IF(Q138&lt;&gt;"", " — "&amp;Q138,"")&amp;".",""),IF(R138="Febre","Apresentou episódio febril nas últimas 24h"&amp;IF(S138&lt;&gt;""," ("&amp;S138&amp;")","")&amp;".",IF(R138="Afebril","Encontra-se afebril.","")),IF(T138&lt;&gt;"",IF(U138="Sim","Apresenta disfunção renal aguda ","Função renal preservada ")&amp;"("&amp;T138&amp;").",""),IF(V138&lt;&gt;"","Em uso do esquema antimicrobiano com "&amp;V138&amp;".",""),IF(TEXTJOIN(", ",TRUE,IF(W138&lt;&gt;"","TEV ("&amp;W138&amp;")",""),IF(X138&lt;&gt;"","LAMG ("&amp;X138&amp;")",""),IF(Y138&lt;&gt;"","úlcera de córnea com "&amp;Y138,""))&lt;&gt;"","Em uso de profilaxia: "&amp;TEXTJOIN(", ",TRUE,IF(W138&lt;&gt;"","TEV ("&amp;W138&amp;")",""),IF(X138&lt;&gt;"","LAMG ("&amp;X138&amp;")",""),IF(Y138&lt;&gt;"","úlcera de córnea com "&amp;Y138,""))&amp;".",""))&amp;CHAR(10)&amp;CHAR(10)&amp;"2. Farmacoterapia"&amp;CHAR(10)&amp;IF(Z138&lt;&gt;"","Corticoide/DART: "&amp;Z138,"Sem corticoide/DART registrado.")&amp;CHAR(10)&amp;CHAR(10)&amp;"3. Conduta Farmacêutica"&amp;CHAR(10)&amp;IF(TEXTJOIN(CHAR(10),TRUE,AB138,AC138,AD138)="","Nenhuma intervenção registrada hoje.",TEXTJOIN(CHAR(10),TRUE,AB138,AC138,AD138))&amp;CHAR(10)&amp;CHAR(10)&amp;"4. Plano Terapêutico"&amp;CHAR(10)&amp;IF(AA138&lt;&gt;"",AA138,"Não definido.")</f>
      </c>
    </row>
    <row r="139" spans="1:32" x14ac:dyDescent="0.25">
      <c r="A139" s="4"/>
      <c r="B139" s="6">
        <f>IFERROR(INDEX(Pacientes!$A:$A,MATCH($A139,Pacientes!$B:$B,0)),"")</f>
      </c>
      <c r="C139" s="6">
        <f>IFERROR(INDEX(Pacientes!$C:$C,MATCH($A139,Pacientes!$B:$B,0)),"")</f>
      </c>
      <c r="D139" s="6">
        <f>IFERROR(INDEX(Pacientes!$D:$D,MATCH($A139,Pacientes!$B:$B,0)),"")</f>
      </c>
      <c r="E139" s="6">
        <f>IFERROR(INDEX(Pacientes!$E:$E,MATCH($A139,Pacientes!$B:$B,0)),"")</f>
      </c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>
        <f>IFERROR(INDEX(Intervenções!$K$2:$K$300,AGGREGATE(15,6,(ROW(Intervenções!$K$2:$K$300)-ROW(Intervenções!$K$2)+1)/((Intervenções!$B$2:$B$300=A139)*(Intervenções!$A$2:$A$300=F139)*(Intervenções!$K$2:$K$300&lt;&gt;"")),1)),"")</f>
      </c>
      <c r="AC139" s="4">
        <f>IFERROR(INDEX(Intervenções!$K$2:$K$300,AGGREGATE(15,6,(ROW(Intervenções!$K$2:$K$300)-ROW(Intervenções!$K$2)+1)/((Intervenções!$B$2:$B$300=A139)*(Intervenções!$A$2:$A$300=F139)*(Intervenções!$K$2:$K$300&lt;&gt;"")),2)),"")</f>
      </c>
      <c r="AD139" s="4">
        <f>IFERROR(INDEX(Intervenções!$K$2:$K$300,AGGREGATE(15,6,(ROW(Intervenções!$K$2:$K$300)-ROW(Intervenções!$K$2)+1)/((Intervenções!$B$2:$B$300=A139)*(Intervenções!$A$2:$A$300=F139)*(Intervenções!$K$2:$K$300&lt;&gt;"")),3)),"")</f>
      </c>
      <c r="AE139" s="4">
        <f>"RECONCILIAÇÃO MEDICAMENTOSA"&amp;CHAR(10)&amp;IF(G139&lt;&gt;"","Medicamentos de uso prévio: "&amp;G139&amp;".","Sem medicamentos de uso prévio relatados.")&amp;CHAR(10)&amp;IF(H139&lt;&gt;"","Histórico de alergia/RAM: "&amp;H139&amp;".","Nega alergias/RAM conhecidas.")</f>
      </c>
      <c r="AF139" s="4">
        <f>AE139&amp;CHAR(10)&amp;CHAR(10)&amp;"1. Evolução Clínica"&amp;CHAR(10)&amp;TEXTJOIN(" ",TRUE,"Paciente "&amp;I139&amp;", "&amp;IF(J139="","sem DVA","em uso de "&amp;J139)&amp;".",IF(K139&lt;&gt;"","Em "&amp;K139&amp;IF(L139&lt;&gt;""," ("&amp;L139&amp;")","")&amp;IF(M139&lt;&gt;"", ", "&amp;M139,"")&amp;IF(N139&lt;&gt;"", ", sob analgosedação com "&amp;N139,"")&amp;".",""),IF(O139&lt;&gt;"",O139&amp;IF(P139&lt;&gt;"", ", com "&amp;LOWER(P139),"")&amp;IF(Q139&lt;&gt;"", " — "&amp;Q139,"")&amp;".",""),IF(R139="Febre","Apresentou episódio febril nas últimas 24h"&amp;IF(S139&lt;&gt;""," ("&amp;S139&amp;")","")&amp;".",IF(R139="Afebril","Encontra-se afebril.","")),IF(T139&lt;&gt;"",IF(U139="Sim","Apresenta disfunção renal aguda ","Função renal preservada ")&amp;"("&amp;T139&amp;").",""),IF(V139&lt;&gt;"","Em uso do esquema antimicrobiano com "&amp;V139&amp;".",""),IF(TEXTJOIN(", ",TRUE,IF(W139&lt;&gt;"","TEV ("&amp;W139&amp;")",""),IF(X139&lt;&gt;"","LAMG ("&amp;X139&amp;")",""),IF(Y139&lt;&gt;"","úlcera de córnea com "&amp;Y139,""))&lt;&gt;"","Em uso de profilaxia: "&amp;TEXTJOIN(", ",TRUE,IF(W139&lt;&gt;"","TEV ("&amp;W139&amp;")",""),IF(X139&lt;&gt;"","LAMG ("&amp;X139&amp;")",""),IF(Y139&lt;&gt;"","úlcera de córnea com "&amp;Y139,""))&amp;".",""))&amp;CHAR(10)&amp;CHAR(10)&amp;"2. Farmacoterapia"&amp;CHAR(10)&amp;IF(Z139&lt;&gt;"","Corticoide/DART: "&amp;Z139,"Sem corticoide/DART registrado.")&amp;CHAR(10)&amp;CHAR(10)&amp;"3. Conduta Farmacêutica"&amp;CHAR(10)&amp;IF(TEXTJOIN(CHAR(10),TRUE,AB139,AC139,AD139)="","Nenhuma intervenção registrada hoje.",TEXTJOIN(CHAR(10),TRUE,AB139,AC139,AD139))&amp;CHAR(10)&amp;CHAR(10)&amp;"4. Plano Terapêutico"&amp;CHAR(10)&amp;IF(AA139&lt;&gt;"",AA139,"Não definido.")</f>
      </c>
    </row>
    <row r="140" spans="1:32" x14ac:dyDescent="0.25">
      <c r="A140" s="4"/>
      <c r="B140" s="6">
        <f>IFERROR(INDEX(Pacientes!$A:$A,MATCH($A140,Pacientes!$B:$B,0)),"")</f>
      </c>
      <c r="C140" s="6">
        <f>IFERROR(INDEX(Pacientes!$C:$C,MATCH($A140,Pacientes!$B:$B,0)),"")</f>
      </c>
      <c r="D140" s="6">
        <f>IFERROR(INDEX(Pacientes!$D:$D,MATCH($A140,Pacientes!$B:$B,0)),"")</f>
      </c>
      <c r="E140" s="6">
        <f>IFERROR(INDEX(Pacientes!$E:$E,MATCH($A140,Pacientes!$B:$B,0)),"")</f>
      </c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>
        <f>IFERROR(INDEX(Intervenções!$K$2:$K$300,AGGREGATE(15,6,(ROW(Intervenções!$K$2:$K$300)-ROW(Intervenções!$K$2)+1)/((Intervenções!$B$2:$B$300=A140)*(Intervenções!$A$2:$A$300=F140)*(Intervenções!$K$2:$K$300&lt;&gt;"")),1)),"")</f>
      </c>
      <c r="AC140" s="4">
        <f>IFERROR(INDEX(Intervenções!$K$2:$K$300,AGGREGATE(15,6,(ROW(Intervenções!$K$2:$K$300)-ROW(Intervenções!$K$2)+1)/((Intervenções!$B$2:$B$300=A140)*(Intervenções!$A$2:$A$300=F140)*(Intervenções!$K$2:$K$300&lt;&gt;"")),2)),"")</f>
      </c>
      <c r="AD140" s="4">
        <f>IFERROR(INDEX(Intervenções!$K$2:$K$300,AGGREGATE(15,6,(ROW(Intervenções!$K$2:$K$300)-ROW(Intervenções!$K$2)+1)/((Intervenções!$B$2:$B$300=A140)*(Intervenções!$A$2:$A$300=F140)*(Intervenções!$K$2:$K$300&lt;&gt;"")),3)),"")</f>
      </c>
      <c r="AE140" s="4">
        <f>"RECONCILIAÇÃO MEDICAMENTOSA"&amp;CHAR(10)&amp;IF(G140&lt;&gt;"","Medicamentos de uso prévio: "&amp;G140&amp;".","Sem medicamentos de uso prévio relatados.")&amp;CHAR(10)&amp;IF(H140&lt;&gt;"","Histórico de alergia/RAM: "&amp;H140&amp;".","Nega alergias/RAM conhecidas.")</f>
      </c>
      <c r="AF140" s="4">
        <f>AE140&amp;CHAR(10)&amp;CHAR(10)&amp;"1. Evolução Clínica"&amp;CHAR(10)&amp;TEXTJOIN(" ",TRUE,"Paciente "&amp;I140&amp;", "&amp;IF(J140="","sem DVA","em uso de "&amp;J140)&amp;".",IF(K140&lt;&gt;"","Em "&amp;K140&amp;IF(L140&lt;&gt;""," ("&amp;L140&amp;")","")&amp;IF(M140&lt;&gt;"", ", "&amp;M140,"")&amp;IF(N140&lt;&gt;"", ", sob analgosedação com "&amp;N140,"")&amp;".",""),IF(O140&lt;&gt;"",O140&amp;IF(P140&lt;&gt;"", ", com "&amp;LOWER(P140),"")&amp;IF(Q140&lt;&gt;"", " — "&amp;Q140,"")&amp;".",""),IF(R140="Febre","Apresentou episódio febril nas últimas 24h"&amp;IF(S140&lt;&gt;""," ("&amp;S140&amp;")","")&amp;".",IF(R140="Afebril","Encontra-se afebril.","")),IF(T140&lt;&gt;"",IF(U140="Sim","Apresenta disfunção renal aguda ","Função renal preservada ")&amp;"("&amp;T140&amp;").",""),IF(V140&lt;&gt;"","Em uso do esquema antimicrobiano com "&amp;V140&amp;".",""),IF(TEXTJOIN(", ",TRUE,IF(W140&lt;&gt;"","TEV ("&amp;W140&amp;")",""),IF(X140&lt;&gt;"","LAMG ("&amp;X140&amp;")",""),IF(Y140&lt;&gt;"","úlcera de córnea com "&amp;Y140,""))&lt;&gt;"","Em uso de profilaxia: "&amp;TEXTJOIN(", ",TRUE,IF(W140&lt;&gt;"","TEV ("&amp;W140&amp;")",""),IF(X140&lt;&gt;"","LAMG ("&amp;X140&amp;")",""),IF(Y140&lt;&gt;"","úlcera de córnea com "&amp;Y140,""))&amp;".",""))&amp;CHAR(10)&amp;CHAR(10)&amp;"2. Farmacoterapia"&amp;CHAR(10)&amp;IF(Z140&lt;&gt;"","Corticoide/DART: "&amp;Z140,"Sem corticoide/DART registrado.")&amp;CHAR(10)&amp;CHAR(10)&amp;"3. Conduta Farmacêutica"&amp;CHAR(10)&amp;IF(TEXTJOIN(CHAR(10),TRUE,AB140,AC140,AD140)="","Nenhuma intervenção registrada hoje.",TEXTJOIN(CHAR(10),TRUE,AB140,AC140,AD140))&amp;CHAR(10)&amp;CHAR(10)&amp;"4. Plano Terapêutico"&amp;CHAR(10)&amp;IF(AA140&lt;&gt;"",AA140,"Não definido.")</f>
      </c>
    </row>
    <row r="141" spans="1:32" x14ac:dyDescent="0.25">
      <c r="A141" s="4"/>
      <c r="B141" s="6">
        <f>IFERROR(INDEX(Pacientes!$A:$A,MATCH($A141,Pacientes!$B:$B,0)),"")</f>
      </c>
      <c r="C141" s="6">
        <f>IFERROR(INDEX(Pacientes!$C:$C,MATCH($A141,Pacientes!$B:$B,0)),"")</f>
      </c>
      <c r="D141" s="6">
        <f>IFERROR(INDEX(Pacientes!$D:$D,MATCH($A141,Pacientes!$B:$B,0)),"")</f>
      </c>
      <c r="E141" s="6">
        <f>IFERROR(INDEX(Pacientes!$E:$E,MATCH($A141,Pacientes!$B:$B,0)),"")</f>
      </c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>
        <f>IFERROR(INDEX(Intervenções!$K$2:$K$300,AGGREGATE(15,6,(ROW(Intervenções!$K$2:$K$300)-ROW(Intervenções!$K$2)+1)/((Intervenções!$B$2:$B$300=A141)*(Intervenções!$A$2:$A$300=F141)*(Intervenções!$K$2:$K$300&lt;&gt;"")),1)),"")</f>
      </c>
      <c r="AC141" s="4">
        <f>IFERROR(INDEX(Intervenções!$K$2:$K$300,AGGREGATE(15,6,(ROW(Intervenções!$K$2:$K$300)-ROW(Intervenções!$K$2)+1)/((Intervenções!$B$2:$B$300=A141)*(Intervenções!$A$2:$A$300=F141)*(Intervenções!$K$2:$K$300&lt;&gt;"")),2)),"")</f>
      </c>
      <c r="AD141" s="4">
        <f>IFERROR(INDEX(Intervenções!$K$2:$K$300,AGGREGATE(15,6,(ROW(Intervenções!$K$2:$K$300)-ROW(Intervenções!$K$2)+1)/((Intervenções!$B$2:$B$300=A141)*(Intervenções!$A$2:$A$300=F141)*(Intervenções!$K$2:$K$300&lt;&gt;"")),3)),"")</f>
      </c>
      <c r="AE141" s="4">
        <f>"RECONCILIAÇÃO MEDICAMENTOSA"&amp;CHAR(10)&amp;IF(G141&lt;&gt;"","Medicamentos de uso prévio: "&amp;G141&amp;".","Sem medicamentos de uso prévio relatados.")&amp;CHAR(10)&amp;IF(H141&lt;&gt;"","Histórico de alergia/RAM: "&amp;H141&amp;".","Nega alergias/RAM conhecidas.")</f>
      </c>
      <c r="AF141" s="4">
        <f>AE141&amp;CHAR(10)&amp;CHAR(10)&amp;"1. Evolução Clínica"&amp;CHAR(10)&amp;TEXTJOIN(" ",TRUE,"Paciente "&amp;I141&amp;", "&amp;IF(J141="","sem DVA","em uso de "&amp;J141)&amp;".",IF(K141&lt;&gt;"","Em "&amp;K141&amp;IF(L141&lt;&gt;""," ("&amp;L141&amp;")","")&amp;IF(M141&lt;&gt;"", ", "&amp;M141,"")&amp;IF(N141&lt;&gt;"", ", sob analgosedação com "&amp;N141,"")&amp;".",""),IF(O141&lt;&gt;"",O141&amp;IF(P141&lt;&gt;"", ", com "&amp;LOWER(P141),"")&amp;IF(Q141&lt;&gt;"", " — "&amp;Q141,"")&amp;".",""),IF(R141="Febre","Apresentou episódio febril nas últimas 24h"&amp;IF(S141&lt;&gt;""," ("&amp;S141&amp;")","")&amp;".",IF(R141="Afebril","Encontra-se afebril.","")),IF(T141&lt;&gt;"",IF(U141="Sim","Apresenta disfunção renal aguda ","Função renal preservada ")&amp;"("&amp;T141&amp;").",""),IF(V141&lt;&gt;"","Em uso do esquema antimicrobiano com "&amp;V141&amp;".",""),IF(TEXTJOIN(", ",TRUE,IF(W141&lt;&gt;"","TEV ("&amp;W141&amp;")",""),IF(X141&lt;&gt;"","LAMG ("&amp;X141&amp;")",""),IF(Y141&lt;&gt;"","úlcera de córnea com "&amp;Y141,""))&lt;&gt;"","Em uso de profilaxia: "&amp;TEXTJOIN(", ",TRUE,IF(W141&lt;&gt;"","TEV ("&amp;W141&amp;")",""),IF(X141&lt;&gt;"","LAMG ("&amp;X141&amp;")",""),IF(Y141&lt;&gt;"","úlcera de córnea com "&amp;Y141,""))&amp;".",""))&amp;CHAR(10)&amp;CHAR(10)&amp;"2. Farmacoterapia"&amp;CHAR(10)&amp;IF(Z141&lt;&gt;"","Corticoide/DART: "&amp;Z141,"Sem corticoide/DART registrado.")&amp;CHAR(10)&amp;CHAR(10)&amp;"3. Conduta Farmacêutica"&amp;CHAR(10)&amp;IF(TEXTJOIN(CHAR(10),TRUE,AB141,AC141,AD141)="","Nenhuma intervenção registrada hoje.",TEXTJOIN(CHAR(10),TRUE,AB141,AC141,AD141))&amp;CHAR(10)&amp;CHAR(10)&amp;"4. Plano Terapêutico"&amp;CHAR(10)&amp;IF(AA141&lt;&gt;"",AA141,"Não definido.")</f>
      </c>
    </row>
    <row r="142" spans="1:32" x14ac:dyDescent="0.25">
      <c r="A142" s="4"/>
      <c r="B142" s="6">
        <f>IFERROR(INDEX(Pacientes!$A:$A,MATCH($A142,Pacientes!$B:$B,0)),"")</f>
      </c>
      <c r="C142" s="6">
        <f>IFERROR(INDEX(Pacientes!$C:$C,MATCH($A142,Pacientes!$B:$B,0)),"")</f>
      </c>
      <c r="D142" s="6">
        <f>IFERROR(INDEX(Pacientes!$D:$D,MATCH($A142,Pacientes!$B:$B,0)),"")</f>
      </c>
      <c r="E142" s="6">
        <f>IFERROR(INDEX(Pacientes!$E:$E,MATCH($A142,Pacientes!$B:$B,0)),"")</f>
      </c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>
        <f>IFERROR(INDEX(Intervenções!$K$2:$K$300,AGGREGATE(15,6,(ROW(Intervenções!$K$2:$K$300)-ROW(Intervenções!$K$2)+1)/((Intervenções!$B$2:$B$300=A142)*(Intervenções!$A$2:$A$300=F142)*(Intervenções!$K$2:$K$300&lt;&gt;"")),1)),"")</f>
      </c>
      <c r="AC142" s="4">
        <f>IFERROR(INDEX(Intervenções!$K$2:$K$300,AGGREGATE(15,6,(ROW(Intervenções!$K$2:$K$300)-ROW(Intervenções!$K$2)+1)/((Intervenções!$B$2:$B$300=A142)*(Intervenções!$A$2:$A$300=F142)*(Intervenções!$K$2:$K$300&lt;&gt;"")),2)),"")</f>
      </c>
      <c r="AD142" s="4">
        <f>IFERROR(INDEX(Intervenções!$K$2:$K$300,AGGREGATE(15,6,(ROW(Intervenções!$K$2:$K$300)-ROW(Intervenções!$K$2)+1)/((Intervenções!$B$2:$B$300=A142)*(Intervenções!$A$2:$A$300=F142)*(Intervenções!$K$2:$K$300&lt;&gt;"")),3)),"")</f>
      </c>
      <c r="AE142" s="4">
        <f>"RECONCILIAÇÃO MEDICAMENTOSA"&amp;CHAR(10)&amp;IF(G142&lt;&gt;"","Medicamentos de uso prévio: "&amp;G142&amp;".","Sem medicamentos de uso prévio relatados.")&amp;CHAR(10)&amp;IF(H142&lt;&gt;"","Histórico de alergia/RAM: "&amp;H142&amp;".","Nega alergias/RAM conhecidas.")</f>
      </c>
      <c r="AF142" s="4">
        <f>AE142&amp;CHAR(10)&amp;CHAR(10)&amp;"1. Evolução Clínica"&amp;CHAR(10)&amp;TEXTJOIN(" ",TRUE,"Paciente "&amp;I142&amp;", "&amp;IF(J142="","sem DVA","em uso de "&amp;J142)&amp;".",IF(K142&lt;&gt;"","Em "&amp;K142&amp;IF(L142&lt;&gt;""," ("&amp;L142&amp;")","")&amp;IF(M142&lt;&gt;"", ", "&amp;M142,"")&amp;IF(N142&lt;&gt;"", ", sob analgosedação com "&amp;N142,"")&amp;".",""),IF(O142&lt;&gt;"",O142&amp;IF(P142&lt;&gt;"", ", com "&amp;LOWER(P142),"")&amp;IF(Q142&lt;&gt;"", " — "&amp;Q142,"")&amp;".",""),IF(R142="Febre","Apresentou episódio febril nas últimas 24h"&amp;IF(S142&lt;&gt;""," ("&amp;S142&amp;")","")&amp;".",IF(R142="Afebril","Encontra-se afebril.","")),IF(T142&lt;&gt;"",IF(U142="Sim","Apresenta disfunção renal aguda ","Função renal preservada ")&amp;"("&amp;T142&amp;").",""),IF(V142&lt;&gt;"","Em uso do esquema antimicrobiano com "&amp;V142&amp;".",""),IF(TEXTJOIN(", ",TRUE,IF(W142&lt;&gt;"","TEV ("&amp;W142&amp;")",""),IF(X142&lt;&gt;"","LAMG ("&amp;X142&amp;")",""),IF(Y142&lt;&gt;"","úlcera de córnea com "&amp;Y142,""))&lt;&gt;"","Em uso de profilaxia: "&amp;TEXTJOIN(", ",TRUE,IF(W142&lt;&gt;"","TEV ("&amp;W142&amp;")",""),IF(X142&lt;&gt;"","LAMG ("&amp;X142&amp;")",""),IF(Y142&lt;&gt;"","úlcera de córnea com "&amp;Y142,""))&amp;".",""))&amp;CHAR(10)&amp;CHAR(10)&amp;"2. Farmacoterapia"&amp;CHAR(10)&amp;IF(Z142&lt;&gt;"","Corticoide/DART: "&amp;Z142,"Sem corticoide/DART registrado.")&amp;CHAR(10)&amp;CHAR(10)&amp;"3. Conduta Farmacêutica"&amp;CHAR(10)&amp;IF(TEXTJOIN(CHAR(10),TRUE,AB142,AC142,AD142)="","Nenhuma intervenção registrada hoje.",TEXTJOIN(CHAR(10),TRUE,AB142,AC142,AD142))&amp;CHAR(10)&amp;CHAR(10)&amp;"4. Plano Terapêutico"&amp;CHAR(10)&amp;IF(AA142&lt;&gt;"",AA142,"Não definido.")</f>
      </c>
    </row>
    <row r="143" spans="1:32" x14ac:dyDescent="0.25">
      <c r="A143" s="4"/>
      <c r="B143" s="6">
        <f>IFERROR(INDEX(Pacientes!$A:$A,MATCH($A143,Pacientes!$B:$B,0)),"")</f>
      </c>
      <c r="C143" s="6">
        <f>IFERROR(INDEX(Pacientes!$C:$C,MATCH($A143,Pacientes!$B:$B,0)),"")</f>
      </c>
      <c r="D143" s="6">
        <f>IFERROR(INDEX(Pacientes!$D:$D,MATCH($A143,Pacientes!$B:$B,0)),"")</f>
      </c>
      <c r="E143" s="6">
        <f>IFERROR(INDEX(Pacientes!$E:$E,MATCH($A143,Pacientes!$B:$B,0)),"")</f>
      </c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>
        <f>IFERROR(INDEX(Intervenções!$K$2:$K$300,AGGREGATE(15,6,(ROW(Intervenções!$K$2:$K$300)-ROW(Intervenções!$K$2)+1)/((Intervenções!$B$2:$B$300=A143)*(Intervenções!$A$2:$A$300=F143)*(Intervenções!$K$2:$K$300&lt;&gt;"")),1)),"")</f>
      </c>
      <c r="AC143" s="4">
        <f>IFERROR(INDEX(Intervenções!$K$2:$K$300,AGGREGATE(15,6,(ROW(Intervenções!$K$2:$K$300)-ROW(Intervenções!$K$2)+1)/((Intervenções!$B$2:$B$300=A143)*(Intervenções!$A$2:$A$300=F143)*(Intervenções!$K$2:$K$300&lt;&gt;"")),2)),"")</f>
      </c>
      <c r="AD143" s="4">
        <f>IFERROR(INDEX(Intervenções!$K$2:$K$300,AGGREGATE(15,6,(ROW(Intervenções!$K$2:$K$300)-ROW(Intervenções!$K$2)+1)/((Intervenções!$B$2:$B$300=A143)*(Intervenções!$A$2:$A$300=F143)*(Intervenções!$K$2:$K$300&lt;&gt;"")),3)),"")</f>
      </c>
      <c r="AE143" s="4">
        <f>"RECONCILIAÇÃO MEDICAMENTOSA"&amp;CHAR(10)&amp;IF(G143&lt;&gt;"","Medicamentos de uso prévio: "&amp;G143&amp;".","Sem medicamentos de uso prévio relatados.")&amp;CHAR(10)&amp;IF(H143&lt;&gt;"","Histórico de alergia/RAM: "&amp;H143&amp;".","Nega alergias/RAM conhecidas.")</f>
      </c>
      <c r="AF143" s="4">
        <f>AE143&amp;CHAR(10)&amp;CHAR(10)&amp;"1. Evolução Clínica"&amp;CHAR(10)&amp;TEXTJOIN(" ",TRUE,"Paciente "&amp;I143&amp;", "&amp;IF(J143="","sem DVA","em uso de "&amp;J143)&amp;".",IF(K143&lt;&gt;"","Em "&amp;K143&amp;IF(L143&lt;&gt;""," ("&amp;L143&amp;")","")&amp;IF(M143&lt;&gt;"", ", "&amp;M143,"")&amp;IF(N143&lt;&gt;"", ", sob analgosedação com "&amp;N143,"")&amp;".",""),IF(O143&lt;&gt;"",O143&amp;IF(P143&lt;&gt;"", ", com "&amp;LOWER(P143),"")&amp;IF(Q143&lt;&gt;"", " — "&amp;Q143,"")&amp;".",""),IF(R143="Febre","Apresentou episódio febril nas últimas 24h"&amp;IF(S143&lt;&gt;""," ("&amp;S143&amp;")","")&amp;".",IF(R143="Afebril","Encontra-se afebril.","")),IF(T143&lt;&gt;"",IF(U143="Sim","Apresenta disfunção renal aguda ","Função renal preservada ")&amp;"("&amp;T143&amp;").",""),IF(V143&lt;&gt;"","Em uso do esquema antimicrobiano com "&amp;V143&amp;".",""),IF(TEXTJOIN(", ",TRUE,IF(W143&lt;&gt;"","TEV ("&amp;W143&amp;")",""),IF(X143&lt;&gt;"","LAMG ("&amp;X143&amp;")",""),IF(Y143&lt;&gt;"","úlcera de córnea com "&amp;Y143,""))&lt;&gt;"","Em uso de profilaxia: "&amp;TEXTJOIN(", ",TRUE,IF(W143&lt;&gt;"","TEV ("&amp;W143&amp;")",""),IF(X143&lt;&gt;"","LAMG ("&amp;X143&amp;")",""),IF(Y143&lt;&gt;"","úlcera de córnea com "&amp;Y143,""))&amp;".",""))&amp;CHAR(10)&amp;CHAR(10)&amp;"2. Farmacoterapia"&amp;CHAR(10)&amp;IF(Z143&lt;&gt;"","Corticoide/DART: "&amp;Z143,"Sem corticoide/DART registrado.")&amp;CHAR(10)&amp;CHAR(10)&amp;"3. Conduta Farmacêutica"&amp;CHAR(10)&amp;IF(TEXTJOIN(CHAR(10),TRUE,AB143,AC143,AD143)="","Nenhuma intervenção registrada hoje.",TEXTJOIN(CHAR(10),TRUE,AB143,AC143,AD143))&amp;CHAR(10)&amp;CHAR(10)&amp;"4. Plano Terapêutico"&amp;CHAR(10)&amp;IF(AA143&lt;&gt;"",AA143,"Não definido.")</f>
      </c>
    </row>
    <row r="144" spans="1:32" x14ac:dyDescent="0.25">
      <c r="A144" s="4"/>
      <c r="B144" s="6">
        <f>IFERROR(INDEX(Pacientes!$A:$A,MATCH($A144,Pacientes!$B:$B,0)),"")</f>
      </c>
      <c r="C144" s="6">
        <f>IFERROR(INDEX(Pacientes!$C:$C,MATCH($A144,Pacientes!$B:$B,0)),"")</f>
      </c>
      <c r="D144" s="6">
        <f>IFERROR(INDEX(Pacientes!$D:$D,MATCH($A144,Pacientes!$B:$B,0)),"")</f>
      </c>
      <c r="E144" s="6">
        <f>IFERROR(INDEX(Pacientes!$E:$E,MATCH($A144,Pacientes!$B:$B,0)),"")</f>
      </c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>
        <f>IFERROR(INDEX(Intervenções!$K$2:$K$300,AGGREGATE(15,6,(ROW(Intervenções!$K$2:$K$300)-ROW(Intervenções!$K$2)+1)/((Intervenções!$B$2:$B$300=A144)*(Intervenções!$A$2:$A$300=F144)*(Intervenções!$K$2:$K$300&lt;&gt;"")),1)),"")</f>
      </c>
      <c r="AC144" s="4">
        <f>IFERROR(INDEX(Intervenções!$K$2:$K$300,AGGREGATE(15,6,(ROW(Intervenções!$K$2:$K$300)-ROW(Intervenções!$K$2)+1)/((Intervenções!$B$2:$B$300=A144)*(Intervenções!$A$2:$A$300=F144)*(Intervenções!$K$2:$K$300&lt;&gt;"")),2)),"")</f>
      </c>
      <c r="AD144" s="4">
        <f>IFERROR(INDEX(Intervenções!$K$2:$K$300,AGGREGATE(15,6,(ROW(Intervenções!$K$2:$K$300)-ROW(Intervenções!$K$2)+1)/((Intervenções!$B$2:$B$300=A144)*(Intervenções!$A$2:$A$300=F144)*(Intervenções!$K$2:$K$300&lt;&gt;"")),3)),"")</f>
      </c>
      <c r="AE144" s="4">
        <f>"RECONCILIAÇÃO MEDICAMENTOSA"&amp;CHAR(10)&amp;IF(G144&lt;&gt;"","Medicamentos de uso prévio: "&amp;G144&amp;".","Sem medicamentos de uso prévio relatados.")&amp;CHAR(10)&amp;IF(H144&lt;&gt;"","Histórico de alergia/RAM: "&amp;H144&amp;".","Nega alergias/RAM conhecidas.")</f>
      </c>
      <c r="AF144" s="4">
        <f>AE144&amp;CHAR(10)&amp;CHAR(10)&amp;"1. Evolução Clínica"&amp;CHAR(10)&amp;TEXTJOIN(" ",TRUE,"Paciente "&amp;I144&amp;", "&amp;IF(J144="","sem DVA","em uso de "&amp;J144)&amp;".",IF(K144&lt;&gt;"","Em "&amp;K144&amp;IF(L144&lt;&gt;""," ("&amp;L144&amp;")","")&amp;IF(M144&lt;&gt;"", ", "&amp;M144,"")&amp;IF(N144&lt;&gt;"", ", sob analgosedação com "&amp;N144,"")&amp;".",""),IF(O144&lt;&gt;"",O144&amp;IF(P144&lt;&gt;"", ", com "&amp;LOWER(P144),"")&amp;IF(Q144&lt;&gt;"", " — "&amp;Q144,"")&amp;".",""),IF(R144="Febre","Apresentou episódio febril nas últimas 24h"&amp;IF(S144&lt;&gt;""," ("&amp;S144&amp;")","")&amp;".",IF(R144="Afebril","Encontra-se afebril.","")),IF(T144&lt;&gt;"",IF(U144="Sim","Apresenta disfunção renal aguda ","Função renal preservada ")&amp;"("&amp;T144&amp;").",""),IF(V144&lt;&gt;"","Em uso do esquema antimicrobiano com "&amp;V144&amp;".",""),IF(TEXTJOIN(", ",TRUE,IF(W144&lt;&gt;"","TEV ("&amp;W144&amp;")",""),IF(X144&lt;&gt;"","LAMG ("&amp;X144&amp;")",""),IF(Y144&lt;&gt;"","úlcera de córnea com "&amp;Y144,""))&lt;&gt;"","Em uso de profilaxia: "&amp;TEXTJOIN(", ",TRUE,IF(W144&lt;&gt;"","TEV ("&amp;W144&amp;")",""),IF(X144&lt;&gt;"","LAMG ("&amp;X144&amp;")",""),IF(Y144&lt;&gt;"","úlcera de córnea com "&amp;Y144,""))&amp;".",""))&amp;CHAR(10)&amp;CHAR(10)&amp;"2. Farmacoterapia"&amp;CHAR(10)&amp;IF(Z144&lt;&gt;"","Corticoide/DART: "&amp;Z144,"Sem corticoide/DART registrado.")&amp;CHAR(10)&amp;CHAR(10)&amp;"3. Conduta Farmacêutica"&amp;CHAR(10)&amp;IF(TEXTJOIN(CHAR(10),TRUE,AB144,AC144,AD144)="","Nenhuma intervenção registrada hoje.",TEXTJOIN(CHAR(10),TRUE,AB144,AC144,AD144))&amp;CHAR(10)&amp;CHAR(10)&amp;"4. Plano Terapêutico"&amp;CHAR(10)&amp;IF(AA144&lt;&gt;"",AA144,"Não definido.")</f>
      </c>
    </row>
    <row r="145" spans="1:32" x14ac:dyDescent="0.25">
      <c r="A145" s="4"/>
      <c r="B145" s="6">
        <f>IFERROR(INDEX(Pacientes!$A:$A,MATCH($A145,Pacientes!$B:$B,0)),"")</f>
      </c>
      <c r="C145" s="6">
        <f>IFERROR(INDEX(Pacientes!$C:$C,MATCH($A145,Pacientes!$B:$B,0)),"")</f>
      </c>
      <c r="D145" s="6">
        <f>IFERROR(INDEX(Pacientes!$D:$D,MATCH($A145,Pacientes!$B:$B,0)),"")</f>
      </c>
      <c r="E145" s="6">
        <f>IFERROR(INDEX(Pacientes!$E:$E,MATCH($A145,Pacientes!$B:$B,0)),"")</f>
      </c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>
        <f>IFERROR(INDEX(Intervenções!$K$2:$K$300,AGGREGATE(15,6,(ROW(Intervenções!$K$2:$K$300)-ROW(Intervenções!$K$2)+1)/((Intervenções!$B$2:$B$300=A145)*(Intervenções!$A$2:$A$300=F145)*(Intervenções!$K$2:$K$300&lt;&gt;"")),1)),"")</f>
      </c>
      <c r="AC145" s="4">
        <f>IFERROR(INDEX(Intervenções!$K$2:$K$300,AGGREGATE(15,6,(ROW(Intervenções!$K$2:$K$300)-ROW(Intervenções!$K$2)+1)/((Intervenções!$B$2:$B$300=A145)*(Intervenções!$A$2:$A$300=F145)*(Intervenções!$K$2:$K$300&lt;&gt;"")),2)),"")</f>
      </c>
      <c r="AD145" s="4">
        <f>IFERROR(INDEX(Intervenções!$K$2:$K$300,AGGREGATE(15,6,(ROW(Intervenções!$K$2:$K$300)-ROW(Intervenções!$K$2)+1)/((Intervenções!$B$2:$B$300=A145)*(Intervenções!$A$2:$A$300=F145)*(Intervenções!$K$2:$K$300&lt;&gt;"")),3)),"")</f>
      </c>
      <c r="AE145" s="4">
        <f>"RECONCILIAÇÃO MEDICAMENTOSA"&amp;CHAR(10)&amp;IF(G145&lt;&gt;"","Medicamentos de uso prévio: "&amp;G145&amp;".","Sem medicamentos de uso prévio relatados.")&amp;CHAR(10)&amp;IF(H145&lt;&gt;"","Histórico de alergia/RAM: "&amp;H145&amp;".","Nega alergias/RAM conhecidas.")</f>
      </c>
      <c r="AF145" s="4">
        <f>AE145&amp;CHAR(10)&amp;CHAR(10)&amp;"1. Evolução Clínica"&amp;CHAR(10)&amp;TEXTJOIN(" ",TRUE,"Paciente "&amp;I145&amp;", "&amp;IF(J145="","sem DVA","em uso de "&amp;J145)&amp;".",IF(K145&lt;&gt;"","Em "&amp;K145&amp;IF(L145&lt;&gt;""," ("&amp;L145&amp;")","")&amp;IF(M145&lt;&gt;"", ", "&amp;M145,"")&amp;IF(N145&lt;&gt;"", ", sob analgosedação com "&amp;N145,"")&amp;".",""),IF(O145&lt;&gt;"",O145&amp;IF(P145&lt;&gt;"", ", com "&amp;LOWER(P145),"")&amp;IF(Q145&lt;&gt;"", " — "&amp;Q145,"")&amp;".",""),IF(R145="Febre","Apresentou episódio febril nas últimas 24h"&amp;IF(S145&lt;&gt;""," ("&amp;S145&amp;")","")&amp;".",IF(R145="Afebril","Encontra-se afebril.","")),IF(T145&lt;&gt;"",IF(U145="Sim","Apresenta disfunção renal aguda ","Função renal preservada ")&amp;"("&amp;T145&amp;").",""),IF(V145&lt;&gt;"","Em uso do esquema antimicrobiano com "&amp;V145&amp;".",""),IF(TEXTJOIN(", ",TRUE,IF(W145&lt;&gt;"","TEV ("&amp;W145&amp;")",""),IF(X145&lt;&gt;"","LAMG ("&amp;X145&amp;")",""),IF(Y145&lt;&gt;"","úlcera de córnea com "&amp;Y145,""))&lt;&gt;"","Em uso de profilaxia: "&amp;TEXTJOIN(", ",TRUE,IF(W145&lt;&gt;"","TEV ("&amp;W145&amp;")",""),IF(X145&lt;&gt;"","LAMG ("&amp;X145&amp;")",""),IF(Y145&lt;&gt;"","úlcera de córnea com "&amp;Y145,""))&amp;".",""))&amp;CHAR(10)&amp;CHAR(10)&amp;"2. Farmacoterapia"&amp;CHAR(10)&amp;IF(Z145&lt;&gt;"","Corticoide/DART: "&amp;Z145,"Sem corticoide/DART registrado.")&amp;CHAR(10)&amp;CHAR(10)&amp;"3. Conduta Farmacêutica"&amp;CHAR(10)&amp;IF(TEXTJOIN(CHAR(10),TRUE,AB145,AC145,AD145)="","Nenhuma intervenção registrada hoje.",TEXTJOIN(CHAR(10),TRUE,AB145,AC145,AD145))&amp;CHAR(10)&amp;CHAR(10)&amp;"4. Plano Terapêutico"&amp;CHAR(10)&amp;IF(AA145&lt;&gt;"",AA145,"Não definido.")</f>
      </c>
    </row>
    <row r="146" spans="1:32" x14ac:dyDescent="0.25">
      <c r="A146" s="4"/>
      <c r="B146" s="6">
        <f>IFERROR(INDEX(Pacientes!$A:$A,MATCH($A146,Pacientes!$B:$B,0)),"")</f>
      </c>
      <c r="C146" s="6">
        <f>IFERROR(INDEX(Pacientes!$C:$C,MATCH($A146,Pacientes!$B:$B,0)),"")</f>
      </c>
      <c r="D146" s="6">
        <f>IFERROR(INDEX(Pacientes!$D:$D,MATCH($A146,Pacientes!$B:$B,0)),"")</f>
      </c>
      <c r="E146" s="6">
        <f>IFERROR(INDEX(Pacientes!$E:$E,MATCH($A146,Pacientes!$B:$B,0)),"")</f>
      </c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>
        <f>IFERROR(INDEX(Intervenções!$K$2:$K$300,AGGREGATE(15,6,(ROW(Intervenções!$K$2:$K$300)-ROW(Intervenções!$K$2)+1)/((Intervenções!$B$2:$B$300=A146)*(Intervenções!$A$2:$A$300=F146)*(Intervenções!$K$2:$K$300&lt;&gt;"")),1)),"")</f>
      </c>
      <c r="AC146" s="4">
        <f>IFERROR(INDEX(Intervenções!$K$2:$K$300,AGGREGATE(15,6,(ROW(Intervenções!$K$2:$K$300)-ROW(Intervenções!$K$2)+1)/((Intervenções!$B$2:$B$300=A146)*(Intervenções!$A$2:$A$300=F146)*(Intervenções!$K$2:$K$300&lt;&gt;"")),2)),"")</f>
      </c>
      <c r="AD146" s="4">
        <f>IFERROR(INDEX(Intervenções!$K$2:$K$300,AGGREGATE(15,6,(ROW(Intervenções!$K$2:$K$300)-ROW(Intervenções!$K$2)+1)/((Intervenções!$B$2:$B$300=A146)*(Intervenções!$A$2:$A$300=F146)*(Intervenções!$K$2:$K$300&lt;&gt;"")),3)),"")</f>
      </c>
      <c r="AE146" s="4">
        <f>"RECONCILIAÇÃO MEDICAMENTOSA"&amp;CHAR(10)&amp;IF(G146&lt;&gt;"","Medicamentos de uso prévio: "&amp;G146&amp;".","Sem medicamentos de uso prévio relatados.")&amp;CHAR(10)&amp;IF(H146&lt;&gt;"","Histórico de alergia/RAM: "&amp;H146&amp;".","Nega alergias/RAM conhecidas.")</f>
      </c>
      <c r="AF146" s="4">
        <f>AE146&amp;CHAR(10)&amp;CHAR(10)&amp;"1. Evolução Clínica"&amp;CHAR(10)&amp;TEXTJOIN(" ",TRUE,"Paciente "&amp;I146&amp;", "&amp;IF(J146="","sem DVA","em uso de "&amp;J146)&amp;".",IF(K146&lt;&gt;"","Em "&amp;K146&amp;IF(L146&lt;&gt;""," ("&amp;L146&amp;")","")&amp;IF(M146&lt;&gt;"", ", "&amp;M146,"")&amp;IF(N146&lt;&gt;"", ", sob analgosedação com "&amp;N146,"")&amp;".",""),IF(O146&lt;&gt;"",O146&amp;IF(P146&lt;&gt;"", ", com "&amp;LOWER(P146),"")&amp;IF(Q146&lt;&gt;"", " — "&amp;Q146,"")&amp;".",""),IF(R146="Febre","Apresentou episódio febril nas últimas 24h"&amp;IF(S146&lt;&gt;""," ("&amp;S146&amp;")","")&amp;".",IF(R146="Afebril","Encontra-se afebril.","")),IF(T146&lt;&gt;"",IF(U146="Sim","Apresenta disfunção renal aguda ","Função renal preservada ")&amp;"("&amp;T146&amp;").",""),IF(V146&lt;&gt;"","Em uso do esquema antimicrobiano com "&amp;V146&amp;".",""),IF(TEXTJOIN(", ",TRUE,IF(W146&lt;&gt;"","TEV ("&amp;W146&amp;")",""),IF(X146&lt;&gt;"","LAMG ("&amp;X146&amp;")",""),IF(Y146&lt;&gt;"","úlcera de córnea com "&amp;Y146,""))&lt;&gt;"","Em uso de profilaxia: "&amp;TEXTJOIN(", ",TRUE,IF(W146&lt;&gt;"","TEV ("&amp;W146&amp;")",""),IF(X146&lt;&gt;"","LAMG ("&amp;X146&amp;")",""),IF(Y146&lt;&gt;"","úlcera de córnea com "&amp;Y146,""))&amp;".",""))&amp;CHAR(10)&amp;CHAR(10)&amp;"2. Farmacoterapia"&amp;CHAR(10)&amp;IF(Z146&lt;&gt;"","Corticoide/DART: "&amp;Z146,"Sem corticoide/DART registrado.")&amp;CHAR(10)&amp;CHAR(10)&amp;"3. Conduta Farmacêutica"&amp;CHAR(10)&amp;IF(TEXTJOIN(CHAR(10),TRUE,AB146,AC146,AD146)="","Nenhuma intervenção registrada hoje.",TEXTJOIN(CHAR(10),TRUE,AB146,AC146,AD146))&amp;CHAR(10)&amp;CHAR(10)&amp;"4. Plano Terapêutico"&amp;CHAR(10)&amp;IF(AA146&lt;&gt;"",AA146,"Não definido.")</f>
      </c>
    </row>
    <row r="147" spans="1:32" x14ac:dyDescent="0.25">
      <c r="A147" s="4"/>
      <c r="B147" s="6">
        <f>IFERROR(INDEX(Pacientes!$A:$A,MATCH($A147,Pacientes!$B:$B,0)),"")</f>
      </c>
      <c r="C147" s="6">
        <f>IFERROR(INDEX(Pacientes!$C:$C,MATCH($A147,Pacientes!$B:$B,0)),"")</f>
      </c>
      <c r="D147" s="6">
        <f>IFERROR(INDEX(Pacientes!$D:$D,MATCH($A147,Pacientes!$B:$B,0)),"")</f>
      </c>
      <c r="E147" s="6">
        <f>IFERROR(INDEX(Pacientes!$E:$E,MATCH($A147,Pacientes!$B:$B,0)),"")</f>
      </c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>
        <f>IFERROR(INDEX(Intervenções!$K$2:$K$300,AGGREGATE(15,6,(ROW(Intervenções!$K$2:$K$300)-ROW(Intervenções!$K$2)+1)/((Intervenções!$B$2:$B$300=A147)*(Intervenções!$A$2:$A$300=F147)*(Intervenções!$K$2:$K$300&lt;&gt;"")),1)),"")</f>
      </c>
      <c r="AC147" s="4">
        <f>IFERROR(INDEX(Intervenções!$K$2:$K$300,AGGREGATE(15,6,(ROW(Intervenções!$K$2:$K$300)-ROW(Intervenções!$K$2)+1)/((Intervenções!$B$2:$B$300=A147)*(Intervenções!$A$2:$A$300=F147)*(Intervenções!$K$2:$K$300&lt;&gt;"")),2)),"")</f>
      </c>
      <c r="AD147" s="4">
        <f>IFERROR(INDEX(Intervenções!$K$2:$K$300,AGGREGATE(15,6,(ROW(Intervenções!$K$2:$K$300)-ROW(Intervenções!$K$2)+1)/((Intervenções!$B$2:$B$300=A147)*(Intervenções!$A$2:$A$300=F147)*(Intervenções!$K$2:$K$300&lt;&gt;"")),3)),"")</f>
      </c>
      <c r="AE147" s="4">
        <f>"RECONCILIAÇÃO MEDICAMENTOSA"&amp;CHAR(10)&amp;IF(G147&lt;&gt;"","Medicamentos de uso prévio: "&amp;G147&amp;".","Sem medicamentos de uso prévio relatados.")&amp;CHAR(10)&amp;IF(H147&lt;&gt;"","Histórico de alergia/RAM: "&amp;H147&amp;".","Nega alergias/RAM conhecidas.")</f>
      </c>
      <c r="AF147" s="4">
        <f>AE147&amp;CHAR(10)&amp;CHAR(10)&amp;"1. Evolução Clínica"&amp;CHAR(10)&amp;TEXTJOIN(" ",TRUE,"Paciente "&amp;I147&amp;", "&amp;IF(J147="","sem DVA","em uso de "&amp;J147)&amp;".",IF(K147&lt;&gt;"","Em "&amp;K147&amp;IF(L147&lt;&gt;""," ("&amp;L147&amp;")","")&amp;IF(M147&lt;&gt;"", ", "&amp;M147,"")&amp;IF(N147&lt;&gt;"", ", sob analgosedação com "&amp;N147,"")&amp;".",""),IF(O147&lt;&gt;"",O147&amp;IF(P147&lt;&gt;"", ", com "&amp;LOWER(P147),"")&amp;IF(Q147&lt;&gt;"", " — "&amp;Q147,"")&amp;".",""),IF(R147="Febre","Apresentou episódio febril nas últimas 24h"&amp;IF(S147&lt;&gt;""," ("&amp;S147&amp;")","")&amp;".",IF(R147="Afebril","Encontra-se afebril.","")),IF(T147&lt;&gt;"",IF(U147="Sim","Apresenta disfunção renal aguda ","Função renal preservada ")&amp;"("&amp;T147&amp;").",""),IF(V147&lt;&gt;"","Em uso do esquema antimicrobiano com "&amp;V147&amp;".",""),IF(TEXTJOIN(", ",TRUE,IF(W147&lt;&gt;"","TEV ("&amp;W147&amp;")",""),IF(X147&lt;&gt;"","LAMG ("&amp;X147&amp;")",""),IF(Y147&lt;&gt;"","úlcera de córnea com "&amp;Y147,""))&lt;&gt;"","Em uso de profilaxia: "&amp;TEXTJOIN(", ",TRUE,IF(W147&lt;&gt;"","TEV ("&amp;W147&amp;")",""),IF(X147&lt;&gt;"","LAMG ("&amp;X147&amp;")",""),IF(Y147&lt;&gt;"","úlcera de córnea com "&amp;Y147,""))&amp;".",""))&amp;CHAR(10)&amp;CHAR(10)&amp;"2. Farmacoterapia"&amp;CHAR(10)&amp;IF(Z147&lt;&gt;"","Corticoide/DART: "&amp;Z147,"Sem corticoide/DART registrado.")&amp;CHAR(10)&amp;CHAR(10)&amp;"3. Conduta Farmacêutica"&amp;CHAR(10)&amp;IF(TEXTJOIN(CHAR(10),TRUE,AB147,AC147,AD147)="","Nenhuma intervenção registrada hoje.",TEXTJOIN(CHAR(10),TRUE,AB147,AC147,AD147))&amp;CHAR(10)&amp;CHAR(10)&amp;"4. Plano Terapêutico"&amp;CHAR(10)&amp;IF(AA147&lt;&gt;"",AA147,"Não definido.")</f>
      </c>
    </row>
    <row r="148" spans="1:32" x14ac:dyDescent="0.25">
      <c r="A148" s="4"/>
      <c r="B148" s="6">
        <f>IFERROR(INDEX(Pacientes!$A:$A,MATCH($A148,Pacientes!$B:$B,0)),"")</f>
      </c>
      <c r="C148" s="6">
        <f>IFERROR(INDEX(Pacientes!$C:$C,MATCH($A148,Pacientes!$B:$B,0)),"")</f>
      </c>
      <c r="D148" s="6">
        <f>IFERROR(INDEX(Pacientes!$D:$D,MATCH($A148,Pacientes!$B:$B,0)),"")</f>
      </c>
      <c r="E148" s="6">
        <f>IFERROR(INDEX(Pacientes!$E:$E,MATCH($A148,Pacientes!$B:$B,0)),"")</f>
      </c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>
        <f>IFERROR(INDEX(Intervenções!$K$2:$K$300,AGGREGATE(15,6,(ROW(Intervenções!$K$2:$K$300)-ROW(Intervenções!$K$2)+1)/((Intervenções!$B$2:$B$300=A148)*(Intervenções!$A$2:$A$300=F148)*(Intervenções!$K$2:$K$300&lt;&gt;"")),1)),"")</f>
      </c>
      <c r="AC148" s="4">
        <f>IFERROR(INDEX(Intervenções!$K$2:$K$300,AGGREGATE(15,6,(ROW(Intervenções!$K$2:$K$300)-ROW(Intervenções!$K$2)+1)/((Intervenções!$B$2:$B$300=A148)*(Intervenções!$A$2:$A$300=F148)*(Intervenções!$K$2:$K$300&lt;&gt;"")),2)),"")</f>
      </c>
      <c r="AD148" s="4">
        <f>IFERROR(INDEX(Intervenções!$K$2:$K$300,AGGREGATE(15,6,(ROW(Intervenções!$K$2:$K$300)-ROW(Intervenções!$K$2)+1)/((Intervenções!$B$2:$B$300=A148)*(Intervenções!$A$2:$A$300=F148)*(Intervenções!$K$2:$K$300&lt;&gt;"")),3)),"")</f>
      </c>
      <c r="AE148" s="4">
        <f>"RECONCILIAÇÃO MEDICAMENTOSA"&amp;CHAR(10)&amp;IF(G148&lt;&gt;"","Medicamentos de uso prévio: "&amp;G148&amp;".","Sem medicamentos de uso prévio relatados.")&amp;CHAR(10)&amp;IF(H148&lt;&gt;"","Histórico de alergia/RAM: "&amp;H148&amp;".","Nega alergias/RAM conhecidas.")</f>
      </c>
      <c r="AF148" s="4">
        <f>AE148&amp;CHAR(10)&amp;CHAR(10)&amp;"1. Evolução Clínica"&amp;CHAR(10)&amp;TEXTJOIN(" ",TRUE,"Paciente "&amp;I148&amp;", "&amp;IF(J148="","sem DVA","em uso de "&amp;J148)&amp;".",IF(K148&lt;&gt;"","Em "&amp;K148&amp;IF(L148&lt;&gt;""," ("&amp;L148&amp;")","")&amp;IF(M148&lt;&gt;"", ", "&amp;M148,"")&amp;IF(N148&lt;&gt;"", ", sob analgosedação com "&amp;N148,"")&amp;".",""),IF(O148&lt;&gt;"",O148&amp;IF(P148&lt;&gt;"", ", com "&amp;LOWER(P148),"")&amp;IF(Q148&lt;&gt;"", " — "&amp;Q148,"")&amp;".",""),IF(R148="Febre","Apresentou episódio febril nas últimas 24h"&amp;IF(S148&lt;&gt;""," ("&amp;S148&amp;")","")&amp;".",IF(R148="Afebril","Encontra-se afebril.","")),IF(T148&lt;&gt;"",IF(U148="Sim","Apresenta disfunção renal aguda ","Função renal preservada ")&amp;"("&amp;T148&amp;").",""),IF(V148&lt;&gt;"","Em uso do esquema antimicrobiano com "&amp;V148&amp;".",""),IF(TEXTJOIN(", ",TRUE,IF(W148&lt;&gt;"","TEV ("&amp;W148&amp;")",""),IF(X148&lt;&gt;"","LAMG ("&amp;X148&amp;")",""),IF(Y148&lt;&gt;"","úlcera de córnea com "&amp;Y148,""))&lt;&gt;"","Em uso de profilaxia: "&amp;TEXTJOIN(", ",TRUE,IF(W148&lt;&gt;"","TEV ("&amp;W148&amp;")",""),IF(X148&lt;&gt;"","LAMG ("&amp;X148&amp;")",""),IF(Y148&lt;&gt;"","úlcera de córnea com "&amp;Y148,""))&amp;".",""))&amp;CHAR(10)&amp;CHAR(10)&amp;"2. Farmacoterapia"&amp;CHAR(10)&amp;IF(Z148&lt;&gt;"","Corticoide/DART: "&amp;Z148,"Sem corticoide/DART registrado.")&amp;CHAR(10)&amp;CHAR(10)&amp;"3. Conduta Farmacêutica"&amp;CHAR(10)&amp;IF(TEXTJOIN(CHAR(10),TRUE,AB148,AC148,AD148)="","Nenhuma intervenção registrada hoje.",TEXTJOIN(CHAR(10),TRUE,AB148,AC148,AD148))&amp;CHAR(10)&amp;CHAR(10)&amp;"4. Plano Terapêutico"&amp;CHAR(10)&amp;IF(AA148&lt;&gt;"",AA148,"Não definido.")</f>
      </c>
    </row>
    <row r="149" spans="1:32" x14ac:dyDescent="0.25">
      <c r="A149" s="4"/>
      <c r="B149" s="6">
        <f>IFERROR(INDEX(Pacientes!$A:$A,MATCH($A149,Pacientes!$B:$B,0)),"")</f>
      </c>
      <c r="C149" s="6">
        <f>IFERROR(INDEX(Pacientes!$C:$C,MATCH($A149,Pacientes!$B:$B,0)),"")</f>
      </c>
      <c r="D149" s="6">
        <f>IFERROR(INDEX(Pacientes!$D:$D,MATCH($A149,Pacientes!$B:$B,0)),"")</f>
      </c>
      <c r="E149" s="6">
        <f>IFERROR(INDEX(Pacientes!$E:$E,MATCH($A149,Pacientes!$B:$B,0)),"")</f>
      </c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>
        <f>IFERROR(INDEX(Intervenções!$K$2:$K$300,AGGREGATE(15,6,(ROW(Intervenções!$K$2:$K$300)-ROW(Intervenções!$K$2)+1)/((Intervenções!$B$2:$B$300=A149)*(Intervenções!$A$2:$A$300=F149)*(Intervenções!$K$2:$K$300&lt;&gt;"")),1)),"")</f>
      </c>
      <c r="AC149" s="4">
        <f>IFERROR(INDEX(Intervenções!$K$2:$K$300,AGGREGATE(15,6,(ROW(Intervenções!$K$2:$K$300)-ROW(Intervenções!$K$2)+1)/((Intervenções!$B$2:$B$300=A149)*(Intervenções!$A$2:$A$300=F149)*(Intervenções!$K$2:$K$300&lt;&gt;"")),2)),"")</f>
      </c>
      <c r="AD149" s="4">
        <f>IFERROR(INDEX(Intervenções!$K$2:$K$300,AGGREGATE(15,6,(ROW(Intervenções!$K$2:$K$300)-ROW(Intervenções!$K$2)+1)/((Intervenções!$B$2:$B$300=A149)*(Intervenções!$A$2:$A$300=F149)*(Intervenções!$K$2:$K$300&lt;&gt;"")),3)),"")</f>
      </c>
      <c r="AE149" s="4">
        <f>"RECONCILIAÇÃO MEDICAMENTOSA"&amp;CHAR(10)&amp;IF(G149&lt;&gt;"","Medicamentos de uso prévio: "&amp;G149&amp;".","Sem medicamentos de uso prévio relatados.")&amp;CHAR(10)&amp;IF(H149&lt;&gt;"","Histórico de alergia/RAM: "&amp;H149&amp;".","Nega alergias/RAM conhecidas.")</f>
      </c>
      <c r="AF149" s="4">
        <f>AE149&amp;CHAR(10)&amp;CHAR(10)&amp;"1. Evolução Clínica"&amp;CHAR(10)&amp;TEXTJOIN(" ",TRUE,"Paciente "&amp;I149&amp;", "&amp;IF(J149="","sem DVA","em uso de "&amp;J149)&amp;".",IF(K149&lt;&gt;"","Em "&amp;K149&amp;IF(L149&lt;&gt;""," ("&amp;L149&amp;")","")&amp;IF(M149&lt;&gt;"", ", "&amp;M149,"")&amp;IF(N149&lt;&gt;"", ", sob analgosedação com "&amp;N149,"")&amp;".",""),IF(O149&lt;&gt;"",O149&amp;IF(P149&lt;&gt;"", ", com "&amp;LOWER(P149),"")&amp;IF(Q149&lt;&gt;"", " — "&amp;Q149,"")&amp;".",""),IF(R149="Febre","Apresentou episódio febril nas últimas 24h"&amp;IF(S149&lt;&gt;""," ("&amp;S149&amp;")","")&amp;".",IF(R149="Afebril","Encontra-se afebril.","")),IF(T149&lt;&gt;"",IF(U149="Sim","Apresenta disfunção renal aguda ","Função renal preservada ")&amp;"("&amp;T149&amp;").",""),IF(V149&lt;&gt;"","Em uso do esquema antimicrobiano com "&amp;V149&amp;".",""),IF(TEXTJOIN(", ",TRUE,IF(W149&lt;&gt;"","TEV ("&amp;W149&amp;")",""),IF(X149&lt;&gt;"","LAMG ("&amp;X149&amp;")",""),IF(Y149&lt;&gt;"","úlcera de córnea com "&amp;Y149,""))&lt;&gt;"","Em uso de profilaxia: "&amp;TEXTJOIN(", ",TRUE,IF(W149&lt;&gt;"","TEV ("&amp;W149&amp;")",""),IF(X149&lt;&gt;"","LAMG ("&amp;X149&amp;")",""),IF(Y149&lt;&gt;"","úlcera de córnea com "&amp;Y149,""))&amp;".",""))&amp;CHAR(10)&amp;CHAR(10)&amp;"2. Farmacoterapia"&amp;CHAR(10)&amp;IF(Z149&lt;&gt;"","Corticoide/DART: "&amp;Z149,"Sem corticoide/DART registrado.")&amp;CHAR(10)&amp;CHAR(10)&amp;"3. Conduta Farmacêutica"&amp;CHAR(10)&amp;IF(TEXTJOIN(CHAR(10),TRUE,AB149,AC149,AD149)="","Nenhuma intervenção registrada hoje.",TEXTJOIN(CHAR(10),TRUE,AB149,AC149,AD149))&amp;CHAR(10)&amp;CHAR(10)&amp;"4. Plano Terapêutico"&amp;CHAR(10)&amp;IF(AA149&lt;&gt;"",AA149,"Não definido.")</f>
      </c>
    </row>
    <row r="150" spans="1:32" x14ac:dyDescent="0.25">
      <c r="A150" s="4"/>
      <c r="B150" s="6">
        <f>IFERROR(INDEX(Pacientes!$A:$A,MATCH($A150,Pacientes!$B:$B,0)),"")</f>
      </c>
      <c r="C150" s="6">
        <f>IFERROR(INDEX(Pacientes!$C:$C,MATCH($A150,Pacientes!$B:$B,0)),"")</f>
      </c>
      <c r="D150" s="6">
        <f>IFERROR(INDEX(Pacientes!$D:$D,MATCH($A150,Pacientes!$B:$B,0)),"")</f>
      </c>
      <c r="E150" s="6">
        <f>IFERROR(INDEX(Pacientes!$E:$E,MATCH($A150,Pacientes!$B:$B,0)),"")</f>
      </c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>
        <f>IFERROR(INDEX(Intervenções!$K$2:$K$300,AGGREGATE(15,6,(ROW(Intervenções!$K$2:$K$300)-ROW(Intervenções!$K$2)+1)/((Intervenções!$B$2:$B$300=A150)*(Intervenções!$A$2:$A$300=F150)*(Intervenções!$K$2:$K$300&lt;&gt;"")),1)),"")</f>
      </c>
      <c r="AC150" s="4">
        <f>IFERROR(INDEX(Intervenções!$K$2:$K$300,AGGREGATE(15,6,(ROW(Intervenções!$K$2:$K$300)-ROW(Intervenções!$K$2)+1)/((Intervenções!$B$2:$B$300=A150)*(Intervenções!$A$2:$A$300=F150)*(Intervenções!$K$2:$K$300&lt;&gt;"")),2)),"")</f>
      </c>
      <c r="AD150" s="4">
        <f>IFERROR(INDEX(Intervenções!$K$2:$K$300,AGGREGATE(15,6,(ROW(Intervenções!$K$2:$K$300)-ROW(Intervenções!$K$2)+1)/((Intervenções!$B$2:$B$300=A150)*(Intervenções!$A$2:$A$300=F150)*(Intervenções!$K$2:$K$300&lt;&gt;"")),3)),"")</f>
      </c>
      <c r="AE150" s="4">
        <f>"RECONCILIAÇÃO MEDICAMENTOSA"&amp;CHAR(10)&amp;IF(G150&lt;&gt;"","Medicamentos de uso prévio: "&amp;G150&amp;".","Sem medicamentos de uso prévio relatados.")&amp;CHAR(10)&amp;IF(H150&lt;&gt;"","Histórico de alergia/RAM: "&amp;H150&amp;".","Nega alergias/RAM conhecidas.")</f>
      </c>
      <c r="AF150" s="4">
        <f>AE150&amp;CHAR(10)&amp;CHAR(10)&amp;"1. Evolução Clínica"&amp;CHAR(10)&amp;TEXTJOIN(" ",TRUE,"Paciente "&amp;I150&amp;", "&amp;IF(J150="","sem DVA","em uso de "&amp;J150)&amp;".",IF(K150&lt;&gt;"","Em "&amp;K150&amp;IF(L150&lt;&gt;""," ("&amp;L150&amp;")","")&amp;IF(M150&lt;&gt;"", ", "&amp;M150,"")&amp;IF(N150&lt;&gt;"", ", sob analgosedação com "&amp;N150,"")&amp;".",""),IF(O150&lt;&gt;"",O150&amp;IF(P150&lt;&gt;"", ", com "&amp;LOWER(P150),"")&amp;IF(Q150&lt;&gt;"", " — "&amp;Q150,"")&amp;".",""),IF(R150="Febre","Apresentou episódio febril nas últimas 24h"&amp;IF(S150&lt;&gt;""," ("&amp;S150&amp;")","")&amp;".",IF(R150="Afebril","Encontra-se afebril.","")),IF(T150&lt;&gt;"",IF(U150="Sim","Apresenta disfunção renal aguda ","Função renal preservada ")&amp;"("&amp;T150&amp;").",""),IF(V150&lt;&gt;"","Em uso do esquema antimicrobiano com "&amp;V150&amp;".",""),IF(TEXTJOIN(", ",TRUE,IF(W150&lt;&gt;"","TEV ("&amp;W150&amp;")",""),IF(X150&lt;&gt;"","LAMG ("&amp;X150&amp;")",""),IF(Y150&lt;&gt;"","úlcera de córnea com "&amp;Y150,""))&lt;&gt;"","Em uso de profilaxia: "&amp;TEXTJOIN(", ",TRUE,IF(W150&lt;&gt;"","TEV ("&amp;W150&amp;")",""),IF(X150&lt;&gt;"","LAMG ("&amp;X150&amp;")",""),IF(Y150&lt;&gt;"","úlcera de córnea com "&amp;Y150,""))&amp;".",""))&amp;CHAR(10)&amp;CHAR(10)&amp;"2. Farmacoterapia"&amp;CHAR(10)&amp;IF(Z150&lt;&gt;"","Corticoide/DART: "&amp;Z150,"Sem corticoide/DART registrado.")&amp;CHAR(10)&amp;CHAR(10)&amp;"3. Conduta Farmacêutica"&amp;CHAR(10)&amp;IF(TEXTJOIN(CHAR(10),TRUE,AB150,AC150,AD150)="","Nenhuma intervenção registrada hoje.",TEXTJOIN(CHAR(10),TRUE,AB150,AC150,AD150))&amp;CHAR(10)&amp;CHAR(10)&amp;"4. Plano Terapêutico"&amp;CHAR(10)&amp;IF(AA150&lt;&gt;"",AA150,"Não definido.")</f>
      </c>
    </row>
    <row r="151" spans="1:32" x14ac:dyDescent="0.25">
      <c r="A151" s="4"/>
      <c r="B151" s="6">
        <f>IFERROR(INDEX(Pacientes!$A:$A,MATCH($A151,Pacientes!$B:$B,0)),"")</f>
      </c>
      <c r="C151" s="6">
        <f>IFERROR(INDEX(Pacientes!$C:$C,MATCH($A151,Pacientes!$B:$B,0)),"")</f>
      </c>
      <c r="D151" s="6">
        <f>IFERROR(INDEX(Pacientes!$D:$D,MATCH($A151,Pacientes!$B:$B,0)),"")</f>
      </c>
      <c r="E151" s="6">
        <f>IFERROR(INDEX(Pacientes!$E:$E,MATCH($A151,Pacientes!$B:$B,0)),"")</f>
      </c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>
        <f>IFERROR(INDEX(Intervenções!$K$2:$K$300,AGGREGATE(15,6,(ROW(Intervenções!$K$2:$K$300)-ROW(Intervenções!$K$2)+1)/((Intervenções!$B$2:$B$300=A151)*(Intervenções!$A$2:$A$300=F151)*(Intervenções!$K$2:$K$300&lt;&gt;"")),1)),"")</f>
      </c>
      <c r="AC151" s="4">
        <f>IFERROR(INDEX(Intervenções!$K$2:$K$300,AGGREGATE(15,6,(ROW(Intervenções!$K$2:$K$300)-ROW(Intervenções!$K$2)+1)/((Intervenções!$B$2:$B$300=A151)*(Intervenções!$A$2:$A$300=F151)*(Intervenções!$K$2:$K$300&lt;&gt;"")),2)),"")</f>
      </c>
      <c r="AD151" s="4">
        <f>IFERROR(INDEX(Intervenções!$K$2:$K$300,AGGREGATE(15,6,(ROW(Intervenções!$K$2:$K$300)-ROW(Intervenções!$K$2)+1)/((Intervenções!$B$2:$B$300=A151)*(Intervenções!$A$2:$A$300=F151)*(Intervenções!$K$2:$K$300&lt;&gt;"")),3)),"")</f>
      </c>
      <c r="AE151" s="4">
        <f>"RECONCILIAÇÃO MEDICAMENTOSA"&amp;CHAR(10)&amp;IF(G151&lt;&gt;"","Medicamentos de uso prévio: "&amp;G151&amp;".","Sem medicamentos de uso prévio relatados.")&amp;CHAR(10)&amp;IF(H151&lt;&gt;"","Histórico de alergia/RAM: "&amp;H151&amp;".","Nega alergias/RAM conhecidas.")</f>
      </c>
      <c r="AF151" s="4">
        <f>AE151&amp;CHAR(10)&amp;CHAR(10)&amp;"1. Evolução Clínica"&amp;CHAR(10)&amp;TEXTJOIN(" ",TRUE,"Paciente "&amp;I151&amp;", "&amp;IF(J151="","sem DVA","em uso de "&amp;J151)&amp;".",IF(K151&lt;&gt;"","Em "&amp;K151&amp;IF(L151&lt;&gt;""," ("&amp;L151&amp;")","")&amp;IF(M151&lt;&gt;"", ", "&amp;M151,"")&amp;IF(N151&lt;&gt;"", ", sob analgosedação com "&amp;N151,"")&amp;".",""),IF(O151&lt;&gt;"",O151&amp;IF(P151&lt;&gt;"", ", com "&amp;LOWER(P151),"")&amp;IF(Q151&lt;&gt;"", " — "&amp;Q151,"")&amp;".",""),IF(R151="Febre","Apresentou episódio febril nas últimas 24h"&amp;IF(S151&lt;&gt;""," ("&amp;S151&amp;")","")&amp;".",IF(R151="Afebril","Encontra-se afebril.","")),IF(T151&lt;&gt;"",IF(U151="Sim","Apresenta disfunção renal aguda ","Função renal preservada ")&amp;"("&amp;T151&amp;").",""),IF(V151&lt;&gt;"","Em uso do esquema antimicrobiano com "&amp;V151&amp;".",""),IF(TEXTJOIN(", ",TRUE,IF(W151&lt;&gt;"","TEV ("&amp;W151&amp;")",""),IF(X151&lt;&gt;"","LAMG ("&amp;X151&amp;")",""),IF(Y151&lt;&gt;"","úlcera de córnea com "&amp;Y151,""))&lt;&gt;"","Em uso de profilaxia: "&amp;TEXTJOIN(", ",TRUE,IF(W151&lt;&gt;"","TEV ("&amp;W151&amp;")",""),IF(X151&lt;&gt;"","LAMG ("&amp;X151&amp;")",""),IF(Y151&lt;&gt;"","úlcera de córnea com "&amp;Y151,""))&amp;".",""))&amp;CHAR(10)&amp;CHAR(10)&amp;"2. Farmacoterapia"&amp;CHAR(10)&amp;IF(Z151&lt;&gt;"","Corticoide/DART: "&amp;Z151,"Sem corticoide/DART registrado.")&amp;CHAR(10)&amp;CHAR(10)&amp;"3. Conduta Farmacêutica"&amp;CHAR(10)&amp;IF(TEXTJOIN(CHAR(10),TRUE,AB151,AC151,AD151)="","Nenhuma intervenção registrada hoje.",TEXTJOIN(CHAR(10),TRUE,AB151,AC151,AD151))&amp;CHAR(10)&amp;CHAR(10)&amp;"4. Plano Terapêutico"&amp;CHAR(10)&amp;IF(AA151&lt;&gt;"",AA151,"Não definido.")</f>
      </c>
    </row>
    <row r="152" spans="1:32" x14ac:dyDescent="0.25">
      <c r="A152" s="4"/>
      <c r="B152" s="6">
        <f>IFERROR(INDEX(Pacientes!$A:$A,MATCH($A152,Pacientes!$B:$B,0)),"")</f>
      </c>
      <c r="C152" s="6">
        <f>IFERROR(INDEX(Pacientes!$C:$C,MATCH($A152,Pacientes!$B:$B,0)),"")</f>
      </c>
      <c r="D152" s="6">
        <f>IFERROR(INDEX(Pacientes!$D:$D,MATCH($A152,Pacientes!$B:$B,0)),"")</f>
      </c>
      <c r="E152" s="6">
        <f>IFERROR(INDEX(Pacientes!$E:$E,MATCH($A152,Pacientes!$B:$B,0)),"")</f>
      </c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>
        <f>IFERROR(INDEX(Intervenções!$K$2:$K$300,AGGREGATE(15,6,(ROW(Intervenções!$K$2:$K$300)-ROW(Intervenções!$K$2)+1)/((Intervenções!$B$2:$B$300=A152)*(Intervenções!$A$2:$A$300=F152)*(Intervenções!$K$2:$K$300&lt;&gt;"")),1)),"")</f>
      </c>
      <c r="AC152" s="4">
        <f>IFERROR(INDEX(Intervenções!$K$2:$K$300,AGGREGATE(15,6,(ROW(Intervenções!$K$2:$K$300)-ROW(Intervenções!$K$2)+1)/((Intervenções!$B$2:$B$300=A152)*(Intervenções!$A$2:$A$300=F152)*(Intervenções!$K$2:$K$300&lt;&gt;"")),2)),"")</f>
      </c>
      <c r="AD152" s="4">
        <f>IFERROR(INDEX(Intervenções!$K$2:$K$300,AGGREGATE(15,6,(ROW(Intervenções!$K$2:$K$300)-ROW(Intervenções!$K$2)+1)/((Intervenções!$B$2:$B$300=A152)*(Intervenções!$A$2:$A$300=F152)*(Intervenções!$K$2:$K$300&lt;&gt;"")),3)),"")</f>
      </c>
      <c r="AE152" s="4">
        <f>"RECONCILIAÇÃO MEDICAMENTOSA"&amp;CHAR(10)&amp;IF(G152&lt;&gt;"","Medicamentos de uso prévio: "&amp;G152&amp;".","Sem medicamentos de uso prévio relatados.")&amp;CHAR(10)&amp;IF(H152&lt;&gt;"","Histórico de alergia/RAM: "&amp;H152&amp;".","Nega alergias/RAM conhecidas.")</f>
      </c>
      <c r="AF152" s="4">
        <f>AE152&amp;CHAR(10)&amp;CHAR(10)&amp;"1. Evolução Clínica"&amp;CHAR(10)&amp;TEXTJOIN(" ",TRUE,"Paciente "&amp;I152&amp;", "&amp;IF(J152="","sem DVA","em uso de "&amp;J152)&amp;".",IF(K152&lt;&gt;"","Em "&amp;K152&amp;IF(L152&lt;&gt;""," ("&amp;L152&amp;")","")&amp;IF(M152&lt;&gt;"", ", "&amp;M152,"")&amp;IF(N152&lt;&gt;"", ", sob analgosedação com "&amp;N152,"")&amp;".",""),IF(O152&lt;&gt;"",O152&amp;IF(P152&lt;&gt;"", ", com "&amp;LOWER(P152),"")&amp;IF(Q152&lt;&gt;"", " — "&amp;Q152,"")&amp;".",""),IF(R152="Febre","Apresentou episódio febril nas últimas 24h"&amp;IF(S152&lt;&gt;""," ("&amp;S152&amp;")","")&amp;".",IF(R152="Afebril","Encontra-se afebril.","")),IF(T152&lt;&gt;"",IF(U152="Sim","Apresenta disfunção renal aguda ","Função renal preservada ")&amp;"("&amp;T152&amp;").",""),IF(V152&lt;&gt;"","Em uso do esquema antimicrobiano com "&amp;V152&amp;".",""),IF(TEXTJOIN(", ",TRUE,IF(W152&lt;&gt;"","TEV ("&amp;W152&amp;")",""),IF(X152&lt;&gt;"","LAMG ("&amp;X152&amp;")",""),IF(Y152&lt;&gt;"","úlcera de córnea com "&amp;Y152,""))&lt;&gt;"","Em uso de profilaxia: "&amp;TEXTJOIN(", ",TRUE,IF(W152&lt;&gt;"","TEV ("&amp;W152&amp;")",""),IF(X152&lt;&gt;"","LAMG ("&amp;X152&amp;")",""),IF(Y152&lt;&gt;"","úlcera de córnea com "&amp;Y152,""))&amp;".",""))&amp;CHAR(10)&amp;CHAR(10)&amp;"2. Farmacoterapia"&amp;CHAR(10)&amp;IF(Z152&lt;&gt;"","Corticoide/DART: "&amp;Z152,"Sem corticoide/DART registrado.")&amp;CHAR(10)&amp;CHAR(10)&amp;"3. Conduta Farmacêutica"&amp;CHAR(10)&amp;IF(TEXTJOIN(CHAR(10),TRUE,AB152,AC152,AD152)="","Nenhuma intervenção registrada hoje.",TEXTJOIN(CHAR(10),TRUE,AB152,AC152,AD152))&amp;CHAR(10)&amp;CHAR(10)&amp;"4. Plano Terapêutico"&amp;CHAR(10)&amp;IF(AA152&lt;&gt;"",AA152,"Não definido.")</f>
      </c>
    </row>
    <row r="153" spans="1:32" x14ac:dyDescent="0.25">
      <c r="A153" s="4"/>
      <c r="B153" s="6">
        <f>IFERROR(INDEX(Pacientes!$A:$A,MATCH($A153,Pacientes!$B:$B,0)),"")</f>
      </c>
      <c r="C153" s="6">
        <f>IFERROR(INDEX(Pacientes!$C:$C,MATCH($A153,Pacientes!$B:$B,0)),"")</f>
      </c>
      <c r="D153" s="6">
        <f>IFERROR(INDEX(Pacientes!$D:$D,MATCH($A153,Pacientes!$B:$B,0)),"")</f>
      </c>
      <c r="E153" s="6">
        <f>IFERROR(INDEX(Pacientes!$E:$E,MATCH($A153,Pacientes!$B:$B,0)),"")</f>
      </c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>
        <f>IFERROR(INDEX(Intervenções!$K$2:$K$300,AGGREGATE(15,6,(ROW(Intervenções!$K$2:$K$300)-ROW(Intervenções!$K$2)+1)/((Intervenções!$B$2:$B$300=A153)*(Intervenções!$A$2:$A$300=F153)*(Intervenções!$K$2:$K$300&lt;&gt;"")),1)),"")</f>
      </c>
      <c r="AC153" s="4">
        <f>IFERROR(INDEX(Intervenções!$K$2:$K$300,AGGREGATE(15,6,(ROW(Intervenções!$K$2:$K$300)-ROW(Intervenções!$K$2)+1)/((Intervenções!$B$2:$B$300=A153)*(Intervenções!$A$2:$A$300=F153)*(Intervenções!$K$2:$K$300&lt;&gt;"")),2)),"")</f>
      </c>
      <c r="AD153" s="4">
        <f>IFERROR(INDEX(Intervenções!$K$2:$K$300,AGGREGATE(15,6,(ROW(Intervenções!$K$2:$K$300)-ROW(Intervenções!$K$2)+1)/((Intervenções!$B$2:$B$300=A153)*(Intervenções!$A$2:$A$300=F153)*(Intervenções!$K$2:$K$300&lt;&gt;"")),3)),"")</f>
      </c>
      <c r="AE153" s="4">
        <f>"RECONCILIAÇÃO MEDICAMENTOSA"&amp;CHAR(10)&amp;IF(G153&lt;&gt;"","Medicamentos de uso prévio: "&amp;G153&amp;".","Sem medicamentos de uso prévio relatados.")&amp;CHAR(10)&amp;IF(H153&lt;&gt;"","Histórico de alergia/RAM: "&amp;H153&amp;".","Nega alergias/RAM conhecidas.")</f>
      </c>
      <c r="AF153" s="4">
        <f>AE153&amp;CHAR(10)&amp;CHAR(10)&amp;"1. Evolução Clínica"&amp;CHAR(10)&amp;TEXTJOIN(" ",TRUE,"Paciente "&amp;I153&amp;", "&amp;IF(J153="","sem DVA","em uso de "&amp;J153)&amp;".",IF(K153&lt;&gt;"","Em "&amp;K153&amp;IF(L153&lt;&gt;""," ("&amp;L153&amp;")","")&amp;IF(M153&lt;&gt;"", ", "&amp;M153,"")&amp;IF(N153&lt;&gt;"", ", sob analgosedação com "&amp;N153,"")&amp;".",""),IF(O153&lt;&gt;"",O153&amp;IF(P153&lt;&gt;"", ", com "&amp;LOWER(P153),"")&amp;IF(Q153&lt;&gt;"", " — "&amp;Q153,"")&amp;".",""),IF(R153="Febre","Apresentou episódio febril nas últimas 24h"&amp;IF(S153&lt;&gt;""," ("&amp;S153&amp;")","")&amp;".",IF(R153="Afebril","Encontra-se afebril.","")),IF(T153&lt;&gt;"",IF(U153="Sim","Apresenta disfunção renal aguda ","Função renal preservada ")&amp;"("&amp;T153&amp;").",""),IF(V153&lt;&gt;"","Em uso do esquema antimicrobiano com "&amp;V153&amp;".",""),IF(TEXTJOIN(", ",TRUE,IF(W153&lt;&gt;"","TEV ("&amp;W153&amp;")",""),IF(X153&lt;&gt;"","LAMG ("&amp;X153&amp;")",""),IF(Y153&lt;&gt;"","úlcera de córnea com "&amp;Y153,""))&lt;&gt;"","Em uso de profilaxia: "&amp;TEXTJOIN(", ",TRUE,IF(W153&lt;&gt;"","TEV ("&amp;W153&amp;")",""),IF(X153&lt;&gt;"","LAMG ("&amp;X153&amp;")",""),IF(Y153&lt;&gt;"","úlcera de córnea com "&amp;Y153,""))&amp;".",""))&amp;CHAR(10)&amp;CHAR(10)&amp;"2. Farmacoterapia"&amp;CHAR(10)&amp;IF(Z153&lt;&gt;"","Corticoide/DART: "&amp;Z153,"Sem corticoide/DART registrado.")&amp;CHAR(10)&amp;CHAR(10)&amp;"3. Conduta Farmacêutica"&amp;CHAR(10)&amp;IF(TEXTJOIN(CHAR(10),TRUE,AB153,AC153,AD153)="","Nenhuma intervenção registrada hoje.",TEXTJOIN(CHAR(10),TRUE,AB153,AC153,AD153))&amp;CHAR(10)&amp;CHAR(10)&amp;"4. Plano Terapêutico"&amp;CHAR(10)&amp;IF(AA153&lt;&gt;"",AA153,"Não definido.")</f>
      </c>
    </row>
    <row r="154" spans="1:32" x14ac:dyDescent="0.25">
      <c r="A154" s="4"/>
      <c r="B154" s="6">
        <f>IFERROR(INDEX(Pacientes!$A:$A,MATCH($A154,Pacientes!$B:$B,0)),"")</f>
      </c>
      <c r="C154" s="6">
        <f>IFERROR(INDEX(Pacientes!$C:$C,MATCH($A154,Pacientes!$B:$B,0)),"")</f>
      </c>
      <c r="D154" s="6">
        <f>IFERROR(INDEX(Pacientes!$D:$D,MATCH($A154,Pacientes!$B:$B,0)),"")</f>
      </c>
      <c r="E154" s="6">
        <f>IFERROR(INDEX(Pacientes!$E:$E,MATCH($A154,Pacientes!$B:$B,0)),"")</f>
      </c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>
        <f>IFERROR(INDEX(Intervenções!$K$2:$K$300,AGGREGATE(15,6,(ROW(Intervenções!$K$2:$K$300)-ROW(Intervenções!$K$2)+1)/((Intervenções!$B$2:$B$300=A154)*(Intervenções!$A$2:$A$300=F154)*(Intervenções!$K$2:$K$300&lt;&gt;"")),1)),"")</f>
      </c>
      <c r="AC154" s="4">
        <f>IFERROR(INDEX(Intervenções!$K$2:$K$300,AGGREGATE(15,6,(ROW(Intervenções!$K$2:$K$300)-ROW(Intervenções!$K$2)+1)/((Intervenções!$B$2:$B$300=A154)*(Intervenções!$A$2:$A$300=F154)*(Intervenções!$K$2:$K$300&lt;&gt;"")),2)),"")</f>
      </c>
      <c r="AD154" s="4">
        <f>IFERROR(INDEX(Intervenções!$K$2:$K$300,AGGREGATE(15,6,(ROW(Intervenções!$K$2:$K$300)-ROW(Intervenções!$K$2)+1)/((Intervenções!$B$2:$B$300=A154)*(Intervenções!$A$2:$A$300=F154)*(Intervenções!$K$2:$K$300&lt;&gt;"")),3)),"")</f>
      </c>
      <c r="AE154" s="4">
        <f>"RECONCILIAÇÃO MEDICAMENTOSA"&amp;CHAR(10)&amp;IF(G154&lt;&gt;"","Medicamentos de uso prévio: "&amp;G154&amp;".","Sem medicamentos de uso prévio relatados.")&amp;CHAR(10)&amp;IF(H154&lt;&gt;"","Histórico de alergia/RAM: "&amp;H154&amp;".","Nega alergias/RAM conhecidas.")</f>
      </c>
      <c r="AF154" s="4">
        <f>AE154&amp;CHAR(10)&amp;CHAR(10)&amp;"1. Evolução Clínica"&amp;CHAR(10)&amp;TEXTJOIN(" ",TRUE,"Paciente "&amp;I154&amp;", "&amp;IF(J154="","sem DVA","em uso de "&amp;J154)&amp;".",IF(K154&lt;&gt;"","Em "&amp;K154&amp;IF(L154&lt;&gt;""," ("&amp;L154&amp;")","")&amp;IF(M154&lt;&gt;"", ", "&amp;M154,"")&amp;IF(N154&lt;&gt;"", ", sob analgosedação com "&amp;N154,"")&amp;".",""),IF(O154&lt;&gt;"",O154&amp;IF(P154&lt;&gt;"", ", com "&amp;LOWER(P154),"")&amp;IF(Q154&lt;&gt;"", " — "&amp;Q154,"")&amp;".",""),IF(R154="Febre","Apresentou episódio febril nas últimas 24h"&amp;IF(S154&lt;&gt;""," ("&amp;S154&amp;")","")&amp;".",IF(R154="Afebril","Encontra-se afebril.","")),IF(T154&lt;&gt;"",IF(U154="Sim","Apresenta disfunção renal aguda ","Função renal preservada ")&amp;"("&amp;T154&amp;").",""),IF(V154&lt;&gt;"","Em uso do esquema antimicrobiano com "&amp;V154&amp;".",""),IF(TEXTJOIN(", ",TRUE,IF(W154&lt;&gt;"","TEV ("&amp;W154&amp;")",""),IF(X154&lt;&gt;"","LAMG ("&amp;X154&amp;")",""),IF(Y154&lt;&gt;"","úlcera de córnea com "&amp;Y154,""))&lt;&gt;"","Em uso de profilaxia: "&amp;TEXTJOIN(", ",TRUE,IF(W154&lt;&gt;"","TEV ("&amp;W154&amp;")",""),IF(X154&lt;&gt;"","LAMG ("&amp;X154&amp;")",""),IF(Y154&lt;&gt;"","úlcera de córnea com "&amp;Y154,""))&amp;".",""))&amp;CHAR(10)&amp;CHAR(10)&amp;"2. Farmacoterapia"&amp;CHAR(10)&amp;IF(Z154&lt;&gt;"","Corticoide/DART: "&amp;Z154,"Sem corticoide/DART registrado.")&amp;CHAR(10)&amp;CHAR(10)&amp;"3. Conduta Farmacêutica"&amp;CHAR(10)&amp;IF(TEXTJOIN(CHAR(10),TRUE,AB154,AC154,AD154)="","Nenhuma intervenção registrada hoje.",TEXTJOIN(CHAR(10),TRUE,AB154,AC154,AD154))&amp;CHAR(10)&amp;CHAR(10)&amp;"4. Plano Terapêutico"&amp;CHAR(10)&amp;IF(AA154&lt;&gt;"",AA154,"Não definido.")</f>
      </c>
    </row>
    <row r="155" spans="1:32" x14ac:dyDescent="0.25">
      <c r="A155" s="4"/>
      <c r="B155" s="6">
        <f>IFERROR(INDEX(Pacientes!$A:$A,MATCH($A155,Pacientes!$B:$B,0)),"")</f>
      </c>
      <c r="C155" s="6">
        <f>IFERROR(INDEX(Pacientes!$C:$C,MATCH($A155,Pacientes!$B:$B,0)),"")</f>
      </c>
      <c r="D155" s="6">
        <f>IFERROR(INDEX(Pacientes!$D:$D,MATCH($A155,Pacientes!$B:$B,0)),"")</f>
      </c>
      <c r="E155" s="6">
        <f>IFERROR(INDEX(Pacientes!$E:$E,MATCH($A155,Pacientes!$B:$B,0)),"")</f>
      </c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>
        <f>IFERROR(INDEX(Intervenções!$K$2:$K$300,AGGREGATE(15,6,(ROW(Intervenções!$K$2:$K$300)-ROW(Intervenções!$K$2)+1)/((Intervenções!$B$2:$B$300=A155)*(Intervenções!$A$2:$A$300=F155)*(Intervenções!$K$2:$K$300&lt;&gt;"")),1)),"")</f>
      </c>
      <c r="AC155" s="4">
        <f>IFERROR(INDEX(Intervenções!$K$2:$K$300,AGGREGATE(15,6,(ROW(Intervenções!$K$2:$K$300)-ROW(Intervenções!$K$2)+1)/((Intervenções!$B$2:$B$300=A155)*(Intervenções!$A$2:$A$300=F155)*(Intervenções!$K$2:$K$300&lt;&gt;"")),2)),"")</f>
      </c>
      <c r="AD155" s="4">
        <f>IFERROR(INDEX(Intervenções!$K$2:$K$300,AGGREGATE(15,6,(ROW(Intervenções!$K$2:$K$300)-ROW(Intervenções!$K$2)+1)/((Intervenções!$B$2:$B$300=A155)*(Intervenções!$A$2:$A$300=F155)*(Intervenções!$K$2:$K$300&lt;&gt;"")),3)),"")</f>
      </c>
      <c r="AE155" s="4">
        <f>"RECONCILIAÇÃO MEDICAMENTOSA"&amp;CHAR(10)&amp;IF(G155&lt;&gt;"","Medicamentos de uso prévio: "&amp;G155&amp;".","Sem medicamentos de uso prévio relatados.")&amp;CHAR(10)&amp;IF(H155&lt;&gt;"","Histórico de alergia/RAM: "&amp;H155&amp;".","Nega alergias/RAM conhecidas.")</f>
      </c>
      <c r="AF155" s="4">
        <f>AE155&amp;CHAR(10)&amp;CHAR(10)&amp;"1. Evolução Clínica"&amp;CHAR(10)&amp;TEXTJOIN(" ",TRUE,"Paciente "&amp;I155&amp;", "&amp;IF(J155="","sem DVA","em uso de "&amp;J155)&amp;".",IF(K155&lt;&gt;"","Em "&amp;K155&amp;IF(L155&lt;&gt;""," ("&amp;L155&amp;")","")&amp;IF(M155&lt;&gt;"", ", "&amp;M155,"")&amp;IF(N155&lt;&gt;"", ", sob analgosedação com "&amp;N155,"")&amp;".",""),IF(O155&lt;&gt;"",O155&amp;IF(P155&lt;&gt;"", ", com "&amp;LOWER(P155),"")&amp;IF(Q155&lt;&gt;"", " — "&amp;Q155,"")&amp;".",""),IF(R155="Febre","Apresentou episódio febril nas últimas 24h"&amp;IF(S155&lt;&gt;""," ("&amp;S155&amp;")","")&amp;".",IF(R155="Afebril","Encontra-se afebril.","")),IF(T155&lt;&gt;"",IF(U155="Sim","Apresenta disfunção renal aguda ","Função renal preservada ")&amp;"("&amp;T155&amp;").",""),IF(V155&lt;&gt;"","Em uso do esquema antimicrobiano com "&amp;V155&amp;".",""),IF(TEXTJOIN(", ",TRUE,IF(W155&lt;&gt;"","TEV ("&amp;W155&amp;")",""),IF(X155&lt;&gt;"","LAMG ("&amp;X155&amp;")",""),IF(Y155&lt;&gt;"","úlcera de córnea com "&amp;Y155,""))&lt;&gt;"","Em uso de profilaxia: "&amp;TEXTJOIN(", ",TRUE,IF(W155&lt;&gt;"","TEV ("&amp;W155&amp;")",""),IF(X155&lt;&gt;"","LAMG ("&amp;X155&amp;")",""),IF(Y155&lt;&gt;"","úlcera de córnea com "&amp;Y155,""))&amp;".",""))&amp;CHAR(10)&amp;CHAR(10)&amp;"2. Farmacoterapia"&amp;CHAR(10)&amp;IF(Z155&lt;&gt;"","Corticoide/DART: "&amp;Z155,"Sem corticoide/DART registrado.")&amp;CHAR(10)&amp;CHAR(10)&amp;"3. Conduta Farmacêutica"&amp;CHAR(10)&amp;IF(TEXTJOIN(CHAR(10),TRUE,AB155,AC155,AD155)="","Nenhuma intervenção registrada hoje.",TEXTJOIN(CHAR(10),TRUE,AB155,AC155,AD155))&amp;CHAR(10)&amp;CHAR(10)&amp;"4. Plano Terapêutico"&amp;CHAR(10)&amp;IF(AA155&lt;&gt;"",AA155,"Não definido.")</f>
      </c>
    </row>
    <row r="156" spans="1:32" x14ac:dyDescent="0.25">
      <c r="A156" s="4"/>
      <c r="B156" s="6">
        <f>IFERROR(INDEX(Pacientes!$A:$A,MATCH($A156,Pacientes!$B:$B,0)),"")</f>
      </c>
      <c r="C156" s="6">
        <f>IFERROR(INDEX(Pacientes!$C:$C,MATCH($A156,Pacientes!$B:$B,0)),"")</f>
      </c>
      <c r="D156" s="6">
        <f>IFERROR(INDEX(Pacientes!$D:$D,MATCH($A156,Pacientes!$B:$B,0)),"")</f>
      </c>
      <c r="E156" s="6">
        <f>IFERROR(INDEX(Pacientes!$E:$E,MATCH($A156,Pacientes!$B:$B,0)),"")</f>
      </c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>
        <f>IFERROR(INDEX(Intervenções!$K$2:$K$300,AGGREGATE(15,6,(ROW(Intervenções!$K$2:$K$300)-ROW(Intervenções!$K$2)+1)/((Intervenções!$B$2:$B$300=A156)*(Intervenções!$A$2:$A$300=F156)*(Intervenções!$K$2:$K$300&lt;&gt;"")),1)),"")</f>
      </c>
      <c r="AC156" s="4">
        <f>IFERROR(INDEX(Intervenções!$K$2:$K$300,AGGREGATE(15,6,(ROW(Intervenções!$K$2:$K$300)-ROW(Intervenções!$K$2)+1)/((Intervenções!$B$2:$B$300=A156)*(Intervenções!$A$2:$A$300=F156)*(Intervenções!$K$2:$K$300&lt;&gt;"")),2)),"")</f>
      </c>
      <c r="AD156" s="4">
        <f>IFERROR(INDEX(Intervenções!$K$2:$K$300,AGGREGATE(15,6,(ROW(Intervenções!$K$2:$K$300)-ROW(Intervenções!$K$2)+1)/((Intervenções!$B$2:$B$300=A156)*(Intervenções!$A$2:$A$300=F156)*(Intervenções!$K$2:$K$300&lt;&gt;"")),3)),"")</f>
      </c>
      <c r="AE156" s="4">
        <f>"RECONCILIAÇÃO MEDICAMENTOSA"&amp;CHAR(10)&amp;IF(G156&lt;&gt;"","Medicamentos de uso prévio: "&amp;G156&amp;".","Sem medicamentos de uso prévio relatados.")&amp;CHAR(10)&amp;IF(H156&lt;&gt;"","Histórico de alergia/RAM: "&amp;H156&amp;".","Nega alergias/RAM conhecidas.")</f>
      </c>
      <c r="AF156" s="4">
        <f>AE156&amp;CHAR(10)&amp;CHAR(10)&amp;"1. Evolução Clínica"&amp;CHAR(10)&amp;TEXTJOIN(" ",TRUE,"Paciente "&amp;I156&amp;", "&amp;IF(J156="","sem DVA","em uso de "&amp;J156)&amp;".",IF(K156&lt;&gt;"","Em "&amp;K156&amp;IF(L156&lt;&gt;""," ("&amp;L156&amp;")","")&amp;IF(M156&lt;&gt;"", ", "&amp;M156,"")&amp;IF(N156&lt;&gt;"", ", sob analgosedação com "&amp;N156,"")&amp;".",""),IF(O156&lt;&gt;"",O156&amp;IF(P156&lt;&gt;"", ", com "&amp;LOWER(P156),"")&amp;IF(Q156&lt;&gt;"", " — "&amp;Q156,"")&amp;".",""),IF(R156="Febre","Apresentou episódio febril nas últimas 24h"&amp;IF(S156&lt;&gt;""," ("&amp;S156&amp;")","")&amp;".",IF(R156="Afebril","Encontra-se afebril.","")),IF(T156&lt;&gt;"",IF(U156="Sim","Apresenta disfunção renal aguda ","Função renal preservada ")&amp;"("&amp;T156&amp;").",""),IF(V156&lt;&gt;"","Em uso do esquema antimicrobiano com "&amp;V156&amp;".",""),IF(TEXTJOIN(", ",TRUE,IF(W156&lt;&gt;"","TEV ("&amp;W156&amp;")",""),IF(X156&lt;&gt;"","LAMG ("&amp;X156&amp;")",""),IF(Y156&lt;&gt;"","úlcera de córnea com "&amp;Y156,""))&lt;&gt;"","Em uso de profilaxia: "&amp;TEXTJOIN(", ",TRUE,IF(W156&lt;&gt;"","TEV ("&amp;W156&amp;")",""),IF(X156&lt;&gt;"","LAMG ("&amp;X156&amp;")",""),IF(Y156&lt;&gt;"","úlcera de córnea com "&amp;Y156,""))&amp;".",""))&amp;CHAR(10)&amp;CHAR(10)&amp;"2. Farmacoterapia"&amp;CHAR(10)&amp;IF(Z156&lt;&gt;"","Corticoide/DART: "&amp;Z156,"Sem corticoide/DART registrado.")&amp;CHAR(10)&amp;CHAR(10)&amp;"3. Conduta Farmacêutica"&amp;CHAR(10)&amp;IF(TEXTJOIN(CHAR(10),TRUE,AB156,AC156,AD156)="","Nenhuma intervenção registrada hoje.",TEXTJOIN(CHAR(10),TRUE,AB156,AC156,AD156))&amp;CHAR(10)&amp;CHAR(10)&amp;"4. Plano Terapêutico"&amp;CHAR(10)&amp;IF(AA156&lt;&gt;"",AA156,"Não definido.")</f>
      </c>
    </row>
    <row r="157" spans="1:32" x14ac:dyDescent="0.25">
      <c r="A157" s="4"/>
      <c r="B157" s="6">
        <f>IFERROR(INDEX(Pacientes!$A:$A,MATCH($A157,Pacientes!$B:$B,0)),"")</f>
      </c>
      <c r="C157" s="6">
        <f>IFERROR(INDEX(Pacientes!$C:$C,MATCH($A157,Pacientes!$B:$B,0)),"")</f>
      </c>
      <c r="D157" s="6">
        <f>IFERROR(INDEX(Pacientes!$D:$D,MATCH($A157,Pacientes!$B:$B,0)),"")</f>
      </c>
      <c r="E157" s="6">
        <f>IFERROR(INDEX(Pacientes!$E:$E,MATCH($A157,Pacientes!$B:$B,0)),"")</f>
      </c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>
        <f>IFERROR(INDEX(Intervenções!$K$2:$K$300,AGGREGATE(15,6,(ROW(Intervenções!$K$2:$K$300)-ROW(Intervenções!$K$2)+1)/((Intervenções!$B$2:$B$300=A157)*(Intervenções!$A$2:$A$300=F157)*(Intervenções!$K$2:$K$300&lt;&gt;"")),1)),"")</f>
      </c>
      <c r="AC157" s="4">
        <f>IFERROR(INDEX(Intervenções!$K$2:$K$300,AGGREGATE(15,6,(ROW(Intervenções!$K$2:$K$300)-ROW(Intervenções!$K$2)+1)/((Intervenções!$B$2:$B$300=A157)*(Intervenções!$A$2:$A$300=F157)*(Intervenções!$K$2:$K$300&lt;&gt;"")),2)),"")</f>
      </c>
      <c r="AD157" s="4">
        <f>IFERROR(INDEX(Intervenções!$K$2:$K$300,AGGREGATE(15,6,(ROW(Intervenções!$K$2:$K$300)-ROW(Intervenções!$K$2)+1)/((Intervenções!$B$2:$B$300=A157)*(Intervenções!$A$2:$A$300=F157)*(Intervenções!$K$2:$K$300&lt;&gt;"")),3)),"")</f>
      </c>
      <c r="AE157" s="4">
        <f>"RECONCILIAÇÃO MEDICAMENTOSA"&amp;CHAR(10)&amp;IF(G157&lt;&gt;"","Medicamentos de uso prévio: "&amp;G157&amp;".","Sem medicamentos de uso prévio relatados.")&amp;CHAR(10)&amp;IF(H157&lt;&gt;"","Histórico de alergia/RAM: "&amp;H157&amp;".","Nega alergias/RAM conhecidas.")</f>
      </c>
      <c r="AF157" s="4">
        <f>AE157&amp;CHAR(10)&amp;CHAR(10)&amp;"1. Evolução Clínica"&amp;CHAR(10)&amp;TEXTJOIN(" ",TRUE,"Paciente "&amp;I157&amp;", "&amp;IF(J157="","sem DVA","em uso de "&amp;J157)&amp;".",IF(K157&lt;&gt;"","Em "&amp;K157&amp;IF(L157&lt;&gt;""," ("&amp;L157&amp;")","")&amp;IF(M157&lt;&gt;"", ", "&amp;M157,"")&amp;IF(N157&lt;&gt;"", ", sob analgosedação com "&amp;N157,"")&amp;".",""),IF(O157&lt;&gt;"",O157&amp;IF(P157&lt;&gt;"", ", com "&amp;LOWER(P157),"")&amp;IF(Q157&lt;&gt;"", " — "&amp;Q157,"")&amp;".",""),IF(R157="Febre","Apresentou episódio febril nas últimas 24h"&amp;IF(S157&lt;&gt;""," ("&amp;S157&amp;")","")&amp;".",IF(R157="Afebril","Encontra-se afebril.","")),IF(T157&lt;&gt;"",IF(U157="Sim","Apresenta disfunção renal aguda ","Função renal preservada ")&amp;"("&amp;T157&amp;").",""),IF(V157&lt;&gt;"","Em uso do esquema antimicrobiano com "&amp;V157&amp;".",""),IF(TEXTJOIN(", ",TRUE,IF(W157&lt;&gt;"","TEV ("&amp;W157&amp;")",""),IF(X157&lt;&gt;"","LAMG ("&amp;X157&amp;")",""),IF(Y157&lt;&gt;"","úlcera de córnea com "&amp;Y157,""))&lt;&gt;"","Em uso de profilaxia: "&amp;TEXTJOIN(", ",TRUE,IF(W157&lt;&gt;"","TEV ("&amp;W157&amp;")",""),IF(X157&lt;&gt;"","LAMG ("&amp;X157&amp;")",""),IF(Y157&lt;&gt;"","úlcera de córnea com "&amp;Y157,""))&amp;".",""))&amp;CHAR(10)&amp;CHAR(10)&amp;"2. Farmacoterapia"&amp;CHAR(10)&amp;IF(Z157&lt;&gt;"","Corticoide/DART: "&amp;Z157,"Sem corticoide/DART registrado.")&amp;CHAR(10)&amp;CHAR(10)&amp;"3. Conduta Farmacêutica"&amp;CHAR(10)&amp;IF(TEXTJOIN(CHAR(10),TRUE,AB157,AC157,AD157)="","Nenhuma intervenção registrada hoje.",TEXTJOIN(CHAR(10),TRUE,AB157,AC157,AD157))&amp;CHAR(10)&amp;CHAR(10)&amp;"4. Plano Terapêutico"&amp;CHAR(10)&amp;IF(AA157&lt;&gt;"",AA157,"Não definido.")</f>
      </c>
    </row>
    <row r="158" spans="1:32" x14ac:dyDescent="0.25">
      <c r="A158" s="4"/>
      <c r="B158" s="6">
        <f>IFERROR(INDEX(Pacientes!$A:$A,MATCH($A158,Pacientes!$B:$B,0)),"")</f>
      </c>
      <c r="C158" s="6">
        <f>IFERROR(INDEX(Pacientes!$C:$C,MATCH($A158,Pacientes!$B:$B,0)),"")</f>
      </c>
      <c r="D158" s="6">
        <f>IFERROR(INDEX(Pacientes!$D:$D,MATCH($A158,Pacientes!$B:$B,0)),"")</f>
      </c>
      <c r="E158" s="6">
        <f>IFERROR(INDEX(Pacientes!$E:$E,MATCH($A158,Pacientes!$B:$B,0)),"")</f>
      </c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>
        <f>IFERROR(INDEX(Intervenções!$K$2:$K$300,AGGREGATE(15,6,(ROW(Intervenções!$K$2:$K$300)-ROW(Intervenções!$K$2)+1)/((Intervenções!$B$2:$B$300=A158)*(Intervenções!$A$2:$A$300=F158)*(Intervenções!$K$2:$K$300&lt;&gt;"")),1)),"")</f>
      </c>
      <c r="AC158" s="4">
        <f>IFERROR(INDEX(Intervenções!$K$2:$K$300,AGGREGATE(15,6,(ROW(Intervenções!$K$2:$K$300)-ROW(Intervenções!$K$2)+1)/((Intervenções!$B$2:$B$300=A158)*(Intervenções!$A$2:$A$300=F158)*(Intervenções!$K$2:$K$300&lt;&gt;"")),2)),"")</f>
      </c>
      <c r="AD158" s="4">
        <f>IFERROR(INDEX(Intervenções!$K$2:$K$300,AGGREGATE(15,6,(ROW(Intervenções!$K$2:$K$300)-ROW(Intervenções!$K$2)+1)/((Intervenções!$B$2:$B$300=A158)*(Intervenções!$A$2:$A$300=F158)*(Intervenções!$K$2:$K$300&lt;&gt;"")),3)),"")</f>
      </c>
      <c r="AE158" s="4">
        <f>"RECONCILIAÇÃO MEDICAMENTOSA"&amp;CHAR(10)&amp;IF(G158&lt;&gt;"","Medicamentos de uso prévio: "&amp;G158&amp;".","Sem medicamentos de uso prévio relatados.")&amp;CHAR(10)&amp;IF(H158&lt;&gt;"","Histórico de alergia/RAM: "&amp;H158&amp;".","Nega alergias/RAM conhecidas.")</f>
      </c>
      <c r="AF158" s="4">
        <f>AE158&amp;CHAR(10)&amp;CHAR(10)&amp;"1. Evolução Clínica"&amp;CHAR(10)&amp;TEXTJOIN(" ",TRUE,"Paciente "&amp;I158&amp;", "&amp;IF(J158="","sem DVA","em uso de "&amp;J158)&amp;".",IF(K158&lt;&gt;"","Em "&amp;K158&amp;IF(L158&lt;&gt;""," ("&amp;L158&amp;")","")&amp;IF(M158&lt;&gt;"", ", "&amp;M158,"")&amp;IF(N158&lt;&gt;"", ", sob analgosedação com "&amp;N158,"")&amp;".",""),IF(O158&lt;&gt;"",O158&amp;IF(P158&lt;&gt;"", ", com "&amp;LOWER(P158),"")&amp;IF(Q158&lt;&gt;"", " — "&amp;Q158,"")&amp;".",""),IF(R158="Febre","Apresentou episódio febril nas últimas 24h"&amp;IF(S158&lt;&gt;""," ("&amp;S158&amp;")","")&amp;".",IF(R158="Afebril","Encontra-se afebril.","")),IF(T158&lt;&gt;"",IF(U158="Sim","Apresenta disfunção renal aguda ","Função renal preservada ")&amp;"("&amp;T158&amp;").",""),IF(V158&lt;&gt;"","Em uso do esquema antimicrobiano com "&amp;V158&amp;".",""),IF(TEXTJOIN(", ",TRUE,IF(W158&lt;&gt;"","TEV ("&amp;W158&amp;")",""),IF(X158&lt;&gt;"","LAMG ("&amp;X158&amp;")",""),IF(Y158&lt;&gt;"","úlcera de córnea com "&amp;Y158,""))&lt;&gt;"","Em uso de profilaxia: "&amp;TEXTJOIN(", ",TRUE,IF(W158&lt;&gt;"","TEV ("&amp;W158&amp;")",""),IF(X158&lt;&gt;"","LAMG ("&amp;X158&amp;")",""),IF(Y158&lt;&gt;"","úlcera de córnea com "&amp;Y158,""))&amp;".",""))&amp;CHAR(10)&amp;CHAR(10)&amp;"2. Farmacoterapia"&amp;CHAR(10)&amp;IF(Z158&lt;&gt;"","Corticoide/DART: "&amp;Z158,"Sem corticoide/DART registrado.")&amp;CHAR(10)&amp;CHAR(10)&amp;"3. Conduta Farmacêutica"&amp;CHAR(10)&amp;IF(TEXTJOIN(CHAR(10),TRUE,AB158,AC158,AD158)="","Nenhuma intervenção registrada hoje.",TEXTJOIN(CHAR(10),TRUE,AB158,AC158,AD158))&amp;CHAR(10)&amp;CHAR(10)&amp;"4. Plano Terapêutico"&amp;CHAR(10)&amp;IF(AA158&lt;&gt;"",AA158,"Não definido.")</f>
      </c>
    </row>
    <row r="159" spans="1:32" x14ac:dyDescent="0.25">
      <c r="A159" s="4"/>
      <c r="B159" s="6">
        <f>IFERROR(INDEX(Pacientes!$A:$A,MATCH($A159,Pacientes!$B:$B,0)),"")</f>
      </c>
      <c r="C159" s="6">
        <f>IFERROR(INDEX(Pacientes!$C:$C,MATCH($A159,Pacientes!$B:$B,0)),"")</f>
      </c>
      <c r="D159" s="6">
        <f>IFERROR(INDEX(Pacientes!$D:$D,MATCH($A159,Pacientes!$B:$B,0)),"")</f>
      </c>
      <c r="E159" s="6">
        <f>IFERROR(INDEX(Pacientes!$E:$E,MATCH($A159,Pacientes!$B:$B,0)),"")</f>
      </c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>
        <f>IFERROR(INDEX(Intervenções!$K$2:$K$300,AGGREGATE(15,6,(ROW(Intervenções!$K$2:$K$300)-ROW(Intervenções!$K$2)+1)/((Intervenções!$B$2:$B$300=A159)*(Intervenções!$A$2:$A$300=F159)*(Intervenções!$K$2:$K$300&lt;&gt;"")),1)),"")</f>
      </c>
      <c r="AC159" s="4">
        <f>IFERROR(INDEX(Intervenções!$K$2:$K$300,AGGREGATE(15,6,(ROW(Intervenções!$K$2:$K$300)-ROW(Intervenções!$K$2)+1)/((Intervenções!$B$2:$B$300=A159)*(Intervenções!$A$2:$A$300=F159)*(Intervenções!$K$2:$K$300&lt;&gt;"")),2)),"")</f>
      </c>
      <c r="AD159" s="4">
        <f>IFERROR(INDEX(Intervenções!$K$2:$K$300,AGGREGATE(15,6,(ROW(Intervenções!$K$2:$K$300)-ROW(Intervenções!$K$2)+1)/((Intervenções!$B$2:$B$300=A159)*(Intervenções!$A$2:$A$300=F159)*(Intervenções!$K$2:$K$300&lt;&gt;"")),3)),"")</f>
      </c>
      <c r="AE159" s="4">
        <f>"RECONCILIAÇÃO MEDICAMENTOSA"&amp;CHAR(10)&amp;IF(G159&lt;&gt;"","Medicamentos de uso prévio: "&amp;G159&amp;".","Sem medicamentos de uso prévio relatados.")&amp;CHAR(10)&amp;IF(H159&lt;&gt;"","Histórico de alergia/RAM: "&amp;H159&amp;".","Nega alergias/RAM conhecidas.")</f>
      </c>
      <c r="AF159" s="4">
        <f>AE159&amp;CHAR(10)&amp;CHAR(10)&amp;"1. Evolução Clínica"&amp;CHAR(10)&amp;TEXTJOIN(" ",TRUE,"Paciente "&amp;I159&amp;", "&amp;IF(J159="","sem DVA","em uso de "&amp;J159)&amp;".",IF(K159&lt;&gt;"","Em "&amp;K159&amp;IF(L159&lt;&gt;""," ("&amp;L159&amp;")","")&amp;IF(M159&lt;&gt;"", ", "&amp;M159,"")&amp;IF(N159&lt;&gt;"", ", sob analgosedação com "&amp;N159,"")&amp;".",""),IF(O159&lt;&gt;"",O159&amp;IF(P159&lt;&gt;"", ", com "&amp;LOWER(P159),"")&amp;IF(Q159&lt;&gt;"", " — "&amp;Q159,"")&amp;".",""),IF(R159="Febre","Apresentou episódio febril nas últimas 24h"&amp;IF(S159&lt;&gt;""," ("&amp;S159&amp;")","")&amp;".",IF(R159="Afebril","Encontra-se afebril.","")),IF(T159&lt;&gt;"",IF(U159="Sim","Apresenta disfunção renal aguda ","Função renal preservada ")&amp;"("&amp;T159&amp;").",""),IF(V159&lt;&gt;"","Em uso do esquema antimicrobiano com "&amp;V159&amp;".",""),IF(TEXTJOIN(", ",TRUE,IF(W159&lt;&gt;"","TEV ("&amp;W159&amp;")",""),IF(X159&lt;&gt;"","LAMG ("&amp;X159&amp;")",""),IF(Y159&lt;&gt;"","úlcera de córnea com "&amp;Y159,""))&lt;&gt;"","Em uso de profilaxia: "&amp;TEXTJOIN(", ",TRUE,IF(W159&lt;&gt;"","TEV ("&amp;W159&amp;")",""),IF(X159&lt;&gt;"","LAMG ("&amp;X159&amp;")",""),IF(Y159&lt;&gt;"","úlcera de córnea com "&amp;Y159,""))&amp;".",""))&amp;CHAR(10)&amp;CHAR(10)&amp;"2. Farmacoterapia"&amp;CHAR(10)&amp;IF(Z159&lt;&gt;"","Corticoide/DART: "&amp;Z159,"Sem corticoide/DART registrado.")&amp;CHAR(10)&amp;CHAR(10)&amp;"3. Conduta Farmacêutica"&amp;CHAR(10)&amp;IF(TEXTJOIN(CHAR(10),TRUE,AB159,AC159,AD159)="","Nenhuma intervenção registrada hoje.",TEXTJOIN(CHAR(10),TRUE,AB159,AC159,AD159))&amp;CHAR(10)&amp;CHAR(10)&amp;"4. Plano Terapêutico"&amp;CHAR(10)&amp;IF(AA159&lt;&gt;"",AA159,"Não definido.")</f>
      </c>
    </row>
    <row r="160" spans="1:32" x14ac:dyDescent="0.25">
      <c r="A160" s="4"/>
      <c r="B160" s="6">
        <f>IFERROR(INDEX(Pacientes!$A:$A,MATCH($A160,Pacientes!$B:$B,0)),"")</f>
      </c>
      <c r="C160" s="6">
        <f>IFERROR(INDEX(Pacientes!$C:$C,MATCH($A160,Pacientes!$B:$B,0)),"")</f>
      </c>
      <c r="D160" s="6">
        <f>IFERROR(INDEX(Pacientes!$D:$D,MATCH($A160,Pacientes!$B:$B,0)),"")</f>
      </c>
      <c r="E160" s="6">
        <f>IFERROR(INDEX(Pacientes!$E:$E,MATCH($A160,Pacientes!$B:$B,0)),"")</f>
      </c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>
        <f>IFERROR(INDEX(Intervenções!$K$2:$K$300,AGGREGATE(15,6,(ROW(Intervenções!$K$2:$K$300)-ROW(Intervenções!$K$2)+1)/((Intervenções!$B$2:$B$300=A160)*(Intervenções!$A$2:$A$300=F160)*(Intervenções!$K$2:$K$300&lt;&gt;"")),1)),"")</f>
      </c>
      <c r="AC160" s="4">
        <f>IFERROR(INDEX(Intervenções!$K$2:$K$300,AGGREGATE(15,6,(ROW(Intervenções!$K$2:$K$300)-ROW(Intervenções!$K$2)+1)/((Intervenções!$B$2:$B$300=A160)*(Intervenções!$A$2:$A$300=F160)*(Intervenções!$K$2:$K$300&lt;&gt;"")),2)),"")</f>
      </c>
      <c r="AD160" s="4">
        <f>IFERROR(INDEX(Intervenções!$K$2:$K$300,AGGREGATE(15,6,(ROW(Intervenções!$K$2:$K$300)-ROW(Intervenções!$K$2)+1)/((Intervenções!$B$2:$B$300=A160)*(Intervenções!$A$2:$A$300=F160)*(Intervenções!$K$2:$K$300&lt;&gt;"")),3)),"")</f>
      </c>
      <c r="AE160" s="4">
        <f>"RECONCILIAÇÃO MEDICAMENTOSA"&amp;CHAR(10)&amp;IF(G160&lt;&gt;"","Medicamentos de uso prévio: "&amp;G160&amp;".","Sem medicamentos de uso prévio relatados.")&amp;CHAR(10)&amp;IF(H160&lt;&gt;"","Histórico de alergia/RAM: "&amp;H160&amp;".","Nega alergias/RAM conhecidas.")</f>
      </c>
      <c r="AF160" s="4">
        <f>AE160&amp;CHAR(10)&amp;CHAR(10)&amp;"1. Evolução Clínica"&amp;CHAR(10)&amp;TEXTJOIN(" ",TRUE,"Paciente "&amp;I160&amp;", "&amp;IF(J160="","sem DVA","em uso de "&amp;J160)&amp;".",IF(K160&lt;&gt;"","Em "&amp;K160&amp;IF(L160&lt;&gt;""," ("&amp;L160&amp;")","")&amp;IF(M160&lt;&gt;"", ", "&amp;M160,"")&amp;IF(N160&lt;&gt;"", ", sob analgosedação com "&amp;N160,"")&amp;".",""),IF(O160&lt;&gt;"",O160&amp;IF(P160&lt;&gt;"", ", com "&amp;LOWER(P160),"")&amp;IF(Q160&lt;&gt;"", " — "&amp;Q160,"")&amp;".",""),IF(R160="Febre","Apresentou episódio febril nas últimas 24h"&amp;IF(S160&lt;&gt;""," ("&amp;S160&amp;")","")&amp;".",IF(R160="Afebril","Encontra-se afebril.","")),IF(T160&lt;&gt;"",IF(U160="Sim","Apresenta disfunção renal aguda ","Função renal preservada ")&amp;"("&amp;T160&amp;").",""),IF(V160&lt;&gt;"","Em uso do esquema antimicrobiano com "&amp;V160&amp;".",""),IF(TEXTJOIN(", ",TRUE,IF(W160&lt;&gt;"","TEV ("&amp;W160&amp;")",""),IF(X160&lt;&gt;"","LAMG ("&amp;X160&amp;")",""),IF(Y160&lt;&gt;"","úlcera de córnea com "&amp;Y160,""))&lt;&gt;"","Em uso de profilaxia: "&amp;TEXTJOIN(", ",TRUE,IF(W160&lt;&gt;"","TEV ("&amp;W160&amp;")",""),IF(X160&lt;&gt;"","LAMG ("&amp;X160&amp;")",""),IF(Y160&lt;&gt;"","úlcera de córnea com "&amp;Y160,""))&amp;".",""))&amp;CHAR(10)&amp;CHAR(10)&amp;"2. Farmacoterapia"&amp;CHAR(10)&amp;IF(Z160&lt;&gt;"","Corticoide/DART: "&amp;Z160,"Sem corticoide/DART registrado.")&amp;CHAR(10)&amp;CHAR(10)&amp;"3. Conduta Farmacêutica"&amp;CHAR(10)&amp;IF(TEXTJOIN(CHAR(10),TRUE,AB160,AC160,AD160)="","Nenhuma intervenção registrada hoje.",TEXTJOIN(CHAR(10),TRUE,AB160,AC160,AD160))&amp;CHAR(10)&amp;CHAR(10)&amp;"4. Plano Terapêutico"&amp;CHAR(10)&amp;IF(AA160&lt;&gt;"",AA160,"Não definido.")</f>
      </c>
    </row>
    <row r="161" spans="1:32" x14ac:dyDescent="0.25">
      <c r="A161" s="4"/>
      <c r="B161" s="6">
        <f>IFERROR(INDEX(Pacientes!$A:$A,MATCH($A161,Pacientes!$B:$B,0)),"")</f>
      </c>
      <c r="C161" s="6">
        <f>IFERROR(INDEX(Pacientes!$C:$C,MATCH($A161,Pacientes!$B:$B,0)),"")</f>
      </c>
      <c r="D161" s="6">
        <f>IFERROR(INDEX(Pacientes!$D:$D,MATCH($A161,Pacientes!$B:$B,0)),"")</f>
      </c>
      <c r="E161" s="6">
        <f>IFERROR(INDEX(Pacientes!$E:$E,MATCH($A161,Pacientes!$B:$B,0)),"")</f>
      </c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>
        <f>IFERROR(INDEX(Intervenções!$K$2:$K$300,AGGREGATE(15,6,(ROW(Intervenções!$K$2:$K$300)-ROW(Intervenções!$K$2)+1)/((Intervenções!$B$2:$B$300=A161)*(Intervenções!$A$2:$A$300=F161)*(Intervenções!$K$2:$K$300&lt;&gt;"")),1)),"")</f>
      </c>
      <c r="AC161" s="4">
        <f>IFERROR(INDEX(Intervenções!$K$2:$K$300,AGGREGATE(15,6,(ROW(Intervenções!$K$2:$K$300)-ROW(Intervenções!$K$2)+1)/((Intervenções!$B$2:$B$300=A161)*(Intervenções!$A$2:$A$300=F161)*(Intervenções!$K$2:$K$300&lt;&gt;"")),2)),"")</f>
      </c>
      <c r="AD161" s="4">
        <f>IFERROR(INDEX(Intervenções!$K$2:$K$300,AGGREGATE(15,6,(ROW(Intervenções!$K$2:$K$300)-ROW(Intervenções!$K$2)+1)/((Intervenções!$B$2:$B$300=A161)*(Intervenções!$A$2:$A$300=F161)*(Intervenções!$K$2:$K$300&lt;&gt;"")),3)),"")</f>
      </c>
      <c r="AE161" s="4">
        <f>"RECONCILIAÇÃO MEDICAMENTOSA"&amp;CHAR(10)&amp;IF(G161&lt;&gt;"","Medicamentos de uso prévio: "&amp;G161&amp;".","Sem medicamentos de uso prévio relatados.")&amp;CHAR(10)&amp;IF(H161&lt;&gt;"","Histórico de alergia/RAM: "&amp;H161&amp;".","Nega alergias/RAM conhecidas.")</f>
      </c>
      <c r="AF161" s="4">
        <f>AE161&amp;CHAR(10)&amp;CHAR(10)&amp;"1. Evolução Clínica"&amp;CHAR(10)&amp;TEXTJOIN(" ",TRUE,"Paciente "&amp;I161&amp;", "&amp;IF(J161="","sem DVA","em uso de "&amp;J161)&amp;".",IF(K161&lt;&gt;"","Em "&amp;K161&amp;IF(L161&lt;&gt;""," ("&amp;L161&amp;")","")&amp;IF(M161&lt;&gt;"", ", "&amp;M161,"")&amp;IF(N161&lt;&gt;"", ", sob analgosedação com "&amp;N161,"")&amp;".",""),IF(O161&lt;&gt;"",O161&amp;IF(P161&lt;&gt;"", ", com "&amp;LOWER(P161),"")&amp;IF(Q161&lt;&gt;"", " — "&amp;Q161,"")&amp;".",""),IF(R161="Febre","Apresentou episódio febril nas últimas 24h"&amp;IF(S161&lt;&gt;""," ("&amp;S161&amp;")","")&amp;".",IF(R161="Afebril","Encontra-se afebril.","")),IF(T161&lt;&gt;"",IF(U161="Sim","Apresenta disfunção renal aguda ","Função renal preservada ")&amp;"("&amp;T161&amp;").",""),IF(V161&lt;&gt;"","Em uso do esquema antimicrobiano com "&amp;V161&amp;".",""),IF(TEXTJOIN(", ",TRUE,IF(W161&lt;&gt;"","TEV ("&amp;W161&amp;")",""),IF(X161&lt;&gt;"","LAMG ("&amp;X161&amp;")",""),IF(Y161&lt;&gt;"","úlcera de córnea com "&amp;Y161,""))&lt;&gt;"","Em uso de profilaxia: "&amp;TEXTJOIN(", ",TRUE,IF(W161&lt;&gt;"","TEV ("&amp;W161&amp;")",""),IF(X161&lt;&gt;"","LAMG ("&amp;X161&amp;")",""),IF(Y161&lt;&gt;"","úlcera de córnea com "&amp;Y161,""))&amp;".",""))&amp;CHAR(10)&amp;CHAR(10)&amp;"2. Farmacoterapia"&amp;CHAR(10)&amp;IF(Z161&lt;&gt;"","Corticoide/DART: "&amp;Z161,"Sem corticoide/DART registrado.")&amp;CHAR(10)&amp;CHAR(10)&amp;"3. Conduta Farmacêutica"&amp;CHAR(10)&amp;IF(TEXTJOIN(CHAR(10),TRUE,AB161,AC161,AD161)="","Nenhuma intervenção registrada hoje.",TEXTJOIN(CHAR(10),TRUE,AB161,AC161,AD161))&amp;CHAR(10)&amp;CHAR(10)&amp;"4. Plano Terapêutico"&amp;CHAR(10)&amp;IF(AA161&lt;&gt;"",AA161,"Não definido.")</f>
      </c>
    </row>
    <row r="162" spans="1:32" x14ac:dyDescent="0.25">
      <c r="A162" s="4"/>
      <c r="B162" s="6">
        <f>IFERROR(INDEX(Pacientes!$A:$A,MATCH($A162,Pacientes!$B:$B,0)),"")</f>
      </c>
      <c r="C162" s="6">
        <f>IFERROR(INDEX(Pacientes!$C:$C,MATCH($A162,Pacientes!$B:$B,0)),"")</f>
      </c>
      <c r="D162" s="6">
        <f>IFERROR(INDEX(Pacientes!$D:$D,MATCH($A162,Pacientes!$B:$B,0)),"")</f>
      </c>
      <c r="E162" s="6">
        <f>IFERROR(INDEX(Pacientes!$E:$E,MATCH($A162,Pacientes!$B:$B,0)),"")</f>
      </c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>
        <f>IFERROR(INDEX(Intervenções!$K$2:$K$300,AGGREGATE(15,6,(ROW(Intervenções!$K$2:$K$300)-ROW(Intervenções!$K$2)+1)/((Intervenções!$B$2:$B$300=A162)*(Intervenções!$A$2:$A$300=F162)*(Intervenções!$K$2:$K$300&lt;&gt;"")),1)),"")</f>
      </c>
      <c r="AC162" s="4">
        <f>IFERROR(INDEX(Intervenções!$K$2:$K$300,AGGREGATE(15,6,(ROW(Intervenções!$K$2:$K$300)-ROW(Intervenções!$K$2)+1)/((Intervenções!$B$2:$B$300=A162)*(Intervenções!$A$2:$A$300=F162)*(Intervenções!$K$2:$K$300&lt;&gt;"")),2)),"")</f>
      </c>
      <c r="AD162" s="4">
        <f>IFERROR(INDEX(Intervenções!$K$2:$K$300,AGGREGATE(15,6,(ROW(Intervenções!$K$2:$K$300)-ROW(Intervenções!$K$2)+1)/((Intervenções!$B$2:$B$300=A162)*(Intervenções!$A$2:$A$300=F162)*(Intervenções!$K$2:$K$300&lt;&gt;"")),3)),"")</f>
      </c>
      <c r="AE162" s="4">
        <f>"RECONCILIAÇÃO MEDICAMENTOSA"&amp;CHAR(10)&amp;IF(G162&lt;&gt;"","Medicamentos de uso prévio: "&amp;G162&amp;".","Sem medicamentos de uso prévio relatados.")&amp;CHAR(10)&amp;IF(H162&lt;&gt;"","Histórico de alergia/RAM: "&amp;H162&amp;".","Nega alergias/RAM conhecidas.")</f>
      </c>
      <c r="AF162" s="4">
        <f>AE162&amp;CHAR(10)&amp;CHAR(10)&amp;"1. Evolução Clínica"&amp;CHAR(10)&amp;TEXTJOIN(" ",TRUE,"Paciente "&amp;I162&amp;", "&amp;IF(J162="","sem DVA","em uso de "&amp;J162)&amp;".",IF(K162&lt;&gt;"","Em "&amp;K162&amp;IF(L162&lt;&gt;""," ("&amp;L162&amp;")","")&amp;IF(M162&lt;&gt;"", ", "&amp;M162,"")&amp;IF(N162&lt;&gt;"", ", sob analgosedação com "&amp;N162,"")&amp;".",""),IF(O162&lt;&gt;"",O162&amp;IF(P162&lt;&gt;"", ", com "&amp;LOWER(P162),"")&amp;IF(Q162&lt;&gt;"", " — "&amp;Q162,"")&amp;".",""),IF(R162="Febre","Apresentou episódio febril nas últimas 24h"&amp;IF(S162&lt;&gt;""," ("&amp;S162&amp;")","")&amp;".",IF(R162="Afebril","Encontra-se afebril.","")),IF(T162&lt;&gt;"",IF(U162="Sim","Apresenta disfunção renal aguda ","Função renal preservada ")&amp;"("&amp;T162&amp;").",""),IF(V162&lt;&gt;"","Em uso do esquema antimicrobiano com "&amp;V162&amp;".",""),IF(TEXTJOIN(", ",TRUE,IF(W162&lt;&gt;"","TEV ("&amp;W162&amp;")",""),IF(X162&lt;&gt;"","LAMG ("&amp;X162&amp;")",""),IF(Y162&lt;&gt;"","úlcera de córnea com "&amp;Y162,""))&lt;&gt;"","Em uso de profilaxia: "&amp;TEXTJOIN(", ",TRUE,IF(W162&lt;&gt;"","TEV ("&amp;W162&amp;")",""),IF(X162&lt;&gt;"","LAMG ("&amp;X162&amp;")",""),IF(Y162&lt;&gt;"","úlcera de córnea com "&amp;Y162,""))&amp;".",""))&amp;CHAR(10)&amp;CHAR(10)&amp;"2. Farmacoterapia"&amp;CHAR(10)&amp;IF(Z162&lt;&gt;"","Corticoide/DART: "&amp;Z162,"Sem corticoide/DART registrado.")&amp;CHAR(10)&amp;CHAR(10)&amp;"3. Conduta Farmacêutica"&amp;CHAR(10)&amp;IF(TEXTJOIN(CHAR(10),TRUE,AB162,AC162,AD162)="","Nenhuma intervenção registrada hoje.",TEXTJOIN(CHAR(10),TRUE,AB162,AC162,AD162))&amp;CHAR(10)&amp;CHAR(10)&amp;"4. Plano Terapêutico"&amp;CHAR(10)&amp;IF(AA162&lt;&gt;"",AA162,"Não definido.")</f>
      </c>
    </row>
    <row r="163" spans="1:32" x14ac:dyDescent="0.25">
      <c r="A163" s="4"/>
      <c r="B163" s="6">
        <f>IFERROR(INDEX(Pacientes!$A:$A,MATCH($A163,Pacientes!$B:$B,0)),"")</f>
      </c>
      <c r="C163" s="6">
        <f>IFERROR(INDEX(Pacientes!$C:$C,MATCH($A163,Pacientes!$B:$B,0)),"")</f>
      </c>
      <c r="D163" s="6">
        <f>IFERROR(INDEX(Pacientes!$D:$D,MATCH($A163,Pacientes!$B:$B,0)),"")</f>
      </c>
      <c r="E163" s="6">
        <f>IFERROR(INDEX(Pacientes!$E:$E,MATCH($A163,Pacientes!$B:$B,0)),"")</f>
      </c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>
        <f>IFERROR(INDEX(Intervenções!$K$2:$K$300,AGGREGATE(15,6,(ROW(Intervenções!$K$2:$K$300)-ROW(Intervenções!$K$2)+1)/((Intervenções!$B$2:$B$300=A163)*(Intervenções!$A$2:$A$300=F163)*(Intervenções!$K$2:$K$300&lt;&gt;"")),1)),"")</f>
      </c>
      <c r="AC163" s="4">
        <f>IFERROR(INDEX(Intervenções!$K$2:$K$300,AGGREGATE(15,6,(ROW(Intervenções!$K$2:$K$300)-ROW(Intervenções!$K$2)+1)/((Intervenções!$B$2:$B$300=A163)*(Intervenções!$A$2:$A$300=F163)*(Intervenções!$K$2:$K$300&lt;&gt;"")),2)),"")</f>
      </c>
      <c r="AD163" s="4">
        <f>IFERROR(INDEX(Intervenções!$K$2:$K$300,AGGREGATE(15,6,(ROW(Intervenções!$K$2:$K$300)-ROW(Intervenções!$K$2)+1)/((Intervenções!$B$2:$B$300=A163)*(Intervenções!$A$2:$A$300=F163)*(Intervenções!$K$2:$K$300&lt;&gt;"")),3)),"")</f>
      </c>
      <c r="AE163" s="4">
        <f>"RECONCILIAÇÃO MEDICAMENTOSA"&amp;CHAR(10)&amp;IF(G163&lt;&gt;"","Medicamentos de uso prévio: "&amp;G163&amp;".","Sem medicamentos de uso prévio relatados.")&amp;CHAR(10)&amp;IF(H163&lt;&gt;"","Histórico de alergia/RAM: "&amp;H163&amp;".","Nega alergias/RAM conhecidas.")</f>
      </c>
      <c r="AF163" s="4">
        <f>AE163&amp;CHAR(10)&amp;CHAR(10)&amp;"1. Evolução Clínica"&amp;CHAR(10)&amp;TEXTJOIN(" ",TRUE,"Paciente "&amp;I163&amp;", "&amp;IF(J163="","sem DVA","em uso de "&amp;J163)&amp;".",IF(K163&lt;&gt;"","Em "&amp;K163&amp;IF(L163&lt;&gt;""," ("&amp;L163&amp;")","")&amp;IF(M163&lt;&gt;"", ", "&amp;M163,"")&amp;IF(N163&lt;&gt;"", ", sob analgosedação com "&amp;N163,"")&amp;".",""),IF(O163&lt;&gt;"",O163&amp;IF(P163&lt;&gt;"", ", com "&amp;LOWER(P163),"")&amp;IF(Q163&lt;&gt;"", " — "&amp;Q163,"")&amp;".",""),IF(R163="Febre","Apresentou episódio febril nas últimas 24h"&amp;IF(S163&lt;&gt;""," ("&amp;S163&amp;")","")&amp;".",IF(R163="Afebril","Encontra-se afebril.","")),IF(T163&lt;&gt;"",IF(U163="Sim","Apresenta disfunção renal aguda ","Função renal preservada ")&amp;"("&amp;T163&amp;").",""),IF(V163&lt;&gt;"","Em uso do esquema antimicrobiano com "&amp;V163&amp;".",""),IF(TEXTJOIN(", ",TRUE,IF(W163&lt;&gt;"","TEV ("&amp;W163&amp;")",""),IF(X163&lt;&gt;"","LAMG ("&amp;X163&amp;")",""),IF(Y163&lt;&gt;"","úlcera de córnea com "&amp;Y163,""))&lt;&gt;"","Em uso de profilaxia: "&amp;TEXTJOIN(", ",TRUE,IF(W163&lt;&gt;"","TEV ("&amp;W163&amp;")",""),IF(X163&lt;&gt;"","LAMG ("&amp;X163&amp;")",""),IF(Y163&lt;&gt;"","úlcera de córnea com "&amp;Y163,""))&amp;".",""))&amp;CHAR(10)&amp;CHAR(10)&amp;"2. Farmacoterapia"&amp;CHAR(10)&amp;IF(Z163&lt;&gt;"","Corticoide/DART: "&amp;Z163,"Sem corticoide/DART registrado.")&amp;CHAR(10)&amp;CHAR(10)&amp;"3. Conduta Farmacêutica"&amp;CHAR(10)&amp;IF(TEXTJOIN(CHAR(10),TRUE,AB163,AC163,AD163)="","Nenhuma intervenção registrada hoje.",TEXTJOIN(CHAR(10),TRUE,AB163,AC163,AD163))&amp;CHAR(10)&amp;CHAR(10)&amp;"4. Plano Terapêutico"&amp;CHAR(10)&amp;IF(AA163&lt;&gt;"",AA163,"Não definido.")</f>
      </c>
    </row>
    <row r="164" spans="1:32" x14ac:dyDescent="0.25">
      <c r="A164" s="4"/>
      <c r="B164" s="6">
        <f>IFERROR(INDEX(Pacientes!$A:$A,MATCH($A164,Pacientes!$B:$B,0)),"")</f>
      </c>
      <c r="C164" s="6">
        <f>IFERROR(INDEX(Pacientes!$C:$C,MATCH($A164,Pacientes!$B:$B,0)),"")</f>
      </c>
      <c r="D164" s="6">
        <f>IFERROR(INDEX(Pacientes!$D:$D,MATCH($A164,Pacientes!$B:$B,0)),"")</f>
      </c>
      <c r="E164" s="6">
        <f>IFERROR(INDEX(Pacientes!$E:$E,MATCH($A164,Pacientes!$B:$B,0)),"")</f>
      </c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>
        <f>IFERROR(INDEX(Intervenções!$K$2:$K$300,AGGREGATE(15,6,(ROW(Intervenções!$K$2:$K$300)-ROW(Intervenções!$K$2)+1)/((Intervenções!$B$2:$B$300=A164)*(Intervenções!$A$2:$A$300=F164)*(Intervenções!$K$2:$K$300&lt;&gt;"")),1)),"")</f>
      </c>
      <c r="AC164" s="4">
        <f>IFERROR(INDEX(Intervenções!$K$2:$K$300,AGGREGATE(15,6,(ROW(Intervenções!$K$2:$K$300)-ROW(Intervenções!$K$2)+1)/((Intervenções!$B$2:$B$300=A164)*(Intervenções!$A$2:$A$300=F164)*(Intervenções!$K$2:$K$300&lt;&gt;"")),2)),"")</f>
      </c>
      <c r="AD164" s="4">
        <f>IFERROR(INDEX(Intervenções!$K$2:$K$300,AGGREGATE(15,6,(ROW(Intervenções!$K$2:$K$300)-ROW(Intervenções!$K$2)+1)/((Intervenções!$B$2:$B$300=A164)*(Intervenções!$A$2:$A$300=F164)*(Intervenções!$K$2:$K$300&lt;&gt;"")),3)),"")</f>
      </c>
      <c r="AE164" s="4">
        <f>"RECONCILIAÇÃO MEDICAMENTOSA"&amp;CHAR(10)&amp;IF(G164&lt;&gt;"","Medicamentos de uso prévio: "&amp;G164&amp;".","Sem medicamentos de uso prévio relatados.")&amp;CHAR(10)&amp;IF(H164&lt;&gt;"","Histórico de alergia/RAM: "&amp;H164&amp;".","Nega alergias/RAM conhecidas.")</f>
      </c>
      <c r="AF164" s="4">
        <f>AE164&amp;CHAR(10)&amp;CHAR(10)&amp;"1. Evolução Clínica"&amp;CHAR(10)&amp;TEXTJOIN(" ",TRUE,"Paciente "&amp;I164&amp;", "&amp;IF(J164="","sem DVA","em uso de "&amp;J164)&amp;".",IF(K164&lt;&gt;"","Em "&amp;K164&amp;IF(L164&lt;&gt;""," ("&amp;L164&amp;")","")&amp;IF(M164&lt;&gt;"", ", "&amp;M164,"")&amp;IF(N164&lt;&gt;"", ", sob analgosedação com "&amp;N164,"")&amp;".",""),IF(O164&lt;&gt;"",O164&amp;IF(P164&lt;&gt;"", ", com "&amp;LOWER(P164),"")&amp;IF(Q164&lt;&gt;"", " — "&amp;Q164,"")&amp;".",""),IF(R164="Febre","Apresentou episódio febril nas últimas 24h"&amp;IF(S164&lt;&gt;""," ("&amp;S164&amp;")","")&amp;".",IF(R164="Afebril","Encontra-se afebril.","")),IF(T164&lt;&gt;"",IF(U164="Sim","Apresenta disfunção renal aguda ","Função renal preservada ")&amp;"("&amp;T164&amp;").",""),IF(V164&lt;&gt;"","Em uso do esquema antimicrobiano com "&amp;V164&amp;".",""),IF(TEXTJOIN(", ",TRUE,IF(W164&lt;&gt;"","TEV ("&amp;W164&amp;")",""),IF(X164&lt;&gt;"","LAMG ("&amp;X164&amp;")",""),IF(Y164&lt;&gt;"","úlcera de córnea com "&amp;Y164,""))&lt;&gt;"","Em uso de profilaxia: "&amp;TEXTJOIN(", ",TRUE,IF(W164&lt;&gt;"","TEV ("&amp;W164&amp;")",""),IF(X164&lt;&gt;"","LAMG ("&amp;X164&amp;")",""),IF(Y164&lt;&gt;"","úlcera de córnea com "&amp;Y164,""))&amp;".",""))&amp;CHAR(10)&amp;CHAR(10)&amp;"2. Farmacoterapia"&amp;CHAR(10)&amp;IF(Z164&lt;&gt;"","Corticoide/DART: "&amp;Z164,"Sem corticoide/DART registrado.")&amp;CHAR(10)&amp;CHAR(10)&amp;"3. Conduta Farmacêutica"&amp;CHAR(10)&amp;IF(TEXTJOIN(CHAR(10),TRUE,AB164,AC164,AD164)="","Nenhuma intervenção registrada hoje.",TEXTJOIN(CHAR(10),TRUE,AB164,AC164,AD164))&amp;CHAR(10)&amp;CHAR(10)&amp;"4. Plano Terapêutico"&amp;CHAR(10)&amp;IF(AA164&lt;&gt;"",AA164,"Não definido.")</f>
      </c>
    </row>
    <row r="165" spans="1:32" x14ac:dyDescent="0.25">
      <c r="A165" s="4"/>
      <c r="B165" s="6">
        <f>IFERROR(INDEX(Pacientes!$A:$A,MATCH($A165,Pacientes!$B:$B,0)),"")</f>
      </c>
      <c r="C165" s="6">
        <f>IFERROR(INDEX(Pacientes!$C:$C,MATCH($A165,Pacientes!$B:$B,0)),"")</f>
      </c>
      <c r="D165" s="6">
        <f>IFERROR(INDEX(Pacientes!$D:$D,MATCH($A165,Pacientes!$B:$B,0)),"")</f>
      </c>
      <c r="E165" s="6">
        <f>IFERROR(INDEX(Pacientes!$E:$E,MATCH($A165,Pacientes!$B:$B,0)),"")</f>
      </c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>
        <f>IFERROR(INDEX(Intervenções!$K$2:$K$300,AGGREGATE(15,6,(ROW(Intervenções!$K$2:$K$300)-ROW(Intervenções!$K$2)+1)/((Intervenções!$B$2:$B$300=A165)*(Intervenções!$A$2:$A$300=F165)*(Intervenções!$K$2:$K$300&lt;&gt;"")),1)),"")</f>
      </c>
      <c r="AC165" s="4">
        <f>IFERROR(INDEX(Intervenções!$K$2:$K$300,AGGREGATE(15,6,(ROW(Intervenções!$K$2:$K$300)-ROW(Intervenções!$K$2)+1)/((Intervenções!$B$2:$B$300=A165)*(Intervenções!$A$2:$A$300=F165)*(Intervenções!$K$2:$K$300&lt;&gt;"")),2)),"")</f>
      </c>
      <c r="AD165" s="4">
        <f>IFERROR(INDEX(Intervenções!$K$2:$K$300,AGGREGATE(15,6,(ROW(Intervenções!$K$2:$K$300)-ROW(Intervenções!$K$2)+1)/((Intervenções!$B$2:$B$300=A165)*(Intervenções!$A$2:$A$300=F165)*(Intervenções!$K$2:$K$300&lt;&gt;"")),3)),"")</f>
      </c>
      <c r="AE165" s="4">
        <f>"RECONCILIAÇÃO MEDICAMENTOSA"&amp;CHAR(10)&amp;IF(G165&lt;&gt;"","Medicamentos de uso prévio: "&amp;G165&amp;".","Sem medicamentos de uso prévio relatados.")&amp;CHAR(10)&amp;IF(H165&lt;&gt;"","Histórico de alergia/RAM: "&amp;H165&amp;".","Nega alergias/RAM conhecidas.")</f>
      </c>
      <c r="AF165" s="4">
        <f>AE165&amp;CHAR(10)&amp;CHAR(10)&amp;"1. Evolução Clínica"&amp;CHAR(10)&amp;TEXTJOIN(" ",TRUE,"Paciente "&amp;I165&amp;", "&amp;IF(J165="","sem DVA","em uso de "&amp;J165)&amp;".",IF(K165&lt;&gt;"","Em "&amp;K165&amp;IF(L165&lt;&gt;""," ("&amp;L165&amp;")","")&amp;IF(M165&lt;&gt;"", ", "&amp;M165,"")&amp;IF(N165&lt;&gt;"", ", sob analgosedação com "&amp;N165,"")&amp;".",""),IF(O165&lt;&gt;"",O165&amp;IF(P165&lt;&gt;"", ", com "&amp;LOWER(P165),"")&amp;IF(Q165&lt;&gt;"", " — "&amp;Q165,"")&amp;".",""),IF(R165="Febre","Apresentou episódio febril nas últimas 24h"&amp;IF(S165&lt;&gt;""," ("&amp;S165&amp;")","")&amp;".",IF(R165="Afebril","Encontra-se afebril.","")),IF(T165&lt;&gt;"",IF(U165="Sim","Apresenta disfunção renal aguda ","Função renal preservada ")&amp;"("&amp;T165&amp;").",""),IF(V165&lt;&gt;"","Em uso do esquema antimicrobiano com "&amp;V165&amp;".",""),IF(TEXTJOIN(", ",TRUE,IF(W165&lt;&gt;"","TEV ("&amp;W165&amp;")",""),IF(X165&lt;&gt;"","LAMG ("&amp;X165&amp;")",""),IF(Y165&lt;&gt;"","úlcera de córnea com "&amp;Y165,""))&lt;&gt;"","Em uso de profilaxia: "&amp;TEXTJOIN(", ",TRUE,IF(W165&lt;&gt;"","TEV ("&amp;W165&amp;")",""),IF(X165&lt;&gt;"","LAMG ("&amp;X165&amp;")",""),IF(Y165&lt;&gt;"","úlcera de córnea com "&amp;Y165,""))&amp;".",""))&amp;CHAR(10)&amp;CHAR(10)&amp;"2. Farmacoterapia"&amp;CHAR(10)&amp;IF(Z165&lt;&gt;"","Corticoide/DART: "&amp;Z165,"Sem corticoide/DART registrado.")&amp;CHAR(10)&amp;CHAR(10)&amp;"3. Conduta Farmacêutica"&amp;CHAR(10)&amp;IF(TEXTJOIN(CHAR(10),TRUE,AB165,AC165,AD165)="","Nenhuma intervenção registrada hoje.",TEXTJOIN(CHAR(10),TRUE,AB165,AC165,AD165))&amp;CHAR(10)&amp;CHAR(10)&amp;"4. Plano Terapêutico"&amp;CHAR(10)&amp;IF(AA165&lt;&gt;"",AA165,"Não definido.")</f>
      </c>
    </row>
    <row r="166" spans="1:32" x14ac:dyDescent="0.25">
      <c r="A166" s="4"/>
      <c r="B166" s="6">
        <f>IFERROR(INDEX(Pacientes!$A:$A,MATCH($A166,Pacientes!$B:$B,0)),"")</f>
      </c>
      <c r="C166" s="6">
        <f>IFERROR(INDEX(Pacientes!$C:$C,MATCH($A166,Pacientes!$B:$B,0)),"")</f>
      </c>
      <c r="D166" s="6">
        <f>IFERROR(INDEX(Pacientes!$D:$D,MATCH($A166,Pacientes!$B:$B,0)),"")</f>
      </c>
      <c r="E166" s="6">
        <f>IFERROR(INDEX(Pacientes!$E:$E,MATCH($A166,Pacientes!$B:$B,0)),"")</f>
      </c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>
        <f>IFERROR(INDEX(Intervenções!$K$2:$K$300,AGGREGATE(15,6,(ROW(Intervenções!$K$2:$K$300)-ROW(Intervenções!$K$2)+1)/((Intervenções!$B$2:$B$300=A166)*(Intervenções!$A$2:$A$300=F166)*(Intervenções!$K$2:$K$300&lt;&gt;"")),1)),"")</f>
      </c>
      <c r="AC166" s="4">
        <f>IFERROR(INDEX(Intervenções!$K$2:$K$300,AGGREGATE(15,6,(ROW(Intervenções!$K$2:$K$300)-ROW(Intervenções!$K$2)+1)/((Intervenções!$B$2:$B$300=A166)*(Intervenções!$A$2:$A$300=F166)*(Intervenções!$K$2:$K$300&lt;&gt;"")),2)),"")</f>
      </c>
      <c r="AD166" s="4">
        <f>IFERROR(INDEX(Intervenções!$K$2:$K$300,AGGREGATE(15,6,(ROW(Intervenções!$K$2:$K$300)-ROW(Intervenções!$K$2)+1)/((Intervenções!$B$2:$B$300=A166)*(Intervenções!$A$2:$A$300=F166)*(Intervenções!$K$2:$K$300&lt;&gt;"")),3)),"")</f>
      </c>
      <c r="AE166" s="4">
        <f>"RECONCILIAÇÃO MEDICAMENTOSA"&amp;CHAR(10)&amp;IF(G166&lt;&gt;"","Medicamentos de uso prévio: "&amp;G166&amp;".","Sem medicamentos de uso prévio relatados.")&amp;CHAR(10)&amp;IF(H166&lt;&gt;"","Histórico de alergia/RAM: "&amp;H166&amp;".","Nega alergias/RAM conhecidas.")</f>
      </c>
      <c r="AF166" s="4">
        <f>AE166&amp;CHAR(10)&amp;CHAR(10)&amp;"1. Evolução Clínica"&amp;CHAR(10)&amp;TEXTJOIN(" ",TRUE,"Paciente "&amp;I166&amp;", "&amp;IF(J166="","sem DVA","em uso de "&amp;J166)&amp;".",IF(K166&lt;&gt;"","Em "&amp;K166&amp;IF(L166&lt;&gt;""," ("&amp;L166&amp;")","")&amp;IF(M166&lt;&gt;"", ", "&amp;M166,"")&amp;IF(N166&lt;&gt;"", ", sob analgosedação com "&amp;N166,"")&amp;".",""),IF(O166&lt;&gt;"",O166&amp;IF(P166&lt;&gt;"", ", com "&amp;LOWER(P166),"")&amp;IF(Q166&lt;&gt;"", " — "&amp;Q166,"")&amp;".",""),IF(R166="Febre","Apresentou episódio febril nas últimas 24h"&amp;IF(S166&lt;&gt;""," ("&amp;S166&amp;")","")&amp;".",IF(R166="Afebril","Encontra-se afebril.","")),IF(T166&lt;&gt;"",IF(U166="Sim","Apresenta disfunção renal aguda ","Função renal preservada ")&amp;"("&amp;T166&amp;").",""),IF(V166&lt;&gt;"","Em uso do esquema antimicrobiano com "&amp;V166&amp;".",""),IF(TEXTJOIN(", ",TRUE,IF(W166&lt;&gt;"","TEV ("&amp;W166&amp;")",""),IF(X166&lt;&gt;"","LAMG ("&amp;X166&amp;")",""),IF(Y166&lt;&gt;"","úlcera de córnea com "&amp;Y166,""))&lt;&gt;"","Em uso de profilaxia: "&amp;TEXTJOIN(", ",TRUE,IF(W166&lt;&gt;"","TEV ("&amp;W166&amp;")",""),IF(X166&lt;&gt;"","LAMG ("&amp;X166&amp;")",""),IF(Y166&lt;&gt;"","úlcera de córnea com "&amp;Y166,""))&amp;".",""))&amp;CHAR(10)&amp;CHAR(10)&amp;"2. Farmacoterapia"&amp;CHAR(10)&amp;IF(Z166&lt;&gt;"","Corticoide/DART: "&amp;Z166,"Sem corticoide/DART registrado.")&amp;CHAR(10)&amp;CHAR(10)&amp;"3. Conduta Farmacêutica"&amp;CHAR(10)&amp;IF(TEXTJOIN(CHAR(10),TRUE,AB166,AC166,AD166)="","Nenhuma intervenção registrada hoje.",TEXTJOIN(CHAR(10),TRUE,AB166,AC166,AD166))&amp;CHAR(10)&amp;CHAR(10)&amp;"4. Plano Terapêutico"&amp;CHAR(10)&amp;IF(AA166&lt;&gt;"",AA166,"Não definido.")</f>
      </c>
    </row>
    <row r="167" spans="1:32" x14ac:dyDescent="0.25">
      <c r="A167" s="4"/>
      <c r="B167" s="6">
        <f>IFERROR(INDEX(Pacientes!$A:$A,MATCH($A167,Pacientes!$B:$B,0)),"")</f>
      </c>
      <c r="C167" s="6">
        <f>IFERROR(INDEX(Pacientes!$C:$C,MATCH($A167,Pacientes!$B:$B,0)),"")</f>
      </c>
      <c r="D167" s="6">
        <f>IFERROR(INDEX(Pacientes!$D:$D,MATCH($A167,Pacientes!$B:$B,0)),"")</f>
      </c>
      <c r="E167" s="6">
        <f>IFERROR(INDEX(Pacientes!$E:$E,MATCH($A167,Pacientes!$B:$B,0)),"")</f>
      </c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>
        <f>IFERROR(INDEX(Intervenções!$K$2:$K$300,AGGREGATE(15,6,(ROW(Intervenções!$K$2:$K$300)-ROW(Intervenções!$K$2)+1)/((Intervenções!$B$2:$B$300=A167)*(Intervenções!$A$2:$A$300=F167)*(Intervenções!$K$2:$K$300&lt;&gt;"")),1)),"")</f>
      </c>
      <c r="AC167" s="4">
        <f>IFERROR(INDEX(Intervenções!$K$2:$K$300,AGGREGATE(15,6,(ROW(Intervenções!$K$2:$K$300)-ROW(Intervenções!$K$2)+1)/((Intervenções!$B$2:$B$300=A167)*(Intervenções!$A$2:$A$300=F167)*(Intervenções!$K$2:$K$300&lt;&gt;"")),2)),"")</f>
      </c>
      <c r="AD167" s="4">
        <f>IFERROR(INDEX(Intervenções!$K$2:$K$300,AGGREGATE(15,6,(ROW(Intervenções!$K$2:$K$300)-ROW(Intervenções!$K$2)+1)/((Intervenções!$B$2:$B$300=A167)*(Intervenções!$A$2:$A$300=F167)*(Intervenções!$K$2:$K$300&lt;&gt;"")),3)),"")</f>
      </c>
      <c r="AE167" s="4">
        <f>"RECONCILIAÇÃO MEDICAMENTOSA"&amp;CHAR(10)&amp;IF(G167&lt;&gt;"","Medicamentos de uso prévio: "&amp;G167&amp;".","Sem medicamentos de uso prévio relatados.")&amp;CHAR(10)&amp;IF(H167&lt;&gt;"","Histórico de alergia/RAM: "&amp;H167&amp;".","Nega alergias/RAM conhecidas.")</f>
      </c>
      <c r="AF167" s="4">
        <f>AE167&amp;CHAR(10)&amp;CHAR(10)&amp;"1. Evolução Clínica"&amp;CHAR(10)&amp;TEXTJOIN(" ",TRUE,"Paciente "&amp;I167&amp;", "&amp;IF(J167="","sem DVA","em uso de "&amp;J167)&amp;".",IF(K167&lt;&gt;"","Em "&amp;K167&amp;IF(L167&lt;&gt;""," ("&amp;L167&amp;")","")&amp;IF(M167&lt;&gt;"", ", "&amp;M167,"")&amp;IF(N167&lt;&gt;"", ", sob analgosedação com "&amp;N167,"")&amp;".",""),IF(O167&lt;&gt;"",O167&amp;IF(P167&lt;&gt;"", ", com "&amp;LOWER(P167),"")&amp;IF(Q167&lt;&gt;"", " — "&amp;Q167,"")&amp;".",""),IF(R167="Febre","Apresentou episódio febril nas últimas 24h"&amp;IF(S167&lt;&gt;""," ("&amp;S167&amp;")","")&amp;".",IF(R167="Afebril","Encontra-se afebril.","")),IF(T167&lt;&gt;"",IF(U167="Sim","Apresenta disfunção renal aguda ","Função renal preservada ")&amp;"("&amp;T167&amp;").",""),IF(V167&lt;&gt;"","Em uso do esquema antimicrobiano com "&amp;V167&amp;".",""),IF(TEXTJOIN(", ",TRUE,IF(W167&lt;&gt;"","TEV ("&amp;W167&amp;")",""),IF(X167&lt;&gt;"","LAMG ("&amp;X167&amp;")",""),IF(Y167&lt;&gt;"","úlcera de córnea com "&amp;Y167,""))&lt;&gt;"","Em uso de profilaxia: "&amp;TEXTJOIN(", ",TRUE,IF(W167&lt;&gt;"","TEV ("&amp;W167&amp;")",""),IF(X167&lt;&gt;"","LAMG ("&amp;X167&amp;")",""),IF(Y167&lt;&gt;"","úlcera de córnea com "&amp;Y167,""))&amp;".",""))&amp;CHAR(10)&amp;CHAR(10)&amp;"2. Farmacoterapia"&amp;CHAR(10)&amp;IF(Z167&lt;&gt;"","Corticoide/DART: "&amp;Z167,"Sem corticoide/DART registrado.")&amp;CHAR(10)&amp;CHAR(10)&amp;"3. Conduta Farmacêutica"&amp;CHAR(10)&amp;IF(TEXTJOIN(CHAR(10),TRUE,AB167,AC167,AD167)="","Nenhuma intervenção registrada hoje.",TEXTJOIN(CHAR(10),TRUE,AB167,AC167,AD167))&amp;CHAR(10)&amp;CHAR(10)&amp;"4. Plano Terapêutico"&amp;CHAR(10)&amp;IF(AA167&lt;&gt;"",AA167,"Não definido.")</f>
      </c>
    </row>
    <row r="168" spans="1:32" x14ac:dyDescent="0.25">
      <c r="A168" s="4"/>
      <c r="B168" s="6">
        <f>IFERROR(INDEX(Pacientes!$A:$A,MATCH($A168,Pacientes!$B:$B,0)),"")</f>
      </c>
      <c r="C168" s="6">
        <f>IFERROR(INDEX(Pacientes!$C:$C,MATCH($A168,Pacientes!$B:$B,0)),"")</f>
      </c>
      <c r="D168" s="6">
        <f>IFERROR(INDEX(Pacientes!$D:$D,MATCH($A168,Pacientes!$B:$B,0)),"")</f>
      </c>
      <c r="E168" s="6">
        <f>IFERROR(INDEX(Pacientes!$E:$E,MATCH($A168,Pacientes!$B:$B,0)),"")</f>
      </c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>
        <f>IFERROR(INDEX(Intervenções!$K$2:$K$300,AGGREGATE(15,6,(ROW(Intervenções!$K$2:$K$300)-ROW(Intervenções!$K$2)+1)/((Intervenções!$B$2:$B$300=A168)*(Intervenções!$A$2:$A$300=F168)*(Intervenções!$K$2:$K$300&lt;&gt;"")),1)),"")</f>
      </c>
      <c r="AC168" s="4">
        <f>IFERROR(INDEX(Intervenções!$K$2:$K$300,AGGREGATE(15,6,(ROW(Intervenções!$K$2:$K$300)-ROW(Intervenções!$K$2)+1)/((Intervenções!$B$2:$B$300=A168)*(Intervenções!$A$2:$A$300=F168)*(Intervenções!$K$2:$K$300&lt;&gt;"")),2)),"")</f>
      </c>
      <c r="AD168" s="4">
        <f>IFERROR(INDEX(Intervenções!$K$2:$K$300,AGGREGATE(15,6,(ROW(Intervenções!$K$2:$K$300)-ROW(Intervenções!$K$2)+1)/((Intervenções!$B$2:$B$300=A168)*(Intervenções!$A$2:$A$300=F168)*(Intervenções!$K$2:$K$300&lt;&gt;"")),3)),"")</f>
      </c>
      <c r="AE168" s="4">
        <f>"RECONCILIAÇÃO MEDICAMENTOSA"&amp;CHAR(10)&amp;IF(G168&lt;&gt;"","Medicamentos de uso prévio: "&amp;G168&amp;".","Sem medicamentos de uso prévio relatados.")&amp;CHAR(10)&amp;IF(H168&lt;&gt;"","Histórico de alergia/RAM: "&amp;H168&amp;".","Nega alergias/RAM conhecidas.")</f>
      </c>
      <c r="AF168" s="4">
        <f>AE168&amp;CHAR(10)&amp;CHAR(10)&amp;"1. Evolução Clínica"&amp;CHAR(10)&amp;TEXTJOIN(" ",TRUE,"Paciente "&amp;I168&amp;", "&amp;IF(J168="","sem DVA","em uso de "&amp;J168)&amp;".",IF(K168&lt;&gt;"","Em "&amp;K168&amp;IF(L168&lt;&gt;""," ("&amp;L168&amp;")","")&amp;IF(M168&lt;&gt;"", ", "&amp;M168,"")&amp;IF(N168&lt;&gt;"", ", sob analgosedação com "&amp;N168,"")&amp;".",""),IF(O168&lt;&gt;"",O168&amp;IF(P168&lt;&gt;"", ", com "&amp;LOWER(P168),"")&amp;IF(Q168&lt;&gt;"", " — "&amp;Q168,"")&amp;".",""),IF(R168="Febre","Apresentou episódio febril nas últimas 24h"&amp;IF(S168&lt;&gt;""," ("&amp;S168&amp;")","")&amp;".",IF(R168="Afebril","Encontra-se afebril.","")),IF(T168&lt;&gt;"",IF(U168="Sim","Apresenta disfunção renal aguda ","Função renal preservada ")&amp;"("&amp;T168&amp;").",""),IF(V168&lt;&gt;"","Em uso do esquema antimicrobiano com "&amp;V168&amp;".",""),IF(TEXTJOIN(", ",TRUE,IF(W168&lt;&gt;"","TEV ("&amp;W168&amp;")",""),IF(X168&lt;&gt;"","LAMG ("&amp;X168&amp;")",""),IF(Y168&lt;&gt;"","úlcera de córnea com "&amp;Y168,""))&lt;&gt;"","Em uso de profilaxia: "&amp;TEXTJOIN(", ",TRUE,IF(W168&lt;&gt;"","TEV ("&amp;W168&amp;")",""),IF(X168&lt;&gt;"","LAMG ("&amp;X168&amp;")",""),IF(Y168&lt;&gt;"","úlcera de córnea com "&amp;Y168,""))&amp;".",""))&amp;CHAR(10)&amp;CHAR(10)&amp;"2. Farmacoterapia"&amp;CHAR(10)&amp;IF(Z168&lt;&gt;"","Corticoide/DART: "&amp;Z168,"Sem corticoide/DART registrado.")&amp;CHAR(10)&amp;CHAR(10)&amp;"3. Conduta Farmacêutica"&amp;CHAR(10)&amp;IF(TEXTJOIN(CHAR(10),TRUE,AB168,AC168,AD168)="","Nenhuma intervenção registrada hoje.",TEXTJOIN(CHAR(10),TRUE,AB168,AC168,AD168))&amp;CHAR(10)&amp;CHAR(10)&amp;"4. Plano Terapêutico"&amp;CHAR(10)&amp;IF(AA168&lt;&gt;"",AA168,"Não definido.")</f>
      </c>
    </row>
    <row r="169" spans="1:32" x14ac:dyDescent="0.25">
      <c r="A169" s="4"/>
      <c r="B169" s="6">
        <f>IFERROR(INDEX(Pacientes!$A:$A,MATCH($A169,Pacientes!$B:$B,0)),"")</f>
      </c>
      <c r="C169" s="6">
        <f>IFERROR(INDEX(Pacientes!$C:$C,MATCH($A169,Pacientes!$B:$B,0)),"")</f>
      </c>
      <c r="D169" s="6">
        <f>IFERROR(INDEX(Pacientes!$D:$D,MATCH($A169,Pacientes!$B:$B,0)),"")</f>
      </c>
      <c r="E169" s="6">
        <f>IFERROR(INDEX(Pacientes!$E:$E,MATCH($A169,Pacientes!$B:$B,0)),"")</f>
      </c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>
        <f>IFERROR(INDEX(Intervenções!$K$2:$K$300,AGGREGATE(15,6,(ROW(Intervenções!$K$2:$K$300)-ROW(Intervenções!$K$2)+1)/((Intervenções!$B$2:$B$300=A169)*(Intervenções!$A$2:$A$300=F169)*(Intervenções!$K$2:$K$300&lt;&gt;"")),1)),"")</f>
      </c>
      <c r="AC169" s="4">
        <f>IFERROR(INDEX(Intervenções!$K$2:$K$300,AGGREGATE(15,6,(ROW(Intervenções!$K$2:$K$300)-ROW(Intervenções!$K$2)+1)/((Intervenções!$B$2:$B$300=A169)*(Intervenções!$A$2:$A$300=F169)*(Intervenções!$K$2:$K$300&lt;&gt;"")),2)),"")</f>
      </c>
      <c r="AD169" s="4">
        <f>IFERROR(INDEX(Intervenções!$K$2:$K$300,AGGREGATE(15,6,(ROW(Intervenções!$K$2:$K$300)-ROW(Intervenções!$K$2)+1)/((Intervenções!$B$2:$B$300=A169)*(Intervenções!$A$2:$A$300=F169)*(Intervenções!$K$2:$K$300&lt;&gt;"")),3)),"")</f>
      </c>
      <c r="AE169" s="4">
        <f>"RECONCILIAÇÃO MEDICAMENTOSA"&amp;CHAR(10)&amp;IF(G169&lt;&gt;"","Medicamentos de uso prévio: "&amp;G169&amp;".","Sem medicamentos de uso prévio relatados.")&amp;CHAR(10)&amp;IF(H169&lt;&gt;"","Histórico de alergia/RAM: "&amp;H169&amp;".","Nega alergias/RAM conhecidas.")</f>
      </c>
      <c r="AF169" s="4">
        <f>AE169&amp;CHAR(10)&amp;CHAR(10)&amp;"1. Evolução Clínica"&amp;CHAR(10)&amp;TEXTJOIN(" ",TRUE,"Paciente "&amp;I169&amp;", "&amp;IF(J169="","sem DVA","em uso de "&amp;J169)&amp;".",IF(K169&lt;&gt;"","Em "&amp;K169&amp;IF(L169&lt;&gt;""," ("&amp;L169&amp;")","")&amp;IF(M169&lt;&gt;"", ", "&amp;M169,"")&amp;IF(N169&lt;&gt;"", ", sob analgosedação com "&amp;N169,"")&amp;".",""),IF(O169&lt;&gt;"",O169&amp;IF(P169&lt;&gt;"", ", com "&amp;LOWER(P169),"")&amp;IF(Q169&lt;&gt;"", " — "&amp;Q169,"")&amp;".",""),IF(R169="Febre","Apresentou episódio febril nas últimas 24h"&amp;IF(S169&lt;&gt;""," ("&amp;S169&amp;")","")&amp;".",IF(R169="Afebril","Encontra-se afebril.","")),IF(T169&lt;&gt;"",IF(U169="Sim","Apresenta disfunção renal aguda ","Função renal preservada ")&amp;"("&amp;T169&amp;").",""),IF(V169&lt;&gt;"","Em uso do esquema antimicrobiano com "&amp;V169&amp;".",""),IF(TEXTJOIN(", ",TRUE,IF(W169&lt;&gt;"","TEV ("&amp;W169&amp;")",""),IF(X169&lt;&gt;"","LAMG ("&amp;X169&amp;")",""),IF(Y169&lt;&gt;"","úlcera de córnea com "&amp;Y169,""))&lt;&gt;"","Em uso de profilaxia: "&amp;TEXTJOIN(", ",TRUE,IF(W169&lt;&gt;"","TEV ("&amp;W169&amp;")",""),IF(X169&lt;&gt;"","LAMG ("&amp;X169&amp;")",""),IF(Y169&lt;&gt;"","úlcera de córnea com "&amp;Y169,""))&amp;".",""))&amp;CHAR(10)&amp;CHAR(10)&amp;"2. Farmacoterapia"&amp;CHAR(10)&amp;IF(Z169&lt;&gt;"","Corticoide/DART: "&amp;Z169,"Sem corticoide/DART registrado.")&amp;CHAR(10)&amp;CHAR(10)&amp;"3. Conduta Farmacêutica"&amp;CHAR(10)&amp;IF(TEXTJOIN(CHAR(10),TRUE,AB169,AC169,AD169)="","Nenhuma intervenção registrada hoje.",TEXTJOIN(CHAR(10),TRUE,AB169,AC169,AD169))&amp;CHAR(10)&amp;CHAR(10)&amp;"4. Plano Terapêutico"&amp;CHAR(10)&amp;IF(AA169&lt;&gt;"",AA169,"Não definido.")</f>
      </c>
    </row>
    <row r="170" spans="1:32" x14ac:dyDescent="0.25">
      <c r="A170" s="4"/>
      <c r="B170" s="6">
        <f>IFERROR(INDEX(Pacientes!$A:$A,MATCH($A170,Pacientes!$B:$B,0)),"")</f>
      </c>
      <c r="C170" s="6">
        <f>IFERROR(INDEX(Pacientes!$C:$C,MATCH($A170,Pacientes!$B:$B,0)),"")</f>
      </c>
      <c r="D170" s="6">
        <f>IFERROR(INDEX(Pacientes!$D:$D,MATCH($A170,Pacientes!$B:$B,0)),"")</f>
      </c>
      <c r="E170" s="6">
        <f>IFERROR(INDEX(Pacientes!$E:$E,MATCH($A170,Pacientes!$B:$B,0)),"")</f>
      </c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>
        <f>IFERROR(INDEX(Intervenções!$K$2:$K$300,AGGREGATE(15,6,(ROW(Intervenções!$K$2:$K$300)-ROW(Intervenções!$K$2)+1)/((Intervenções!$B$2:$B$300=A170)*(Intervenções!$A$2:$A$300=F170)*(Intervenções!$K$2:$K$300&lt;&gt;"")),1)),"")</f>
      </c>
      <c r="AC170" s="4">
        <f>IFERROR(INDEX(Intervenções!$K$2:$K$300,AGGREGATE(15,6,(ROW(Intervenções!$K$2:$K$300)-ROW(Intervenções!$K$2)+1)/((Intervenções!$B$2:$B$300=A170)*(Intervenções!$A$2:$A$300=F170)*(Intervenções!$K$2:$K$300&lt;&gt;"")),2)),"")</f>
      </c>
      <c r="AD170" s="4">
        <f>IFERROR(INDEX(Intervenções!$K$2:$K$300,AGGREGATE(15,6,(ROW(Intervenções!$K$2:$K$300)-ROW(Intervenções!$K$2)+1)/((Intervenções!$B$2:$B$300=A170)*(Intervenções!$A$2:$A$300=F170)*(Intervenções!$K$2:$K$300&lt;&gt;"")),3)),"")</f>
      </c>
      <c r="AE170" s="4">
        <f>"RECONCILIAÇÃO MEDICAMENTOSA"&amp;CHAR(10)&amp;IF(G170&lt;&gt;"","Medicamentos de uso prévio: "&amp;G170&amp;".","Sem medicamentos de uso prévio relatados.")&amp;CHAR(10)&amp;IF(H170&lt;&gt;"","Histórico de alergia/RAM: "&amp;H170&amp;".","Nega alergias/RAM conhecidas.")</f>
      </c>
      <c r="AF170" s="4">
        <f>AE170&amp;CHAR(10)&amp;CHAR(10)&amp;"1. Evolução Clínica"&amp;CHAR(10)&amp;TEXTJOIN(" ",TRUE,"Paciente "&amp;I170&amp;", "&amp;IF(J170="","sem DVA","em uso de "&amp;J170)&amp;".",IF(K170&lt;&gt;"","Em "&amp;K170&amp;IF(L170&lt;&gt;""," ("&amp;L170&amp;")","")&amp;IF(M170&lt;&gt;"", ", "&amp;M170,"")&amp;IF(N170&lt;&gt;"", ", sob analgosedação com "&amp;N170,"")&amp;".",""),IF(O170&lt;&gt;"",O170&amp;IF(P170&lt;&gt;"", ", com "&amp;LOWER(P170),"")&amp;IF(Q170&lt;&gt;"", " — "&amp;Q170,"")&amp;".",""),IF(R170="Febre","Apresentou episódio febril nas últimas 24h"&amp;IF(S170&lt;&gt;""," ("&amp;S170&amp;")","")&amp;".",IF(R170="Afebril","Encontra-se afebril.","")),IF(T170&lt;&gt;"",IF(U170="Sim","Apresenta disfunção renal aguda ","Função renal preservada ")&amp;"("&amp;T170&amp;").",""),IF(V170&lt;&gt;"","Em uso do esquema antimicrobiano com "&amp;V170&amp;".",""),IF(TEXTJOIN(", ",TRUE,IF(W170&lt;&gt;"","TEV ("&amp;W170&amp;")",""),IF(X170&lt;&gt;"","LAMG ("&amp;X170&amp;")",""),IF(Y170&lt;&gt;"","úlcera de córnea com "&amp;Y170,""))&lt;&gt;"","Em uso de profilaxia: "&amp;TEXTJOIN(", ",TRUE,IF(W170&lt;&gt;"","TEV ("&amp;W170&amp;")",""),IF(X170&lt;&gt;"","LAMG ("&amp;X170&amp;")",""),IF(Y170&lt;&gt;"","úlcera de córnea com "&amp;Y170,""))&amp;".",""))&amp;CHAR(10)&amp;CHAR(10)&amp;"2. Farmacoterapia"&amp;CHAR(10)&amp;IF(Z170&lt;&gt;"","Corticoide/DART: "&amp;Z170,"Sem corticoide/DART registrado.")&amp;CHAR(10)&amp;CHAR(10)&amp;"3. Conduta Farmacêutica"&amp;CHAR(10)&amp;IF(TEXTJOIN(CHAR(10),TRUE,AB170,AC170,AD170)="","Nenhuma intervenção registrada hoje.",TEXTJOIN(CHAR(10),TRUE,AB170,AC170,AD170))&amp;CHAR(10)&amp;CHAR(10)&amp;"4. Plano Terapêutico"&amp;CHAR(10)&amp;IF(AA170&lt;&gt;"",AA170,"Não definido.")</f>
      </c>
    </row>
    <row r="171" spans="1:32" x14ac:dyDescent="0.25">
      <c r="A171" s="4"/>
      <c r="B171" s="6">
        <f>IFERROR(INDEX(Pacientes!$A:$A,MATCH($A171,Pacientes!$B:$B,0)),"")</f>
      </c>
      <c r="C171" s="6">
        <f>IFERROR(INDEX(Pacientes!$C:$C,MATCH($A171,Pacientes!$B:$B,0)),"")</f>
      </c>
      <c r="D171" s="6">
        <f>IFERROR(INDEX(Pacientes!$D:$D,MATCH($A171,Pacientes!$B:$B,0)),"")</f>
      </c>
      <c r="E171" s="6">
        <f>IFERROR(INDEX(Pacientes!$E:$E,MATCH($A171,Pacientes!$B:$B,0)),"")</f>
      </c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>
        <f>IFERROR(INDEX(Intervenções!$K$2:$K$300,AGGREGATE(15,6,(ROW(Intervenções!$K$2:$K$300)-ROW(Intervenções!$K$2)+1)/((Intervenções!$B$2:$B$300=A171)*(Intervenções!$A$2:$A$300=F171)*(Intervenções!$K$2:$K$300&lt;&gt;"")),1)),"")</f>
      </c>
      <c r="AC171" s="4">
        <f>IFERROR(INDEX(Intervenções!$K$2:$K$300,AGGREGATE(15,6,(ROW(Intervenções!$K$2:$K$300)-ROW(Intervenções!$K$2)+1)/((Intervenções!$B$2:$B$300=A171)*(Intervenções!$A$2:$A$300=F171)*(Intervenções!$K$2:$K$300&lt;&gt;"")),2)),"")</f>
      </c>
      <c r="AD171" s="4">
        <f>IFERROR(INDEX(Intervenções!$K$2:$K$300,AGGREGATE(15,6,(ROW(Intervenções!$K$2:$K$300)-ROW(Intervenções!$K$2)+1)/((Intervenções!$B$2:$B$300=A171)*(Intervenções!$A$2:$A$300=F171)*(Intervenções!$K$2:$K$300&lt;&gt;"")),3)),"")</f>
      </c>
      <c r="AE171" s="4">
        <f>"RECONCILIAÇÃO MEDICAMENTOSA"&amp;CHAR(10)&amp;IF(G171&lt;&gt;"","Medicamentos de uso prévio: "&amp;G171&amp;".","Sem medicamentos de uso prévio relatados.")&amp;CHAR(10)&amp;IF(H171&lt;&gt;"","Histórico de alergia/RAM: "&amp;H171&amp;".","Nega alergias/RAM conhecidas.")</f>
      </c>
      <c r="AF171" s="4">
        <f>AE171&amp;CHAR(10)&amp;CHAR(10)&amp;"1. Evolução Clínica"&amp;CHAR(10)&amp;TEXTJOIN(" ",TRUE,"Paciente "&amp;I171&amp;", "&amp;IF(J171="","sem DVA","em uso de "&amp;J171)&amp;".",IF(K171&lt;&gt;"","Em "&amp;K171&amp;IF(L171&lt;&gt;""," ("&amp;L171&amp;")","")&amp;IF(M171&lt;&gt;"", ", "&amp;M171,"")&amp;IF(N171&lt;&gt;"", ", sob analgosedação com "&amp;N171,"")&amp;".",""),IF(O171&lt;&gt;"",O171&amp;IF(P171&lt;&gt;"", ", com "&amp;LOWER(P171),"")&amp;IF(Q171&lt;&gt;"", " — "&amp;Q171,"")&amp;".",""),IF(R171="Febre","Apresentou episódio febril nas últimas 24h"&amp;IF(S171&lt;&gt;""," ("&amp;S171&amp;")","")&amp;".",IF(R171="Afebril","Encontra-se afebril.","")),IF(T171&lt;&gt;"",IF(U171="Sim","Apresenta disfunção renal aguda ","Função renal preservada ")&amp;"("&amp;T171&amp;").",""),IF(V171&lt;&gt;"","Em uso do esquema antimicrobiano com "&amp;V171&amp;".",""),IF(TEXTJOIN(", ",TRUE,IF(W171&lt;&gt;"","TEV ("&amp;W171&amp;")",""),IF(X171&lt;&gt;"","LAMG ("&amp;X171&amp;")",""),IF(Y171&lt;&gt;"","úlcera de córnea com "&amp;Y171,""))&lt;&gt;"","Em uso de profilaxia: "&amp;TEXTJOIN(", ",TRUE,IF(W171&lt;&gt;"","TEV ("&amp;W171&amp;")",""),IF(X171&lt;&gt;"","LAMG ("&amp;X171&amp;")",""),IF(Y171&lt;&gt;"","úlcera de córnea com "&amp;Y171,""))&amp;".",""))&amp;CHAR(10)&amp;CHAR(10)&amp;"2. Farmacoterapia"&amp;CHAR(10)&amp;IF(Z171&lt;&gt;"","Corticoide/DART: "&amp;Z171,"Sem corticoide/DART registrado.")&amp;CHAR(10)&amp;CHAR(10)&amp;"3. Conduta Farmacêutica"&amp;CHAR(10)&amp;IF(TEXTJOIN(CHAR(10),TRUE,AB171,AC171,AD171)="","Nenhuma intervenção registrada hoje.",TEXTJOIN(CHAR(10),TRUE,AB171,AC171,AD171))&amp;CHAR(10)&amp;CHAR(10)&amp;"4. Plano Terapêutico"&amp;CHAR(10)&amp;IF(AA171&lt;&gt;"",AA171,"Não definido.")</f>
      </c>
    </row>
    <row r="172" spans="1:32" x14ac:dyDescent="0.25">
      <c r="A172" s="4"/>
      <c r="B172" s="6">
        <f>IFERROR(INDEX(Pacientes!$A:$A,MATCH($A172,Pacientes!$B:$B,0)),"")</f>
      </c>
      <c r="C172" s="6">
        <f>IFERROR(INDEX(Pacientes!$C:$C,MATCH($A172,Pacientes!$B:$B,0)),"")</f>
      </c>
      <c r="D172" s="6">
        <f>IFERROR(INDEX(Pacientes!$D:$D,MATCH($A172,Pacientes!$B:$B,0)),"")</f>
      </c>
      <c r="E172" s="6">
        <f>IFERROR(INDEX(Pacientes!$E:$E,MATCH($A172,Pacientes!$B:$B,0)),"")</f>
      </c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>
        <f>IFERROR(INDEX(Intervenções!$K$2:$K$300,AGGREGATE(15,6,(ROW(Intervenções!$K$2:$K$300)-ROW(Intervenções!$K$2)+1)/((Intervenções!$B$2:$B$300=A172)*(Intervenções!$A$2:$A$300=F172)*(Intervenções!$K$2:$K$300&lt;&gt;"")),1)),"")</f>
      </c>
      <c r="AC172" s="4">
        <f>IFERROR(INDEX(Intervenções!$K$2:$K$300,AGGREGATE(15,6,(ROW(Intervenções!$K$2:$K$300)-ROW(Intervenções!$K$2)+1)/((Intervenções!$B$2:$B$300=A172)*(Intervenções!$A$2:$A$300=F172)*(Intervenções!$K$2:$K$300&lt;&gt;"")),2)),"")</f>
      </c>
      <c r="AD172" s="4">
        <f>IFERROR(INDEX(Intervenções!$K$2:$K$300,AGGREGATE(15,6,(ROW(Intervenções!$K$2:$K$300)-ROW(Intervenções!$K$2)+1)/((Intervenções!$B$2:$B$300=A172)*(Intervenções!$A$2:$A$300=F172)*(Intervenções!$K$2:$K$300&lt;&gt;"")),3)),"")</f>
      </c>
      <c r="AE172" s="4">
        <f>"RECONCILIAÇÃO MEDICAMENTOSA"&amp;CHAR(10)&amp;IF(G172&lt;&gt;"","Medicamentos de uso prévio: "&amp;G172&amp;".","Sem medicamentos de uso prévio relatados.")&amp;CHAR(10)&amp;IF(H172&lt;&gt;"","Histórico de alergia/RAM: "&amp;H172&amp;".","Nega alergias/RAM conhecidas.")</f>
      </c>
      <c r="AF172" s="4">
        <f>AE172&amp;CHAR(10)&amp;CHAR(10)&amp;"1. Evolução Clínica"&amp;CHAR(10)&amp;TEXTJOIN(" ",TRUE,"Paciente "&amp;I172&amp;", "&amp;IF(J172="","sem DVA","em uso de "&amp;J172)&amp;".",IF(K172&lt;&gt;"","Em "&amp;K172&amp;IF(L172&lt;&gt;""," ("&amp;L172&amp;")","")&amp;IF(M172&lt;&gt;"", ", "&amp;M172,"")&amp;IF(N172&lt;&gt;"", ", sob analgosedação com "&amp;N172,"")&amp;".",""),IF(O172&lt;&gt;"",O172&amp;IF(P172&lt;&gt;"", ", com "&amp;LOWER(P172),"")&amp;IF(Q172&lt;&gt;"", " — "&amp;Q172,"")&amp;".",""),IF(R172="Febre","Apresentou episódio febril nas últimas 24h"&amp;IF(S172&lt;&gt;""," ("&amp;S172&amp;")","")&amp;".",IF(R172="Afebril","Encontra-se afebril.","")),IF(T172&lt;&gt;"",IF(U172="Sim","Apresenta disfunção renal aguda ","Função renal preservada ")&amp;"("&amp;T172&amp;").",""),IF(V172&lt;&gt;"","Em uso do esquema antimicrobiano com "&amp;V172&amp;".",""),IF(TEXTJOIN(", ",TRUE,IF(W172&lt;&gt;"","TEV ("&amp;W172&amp;")",""),IF(X172&lt;&gt;"","LAMG ("&amp;X172&amp;")",""),IF(Y172&lt;&gt;"","úlcera de córnea com "&amp;Y172,""))&lt;&gt;"","Em uso de profilaxia: "&amp;TEXTJOIN(", ",TRUE,IF(W172&lt;&gt;"","TEV ("&amp;W172&amp;")",""),IF(X172&lt;&gt;"","LAMG ("&amp;X172&amp;")",""),IF(Y172&lt;&gt;"","úlcera de córnea com "&amp;Y172,""))&amp;".",""))&amp;CHAR(10)&amp;CHAR(10)&amp;"2. Farmacoterapia"&amp;CHAR(10)&amp;IF(Z172&lt;&gt;"","Corticoide/DART: "&amp;Z172,"Sem corticoide/DART registrado.")&amp;CHAR(10)&amp;CHAR(10)&amp;"3. Conduta Farmacêutica"&amp;CHAR(10)&amp;IF(TEXTJOIN(CHAR(10),TRUE,AB172,AC172,AD172)="","Nenhuma intervenção registrada hoje.",TEXTJOIN(CHAR(10),TRUE,AB172,AC172,AD172))&amp;CHAR(10)&amp;CHAR(10)&amp;"4. Plano Terapêutico"&amp;CHAR(10)&amp;IF(AA172&lt;&gt;"",AA172,"Não definido.")</f>
      </c>
    </row>
    <row r="173" spans="1:32" x14ac:dyDescent="0.25">
      <c r="A173" s="4"/>
      <c r="B173" s="6">
        <f>IFERROR(INDEX(Pacientes!$A:$A,MATCH($A173,Pacientes!$B:$B,0)),"")</f>
      </c>
      <c r="C173" s="6">
        <f>IFERROR(INDEX(Pacientes!$C:$C,MATCH($A173,Pacientes!$B:$B,0)),"")</f>
      </c>
      <c r="D173" s="6">
        <f>IFERROR(INDEX(Pacientes!$D:$D,MATCH($A173,Pacientes!$B:$B,0)),"")</f>
      </c>
      <c r="E173" s="6">
        <f>IFERROR(INDEX(Pacientes!$E:$E,MATCH($A173,Pacientes!$B:$B,0)),"")</f>
      </c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>
        <f>IFERROR(INDEX(Intervenções!$K$2:$K$300,AGGREGATE(15,6,(ROW(Intervenções!$K$2:$K$300)-ROW(Intervenções!$K$2)+1)/((Intervenções!$B$2:$B$300=A173)*(Intervenções!$A$2:$A$300=F173)*(Intervenções!$K$2:$K$300&lt;&gt;"")),1)),"")</f>
      </c>
      <c r="AC173" s="4">
        <f>IFERROR(INDEX(Intervenções!$K$2:$K$300,AGGREGATE(15,6,(ROW(Intervenções!$K$2:$K$300)-ROW(Intervenções!$K$2)+1)/((Intervenções!$B$2:$B$300=A173)*(Intervenções!$A$2:$A$300=F173)*(Intervenções!$K$2:$K$300&lt;&gt;"")),2)),"")</f>
      </c>
      <c r="AD173" s="4">
        <f>IFERROR(INDEX(Intervenções!$K$2:$K$300,AGGREGATE(15,6,(ROW(Intervenções!$K$2:$K$300)-ROW(Intervenções!$K$2)+1)/((Intervenções!$B$2:$B$300=A173)*(Intervenções!$A$2:$A$300=F173)*(Intervenções!$K$2:$K$300&lt;&gt;"")),3)),"")</f>
      </c>
      <c r="AE173" s="4">
        <f>"RECONCILIAÇÃO MEDICAMENTOSA"&amp;CHAR(10)&amp;IF(G173&lt;&gt;"","Medicamentos de uso prévio: "&amp;G173&amp;".","Sem medicamentos de uso prévio relatados.")&amp;CHAR(10)&amp;IF(H173&lt;&gt;"","Histórico de alergia/RAM: "&amp;H173&amp;".","Nega alergias/RAM conhecidas.")</f>
      </c>
      <c r="AF173" s="4">
        <f>AE173&amp;CHAR(10)&amp;CHAR(10)&amp;"1. Evolução Clínica"&amp;CHAR(10)&amp;TEXTJOIN(" ",TRUE,"Paciente "&amp;I173&amp;", "&amp;IF(J173="","sem DVA","em uso de "&amp;J173)&amp;".",IF(K173&lt;&gt;"","Em "&amp;K173&amp;IF(L173&lt;&gt;""," ("&amp;L173&amp;")","")&amp;IF(M173&lt;&gt;"", ", "&amp;M173,"")&amp;IF(N173&lt;&gt;"", ", sob analgosedação com "&amp;N173,"")&amp;".",""),IF(O173&lt;&gt;"",O173&amp;IF(P173&lt;&gt;"", ", com "&amp;LOWER(P173),"")&amp;IF(Q173&lt;&gt;"", " — "&amp;Q173,"")&amp;".",""),IF(R173="Febre","Apresentou episódio febril nas últimas 24h"&amp;IF(S173&lt;&gt;""," ("&amp;S173&amp;")","")&amp;".",IF(R173="Afebril","Encontra-se afebril.","")),IF(T173&lt;&gt;"",IF(U173="Sim","Apresenta disfunção renal aguda ","Função renal preservada ")&amp;"("&amp;T173&amp;").",""),IF(V173&lt;&gt;"","Em uso do esquema antimicrobiano com "&amp;V173&amp;".",""),IF(TEXTJOIN(", ",TRUE,IF(W173&lt;&gt;"","TEV ("&amp;W173&amp;")",""),IF(X173&lt;&gt;"","LAMG ("&amp;X173&amp;")",""),IF(Y173&lt;&gt;"","úlcera de córnea com "&amp;Y173,""))&lt;&gt;"","Em uso de profilaxia: "&amp;TEXTJOIN(", ",TRUE,IF(W173&lt;&gt;"","TEV ("&amp;W173&amp;")",""),IF(X173&lt;&gt;"","LAMG ("&amp;X173&amp;")",""),IF(Y173&lt;&gt;"","úlcera de córnea com "&amp;Y173,""))&amp;".",""))&amp;CHAR(10)&amp;CHAR(10)&amp;"2. Farmacoterapia"&amp;CHAR(10)&amp;IF(Z173&lt;&gt;"","Corticoide/DART: "&amp;Z173,"Sem corticoide/DART registrado.")&amp;CHAR(10)&amp;CHAR(10)&amp;"3. Conduta Farmacêutica"&amp;CHAR(10)&amp;IF(TEXTJOIN(CHAR(10),TRUE,AB173,AC173,AD173)="","Nenhuma intervenção registrada hoje.",TEXTJOIN(CHAR(10),TRUE,AB173,AC173,AD173))&amp;CHAR(10)&amp;CHAR(10)&amp;"4. Plano Terapêutico"&amp;CHAR(10)&amp;IF(AA173&lt;&gt;"",AA173,"Não definido.")</f>
      </c>
    </row>
    <row r="174" spans="1:32" x14ac:dyDescent="0.25">
      <c r="A174" s="4"/>
      <c r="B174" s="6">
        <f>IFERROR(INDEX(Pacientes!$A:$A,MATCH($A174,Pacientes!$B:$B,0)),"")</f>
      </c>
      <c r="C174" s="6">
        <f>IFERROR(INDEX(Pacientes!$C:$C,MATCH($A174,Pacientes!$B:$B,0)),"")</f>
      </c>
      <c r="D174" s="6">
        <f>IFERROR(INDEX(Pacientes!$D:$D,MATCH($A174,Pacientes!$B:$B,0)),"")</f>
      </c>
      <c r="E174" s="6">
        <f>IFERROR(INDEX(Pacientes!$E:$E,MATCH($A174,Pacientes!$B:$B,0)),"")</f>
      </c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>
        <f>IFERROR(INDEX(Intervenções!$K$2:$K$300,AGGREGATE(15,6,(ROW(Intervenções!$K$2:$K$300)-ROW(Intervenções!$K$2)+1)/((Intervenções!$B$2:$B$300=A174)*(Intervenções!$A$2:$A$300=F174)*(Intervenções!$K$2:$K$300&lt;&gt;"")),1)),"")</f>
      </c>
      <c r="AC174" s="4">
        <f>IFERROR(INDEX(Intervenções!$K$2:$K$300,AGGREGATE(15,6,(ROW(Intervenções!$K$2:$K$300)-ROW(Intervenções!$K$2)+1)/((Intervenções!$B$2:$B$300=A174)*(Intervenções!$A$2:$A$300=F174)*(Intervenções!$K$2:$K$300&lt;&gt;"")),2)),"")</f>
      </c>
      <c r="AD174" s="4">
        <f>IFERROR(INDEX(Intervenções!$K$2:$K$300,AGGREGATE(15,6,(ROW(Intervenções!$K$2:$K$300)-ROW(Intervenções!$K$2)+1)/((Intervenções!$B$2:$B$300=A174)*(Intervenções!$A$2:$A$300=F174)*(Intervenções!$K$2:$K$300&lt;&gt;"")),3)),"")</f>
      </c>
      <c r="AE174" s="4">
        <f>"RECONCILIAÇÃO MEDICAMENTOSA"&amp;CHAR(10)&amp;IF(G174&lt;&gt;"","Medicamentos de uso prévio: "&amp;G174&amp;".","Sem medicamentos de uso prévio relatados.")&amp;CHAR(10)&amp;IF(H174&lt;&gt;"","Histórico de alergia/RAM: "&amp;H174&amp;".","Nega alergias/RAM conhecidas.")</f>
      </c>
      <c r="AF174" s="4">
        <f>AE174&amp;CHAR(10)&amp;CHAR(10)&amp;"1. Evolução Clínica"&amp;CHAR(10)&amp;TEXTJOIN(" ",TRUE,"Paciente "&amp;I174&amp;", "&amp;IF(J174="","sem DVA","em uso de "&amp;J174)&amp;".",IF(K174&lt;&gt;"","Em "&amp;K174&amp;IF(L174&lt;&gt;""," ("&amp;L174&amp;")","")&amp;IF(M174&lt;&gt;"", ", "&amp;M174,"")&amp;IF(N174&lt;&gt;"", ", sob analgosedação com "&amp;N174,"")&amp;".",""),IF(O174&lt;&gt;"",O174&amp;IF(P174&lt;&gt;"", ", com "&amp;LOWER(P174),"")&amp;IF(Q174&lt;&gt;"", " — "&amp;Q174,"")&amp;".",""),IF(R174="Febre","Apresentou episódio febril nas últimas 24h"&amp;IF(S174&lt;&gt;""," ("&amp;S174&amp;")","")&amp;".",IF(R174="Afebril","Encontra-se afebril.","")),IF(T174&lt;&gt;"",IF(U174="Sim","Apresenta disfunção renal aguda ","Função renal preservada ")&amp;"("&amp;T174&amp;").",""),IF(V174&lt;&gt;"","Em uso do esquema antimicrobiano com "&amp;V174&amp;".",""),IF(TEXTJOIN(", ",TRUE,IF(W174&lt;&gt;"","TEV ("&amp;W174&amp;")",""),IF(X174&lt;&gt;"","LAMG ("&amp;X174&amp;")",""),IF(Y174&lt;&gt;"","úlcera de córnea com "&amp;Y174,""))&lt;&gt;"","Em uso de profilaxia: "&amp;TEXTJOIN(", ",TRUE,IF(W174&lt;&gt;"","TEV ("&amp;W174&amp;")",""),IF(X174&lt;&gt;"","LAMG ("&amp;X174&amp;")",""),IF(Y174&lt;&gt;"","úlcera de córnea com "&amp;Y174,""))&amp;".",""))&amp;CHAR(10)&amp;CHAR(10)&amp;"2. Farmacoterapia"&amp;CHAR(10)&amp;IF(Z174&lt;&gt;"","Corticoide/DART: "&amp;Z174,"Sem corticoide/DART registrado.")&amp;CHAR(10)&amp;CHAR(10)&amp;"3. Conduta Farmacêutica"&amp;CHAR(10)&amp;IF(TEXTJOIN(CHAR(10),TRUE,AB174,AC174,AD174)="","Nenhuma intervenção registrada hoje.",TEXTJOIN(CHAR(10),TRUE,AB174,AC174,AD174))&amp;CHAR(10)&amp;CHAR(10)&amp;"4. Plano Terapêutico"&amp;CHAR(10)&amp;IF(AA174&lt;&gt;"",AA174,"Não definido.")</f>
      </c>
    </row>
    <row r="175" spans="1:32" x14ac:dyDescent="0.25">
      <c r="A175" s="4"/>
      <c r="B175" s="6">
        <f>IFERROR(INDEX(Pacientes!$A:$A,MATCH($A175,Pacientes!$B:$B,0)),"")</f>
      </c>
      <c r="C175" s="6">
        <f>IFERROR(INDEX(Pacientes!$C:$C,MATCH($A175,Pacientes!$B:$B,0)),"")</f>
      </c>
      <c r="D175" s="6">
        <f>IFERROR(INDEX(Pacientes!$D:$D,MATCH($A175,Pacientes!$B:$B,0)),"")</f>
      </c>
      <c r="E175" s="6">
        <f>IFERROR(INDEX(Pacientes!$E:$E,MATCH($A175,Pacientes!$B:$B,0)),"")</f>
      </c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>
        <f>IFERROR(INDEX(Intervenções!$K$2:$K$300,AGGREGATE(15,6,(ROW(Intervenções!$K$2:$K$300)-ROW(Intervenções!$K$2)+1)/((Intervenções!$B$2:$B$300=A175)*(Intervenções!$A$2:$A$300=F175)*(Intervenções!$K$2:$K$300&lt;&gt;"")),1)),"")</f>
      </c>
      <c r="AC175" s="4">
        <f>IFERROR(INDEX(Intervenções!$K$2:$K$300,AGGREGATE(15,6,(ROW(Intervenções!$K$2:$K$300)-ROW(Intervenções!$K$2)+1)/((Intervenções!$B$2:$B$300=A175)*(Intervenções!$A$2:$A$300=F175)*(Intervenções!$K$2:$K$300&lt;&gt;"")),2)),"")</f>
      </c>
      <c r="AD175" s="4">
        <f>IFERROR(INDEX(Intervenções!$K$2:$K$300,AGGREGATE(15,6,(ROW(Intervenções!$K$2:$K$300)-ROW(Intervenções!$K$2)+1)/((Intervenções!$B$2:$B$300=A175)*(Intervenções!$A$2:$A$300=F175)*(Intervenções!$K$2:$K$300&lt;&gt;"")),3)),"")</f>
      </c>
      <c r="AE175" s="4">
        <f>"RECONCILIAÇÃO MEDICAMENTOSA"&amp;CHAR(10)&amp;IF(G175&lt;&gt;"","Medicamentos de uso prévio: "&amp;G175&amp;".","Sem medicamentos de uso prévio relatados.")&amp;CHAR(10)&amp;IF(H175&lt;&gt;"","Histórico de alergia/RAM: "&amp;H175&amp;".","Nega alergias/RAM conhecidas.")</f>
      </c>
      <c r="AF175" s="4">
        <f>AE175&amp;CHAR(10)&amp;CHAR(10)&amp;"1. Evolução Clínica"&amp;CHAR(10)&amp;TEXTJOIN(" ",TRUE,"Paciente "&amp;I175&amp;", "&amp;IF(J175="","sem DVA","em uso de "&amp;J175)&amp;".",IF(K175&lt;&gt;"","Em "&amp;K175&amp;IF(L175&lt;&gt;""," ("&amp;L175&amp;")","")&amp;IF(M175&lt;&gt;"", ", "&amp;M175,"")&amp;IF(N175&lt;&gt;"", ", sob analgosedação com "&amp;N175,"")&amp;".",""),IF(O175&lt;&gt;"",O175&amp;IF(P175&lt;&gt;"", ", com "&amp;LOWER(P175),"")&amp;IF(Q175&lt;&gt;"", " — "&amp;Q175,"")&amp;".",""),IF(R175="Febre","Apresentou episódio febril nas últimas 24h"&amp;IF(S175&lt;&gt;""," ("&amp;S175&amp;")","")&amp;".",IF(R175="Afebril","Encontra-se afebril.","")),IF(T175&lt;&gt;"",IF(U175="Sim","Apresenta disfunção renal aguda ","Função renal preservada ")&amp;"("&amp;T175&amp;").",""),IF(V175&lt;&gt;"","Em uso do esquema antimicrobiano com "&amp;V175&amp;".",""),IF(TEXTJOIN(", ",TRUE,IF(W175&lt;&gt;"","TEV ("&amp;W175&amp;")",""),IF(X175&lt;&gt;"","LAMG ("&amp;X175&amp;")",""),IF(Y175&lt;&gt;"","úlcera de córnea com "&amp;Y175,""))&lt;&gt;"","Em uso de profilaxia: "&amp;TEXTJOIN(", ",TRUE,IF(W175&lt;&gt;"","TEV ("&amp;W175&amp;")",""),IF(X175&lt;&gt;"","LAMG ("&amp;X175&amp;")",""),IF(Y175&lt;&gt;"","úlcera de córnea com "&amp;Y175,""))&amp;".",""))&amp;CHAR(10)&amp;CHAR(10)&amp;"2. Farmacoterapia"&amp;CHAR(10)&amp;IF(Z175&lt;&gt;"","Corticoide/DART: "&amp;Z175,"Sem corticoide/DART registrado.")&amp;CHAR(10)&amp;CHAR(10)&amp;"3. Conduta Farmacêutica"&amp;CHAR(10)&amp;IF(TEXTJOIN(CHAR(10),TRUE,AB175,AC175,AD175)="","Nenhuma intervenção registrada hoje.",TEXTJOIN(CHAR(10),TRUE,AB175,AC175,AD175))&amp;CHAR(10)&amp;CHAR(10)&amp;"4. Plano Terapêutico"&amp;CHAR(10)&amp;IF(AA175&lt;&gt;"",AA175,"Não definido.")</f>
      </c>
    </row>
    <row r="176" spans="1:32" x14ac:dyDescent="0.25">
      <c r="A176" s="4"/>
      <c r="B176" s="6">
        <f>IFERROR(INDEX(Pacientes!$A:$A,MATCH($A176,Pacientes!$B:$B,0)),"")</f>
      </c>
      <c r="C176" s="6">
        <f>IFERROR(INDEX(Pacientes!$C:$C,MATCH($A176,Pacientes!$B:$B,0)),"")</f>
      </c>
      <c r="D176" s="6">
        <f>IFERROR(INDEX(Pacientes!$D:$D,MATCH($A176,Pacientes!$B:$B,0)),"")</f>
      </c>
      <c r="E176" s="6">
        <f>IFERROR(INDEX(Pacientes!$E:$E,MATCH($A176,Pacientes!$B:$B,0)),"")</f>
      </c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>
        <f>IFERROR(INDEX(Intervenções!$K$2:$K$300,AGGREGATE(15,6,(ROW(Intervenções!$K$2:$K$300)-ROW(Intervenções!$K$2)+1)/((Intervenções!$B$2:$B$300=A176)*(Intervenções!$A$2:$A$300=F176)*(Intervenções!$K$2:$K$300&lt;&gt;"")),1)),"")</f>
      </c>
      <c r="AC176" s="4">
        <f>IFERROR(INDEX(Intervenções!$K$2:$K$300,AGGREGATE(15,6,(ROW(Intervenções!$K$2:$K$300)-ROW(Intervenções!$K$2)+1)/((Intervenções!$B$2:$B$300=A176)*(Intervenções!$A$2:$A$300=F176)*(Intervenções!$K$2:$K$300&lt;&gt;"")),2)),"")</f>
      </c>
      <c r="AD176" s="4">
        <f>IFERROR(INDEX(Intervenções!$K$2:$K$300,AGGREGATE(15,6,(ROW(Intervenções!$K$2:$K$300)-ROW(Intervenções!$K$2)+1)/((Intervenções!$B$2:$B$300=A176)*(Intervenções!$A$2:$A$300=F176)*(Intervenções!$K$2:$K$300&lt;&gt;"")),3)),"")</f>
      </c>
      <c r="AE176" s="4">
        <f>"RECONCILIAÇÃO MEDICAMENTOSA"&amp;CHAR(10)&amp;IF(G176&lt;&gt;"","Medicamentos de uso prévio: "&amp;G176&amp;".","Sem medicamentos de uso prévio relatados.")&amp;CHAR(10)&amp;IF(H176&lt;&gt;"","Histórico de alergia/RAM: "&amp;H176&amp;".","Nega alergias/RAM conhecidas.")</f>
      </c>
      <c r="AF176" s="4">
        <f>AE176&amp;CHAR(10)&amp;CHAR(10)&amp;"1. Evolução Clínica"&amp;CHAR(10)&amp;TEXTJOIN(" ",TRUE,"Paciente "&amp;I176&amp;", "&amp;IF(J176="","sem DVA","em uso de "&amp;J176)&amp;".",IF(K176&lt;&gt;"","Em "&amp;K176&amp;IF(L176&lt;&gt;""," ("&amp;L176&amp;")","")&amp;IF(M176&lt;&gt;"", ", "&amp;M176,"")&amp;IF(N176&lt;&gt;"", ", sob analgosedação com "&amp;N176,"")&amp;".",""),IF(O176&lt;&gt;"",O176&amp;IF(P176&lt;&gt;"", ", com "&amp;LOWER(P176),"")&amp;IF(Q176&lt;&gt;"", " — "&amp;Q176,"")&amp;".",""),IF(R176="Febre","Apresentou episódio febril nas últimas 24h"&amp;IF(S176&lt;&gt;""," ("&amp;S176&amp;")","")&amp;".",IF(R176="Afebril","Encontra-se afebril.","")),IF(T176&lt;&gt;"",IF(U176="Sim","Apresenta disfunção renal aguda ","Função renal preservada ")&amp;"("&amp;T176&amp;").",""),IF(V176&lt;&gt;"","Em uso do esquema antimicrobiano com "&amp;V176&amp;".",""),IF(TEXTJOIN(", ",TRUE,IF(W176&lt;&gt;"","TEV ("&amp;W176&amp;")",""),IF(X176&lt;&gt;"","LAMG ("&amp;X176&amp;")",""),IF(Y176&lt;&gt;"","úlcera de córnea com "&amp;Y176,""))&lt;&gt;"","Em uso de profilaxia: "&amp;TEXTJOIN(", ",TRUE,IF(W176&lt;&gt;"","TEV ("&amp;W176&amp;")",""),IF(X176&lt;&gt;"","LAMG ("&amp;X176&amp;")",""),IF(Y176&lt;&gt;"","úlcera de córnea com "&amp;Y176,""))&amp;".",""))&amp;CHAR(10)&amp;CHAR(10)&amp;"2. Farmacoterapia"&amp;CHAR(10)&amp;IF(Z176&lt;&gt;"","Corticoide/DART: "&amp;Z176,"Sem corticoide/DART registrado.")&amp;CHAR(10)&amp;CHAR(10)&amp;"3. Conduta Farmacêutica"&amp;CHAR(10)&amp;IF(TEXTJOIN(CHAR(10),TRUE,AB176,AC176,AD176)="","Nenhuma intervenção registrada hoje.",TEXTJOIN(CHAR(10),TRUE,AB176,AC176,AD176))&amp;CHAR(10)&amp;CHAR(10)&amp;"4. Plano Terapêutico"&amp;CHAR(10)&amp;IF(AA176&lt;&gt;"",AA176,"Não definido.")</f>
      </c>
    </row>
    <row r="177" spans="1:32" x14ac:dyDescent="0.25">
      <c r="A177" s="4"/>
      <c r="B177" s="6">
        <f>IFERROR(INDEX(Pacientes!$A:$A,MATCH($A177,Pacientes!$B:$B,0)),"")</f>
      </c>
      <c r="C177" s="6">
        <f>IFERROR(INDEX(Pacientes!$C:$C,MATCH($A177,Pacientes!$B:$B,0)),"")</f>
      </c>
      <c r="D177" s="6">
        <f>IFERROR(INDEX(Pacientes!$D:$D,MATCH($A177,Pacientes!$B:$B,0)),"")</f>
      </c>
      <c r="E177" s="6">
        <f>IFERROR(INDEX(Pacientes!$E:$E,MATCH($A177,Pacientes!$B:$B,0)),"")</f>
      </c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>
        <f>IFERROR(INDEX(Intervenções!$K$2:$K$300,AGGREGATE(15,6,(ROW(Intervenções!$K$2:$K$300)-ROW(Intervenções!$K$2)+1)/((Intervenções!$B$2:$B$300=A177)*(Intervenções!$A$2:$A$300=F177)*(Intervenções!$K$2:$K$300&lt;&gt;"")),1)),"")</f>
      </c>
      <c r="AC177" s="4">
        <f>IFERROR(INDEX(Intervenções!$K$2:$K$300,AGGREGATE(15,6,(ROW(Intervenções!$K$2:$K$300)-ROW(Intervenções!$K$2)+1)/((Intervenções!$B$2:$B$300=A177)*(Intervenções!$A$2:$A$300=F177)*(Intervenções!$K$2:$K$300&lt;&gt;"")),2)),"")</f>
      </c>
      <c r="AD177" s="4">
        <f>IFERROR(INDEX(Intervenções!$K$2:$K$300,AGGREGATE(15,6,(ROW(Intervenções!$K$2:$K$300)-ROW(Intervenções!$K$2)+1)/((Intervenções!$B$2:$B$300=A177)*(Intervenções!$A$2:$A$300=F177)*(Intervenções!$K$2:$K$300&lt;&gt;"")),3)),"")</f>
      </c>
      <c r="AE177" s="4">
        <f>"RECONCILIAÇÃO MEDICAMENTOSA"&amp;CHAR(10)&amp;IF(G177&lt;&gt;"","Medicamentos de uso prévio: "&amp;G177&amp;".","Sem medicamentos de uso prévio relatados.")&amp;CHAR(10)&amp;IF(H177&lt;&gt;"","Histórico de alergia/RAM: "&amp;H177&amp;".","Nega alergias/RAM conhecidas.")</f>
      </c>
      <c r="AF177" s="4">
        <f>AE177&amp;CHAR(10)&amp;CHAR(10)&amp;"1. Evolução Clínica"&amp;CHAR(10)&amp;TEXTJOIN(" ",TRUE,"Paciente "&amp;I177&amp;", "&amp;IF(J177="","sem DVA","em uso de "&amp;J177)&amp;".",IF(K177&lt;&gt;"","Em "&amp;K177&amp;IF(L177&lt;&gt;""," ("&amp;L177&amp;")","")&amp;IF(M177&lt;&gt;"", ", "&amp;M177,"")&amp;IF(N177&lt;&gt;"", ", sob analgosedação com "&amp;N177,"")&amp;".",""),IF(O177&lt;&gt;"",O177&amp;IF(P177&lt;&gt;"", ", com "&amp;LOWER(P177),"")&amp;IF(Q177&lt;&gt;"", " — "&amp;Q177,"")&amp;".",""),IF(R177="Febre","Apresentou episódio febril nas últimas 24h"&amp;IF(S177&lt;&gt;""," ("&amp;S177&amp;")","")&amp;".",IF(R177="Afebril","Encontra-se afebril.","")),IF(T177&lt;&gt;"",IF(U177="Sim","Apresenta disfunção renal aguda ","Função renal preservada ")&amp;"("&amp;T177&amp;").",""),IF(V177&lt;&gt;"","Em uso do esquema antimicrobiano com "&amp;V177&amp;".",""),IF(TEXTJOIN(", ",TRUE,IF(W177&lt;&gt;"","TEV ("&amp;W177&amp;")",""),IF(X177&lt;&gt;"","LAMG ("&amp;X177&amp;")",""),IF(Y177&lt;&gt;"","úlcera de córnea com "&amp;Y177,""))&lt;&gt;"","Em uso de profilaxia: "&amp;TEXTJOIN(", ",TRUE,IF(W177&lt;&gt;"","TEV ("&amp;W177&amp;")",""),IF(X177&lt;&gt;"","LAMG ("&amp;X177&amp;")",""),IF(Y177&lt;&gt;"","úlcera de córnea com "&amp;Y177,""))&amp;".",""))&amp;CHAR(10)&amp;CHAR(10)&amp;"2. Farmacoterapia"&amp;CHAR(10)&amp;IF(Z177&lt;&gt;"","Corticoide/DART: "&amp;Z177,"Sem corticoide/DART registrado.")&amp;CHAR(10)&amp;CHAR(10)&amp;"3. Conduta Farmacêutica"&amp;CHAR(10)&amp;IF(TEXTJOIN(CHAR(10),TRUE,AB177,AC177,AD177)="","Nenhuma intervenção registrada hoje.",TEXTJOIN(CHAR(10),TRUE,AB177,AC177,AD177))&amp;CHAR(10)&amp;CHAR(10)&amp;"4. Plano Terapêutico"&amp;CHAR(10)&amp;IF(AA177&lt;&gt;"",AA177,"Não definido.")</f>
      </c>
    </row>
    <row r="178" spans="1:32" x14ac:dyDescent="0.25">
      <c r="A178" s="4"/>
      <c r="B178" s="6">
        <f>IFERROR(INDEX(Pacientes!$A:$A,MATCH($A178,Pacientes!$B:$B,0)),"")</f>
      </c>
      <c r="C178" s="6">
        <f>IFERROR(INDEX(Pacientes!$C:$C,MATCH($A178,Pacientes!$B:$B,0)),"")</f>
      </c>
      <c r="D178" s="6">
        <f>IFERROR(INDEX(Pacientes!$D:$D,MATCH($A178,Pacientes!$B:$B,0)),"")</f>
      </c>
      <c r="E178" s="6">
        <f>IFERROR(INDEX(Pacientes!$E:$E,MATCH($A178,Pacientes!$B:$B,0)),"")</f>
      </c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>
        <f>IFERROR(INDEX(Intervenções!$K$2:$K$300,AGGREGATE(15,6,(ROW(Intervenções!$K$2:$K$300)-ROW(Intervenções!$K$2)+1)/((Intervenções!$B$2:$B$300=A178)*(Intervenções!$A$2:$A$300=F178)*(Intervenções!$K$2:$K$300&lt;&gt;"")),1)),"")</f>
      </c>
      <c r="AC178" s="4">
        <f>IFERROR(INDEX(Intervenções!$K$2:$K$300,AGGREGATE(15,6,(ROW(Intervenções!$K$2:$K$300)-ROW(Intervenções!$K$2)+1)/((Intervenções!$B$2:$B$300=A178)*(Intervenções!$A$2:$A$300=F178)*(Intervenções!$K$2:$K$300&lt;&gt;"")),2)),"")</f>
      </c>
      <c r="AD178" s="4">
        <f>IFERROR(INDEX(Intervenções!$K$2:$K$300,AGGREGATE(15,6,(ROW(Intervenções!$K$2:$K$300)-ROW(Intervenções!$K$2)+1)/((Intervenções!$B$2:$B$300=A178)*(Intervenções!$A$2:$A$300=F178)*(Intervenções!$K$2:$K$300&lt;&gt;"")),3)),"")</f>
      </c>
      <c r="AE178" s="4">
        <f>"RECONCILIAÇÃO MEDICAMENTOSA"&amp;CHAR(10)&amp;IF(G178&lt;&gt;"","Medicamentos de uso prévio: "&amp;G178&amp;".","Sem medicamentos de uso prévio relatados.")&amp;CHAR(10)&amp;IF(H178&lt;&gt;"","Histórico de alergia/RAM: "&amp;H178&amp;".","Nega alergias/RAM conhecidas.")</f>
      </c>
      <c r="AF178" s="4">
        <f>AE178&amp;CHAR(10)&amp;CHAR(10)&amp;"1. Evolução Clínica"&amp;CHAR(10)&amp;TEXTJOIN(" ",TRUE,"Paciente "&amp;I178&amp;", "&amp;IF(J178="","sem DVA","em uso de "&amp;J178)&amp;".",IF(K178&lt;&gt;"","Em "&amp;K178&amp;IF(L178&lt;&gt;""," ("&amp;L178&amp;")","")&amp;IF(M178&lt;&gt;"", ", "&amp;M178,"")&amp;IF(N178&lt;&gt;"", ", sob analgosedação com "&amp;N178,"")&amp;".",""),IF(O178&lt;&gt;"",O178&amp;IF(P178&lt;&gt;"", ", com "&amp;LOWER(P178),"")&amp;IF(Q178&lt;&gt;"", " — "&amp;Q178,"")&amp;".",""),IF(R178="Febre","Apresentou episódio febril nas últimas 24h"&amp;IF(S178&lt;&gt;""," ("&amp;S178&amp;")","")&amp;".",IF(R178="Afebril","Encontra-se afebril.","")),IF(T178&lt;&gt;"",IF(U178="Sim","Apresenta disfunção renal aguda ","Função renal preservada ")&amp;"("&amp;T178&amp;").",""),IF(V178&lt;&gt;"","Em uso do esquema antimicrobiano com "&amp;V178&amp;".",""),IF(TEXTJOIN(", ",TRUE,IF(W178&lt;&gt;"","TEV ("&amp;W178&amp;")",""),IF(X178&lt;&gt;"","LAMG ("&amp;X178&amp;")",""),IF(Y178&lt;&gt;"","úlcera de córnea com "&amp;Y178,""))&lt;&gt;"","Em uso de profilaxia: "&amp;TEXTJOIN(", ",TRUE,IF(W178&lt;&gt;"","TEV ("&amp;W178&amp;")",""),IF(X178&lt;&gt;"","LAMG ("&amp;X178&amp;")",""),IF(Y178&lt;&gt;"","úlcera de córnea com "&amp;Y178,""))&amp;".",""))&amp;CHAR(10)&amp;CHAR(10)&amp;"2. Farmacoterapia"&amp;CHAR(10)&amp;IF(Z178&lt;&gt;"","Corticoide/DART: "&amp;Z178,"Sem corticoide/DART registrado.")&amp;CHAR(10)&amp;CHAR(10)&amp;"3. Conduta Farmacêutica"&amp;CHAR(10)&amp;IF(TEXTJOIN(CHAR(10),TRUE,AB178,AC178,AD178)="","Nenhuma intervenção registrada hoje.",TEXTJOIN(CHAR(10),TRUE,AB178,AC178,AD178))&amp;CHAR(10)&amp;CHAR(10)&amp;"4. Plano Terapêutico"&amp;CHAR(10)&amp;IF(AA178&lt;&gt;"",AA178,"Não definido.")</f>
      </c>
    </row>
    <row r="179" spans="1:32" x14ac:dyDescent="0.25">
      <c r="A179" s="4"/>
      <c r="B179" s="6">
        <f>IFERROR(INDEX(Pacientes!$A:$A,MATCH($A179,Pacientes!$B:$B,0)),"")</f>
      </c>
      <c r="C179" s="6">
        <f>IFERROR(INDEX(Pacientes!$C:$C,MATCH($A179,Pacientes!$B:$B,0)),"")</f>
      </c>
      <c r="D179" s="6">
        <f>IFERROR(INDEX(Pacientes!$D:$D,MATCH($A179,Pacientes!$B:$B,0)),"")</f>
      </c>
      <c r="E179" s="6">
        <f>IFERROR(INDEX(Pacientes!$E:$E,MATCH($A179,Pacientes!$B:$B,0)),"")</f>
      </c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>
        <f>IFERROR(INDEX(Intervenções!$K$2:$K$300,AGGREGATE(15,6,(ROW(Intervenções!$K$2:$K$300)-ROW(Intervenções!$K$2)+1)/((Intervenções!$B$2:$B$300=A179)*(Intervenções!$A$2:$A$300=F179)*(Intervenções!$K$2:$K$300&lt;&gt;"")),1)),"")</f>
      </c>
      <c r="AC179" s="4">
        <f>IFERROR(INDEX(Intervenções!$K$2:$K$300,AGGREGATE(15,6,(ROW(Intervenções!$K$2:$K$300)-ROW(Intervenções!$K$2)+1)/((Intervenções!$B$2:$B$300=A179)*(Intervenções!$A$2:$A$300=F179)*(Intervenções!$K$2:$K$300&lt;&gt;"")),2)),"")</f>
      </c>
      <c r="AD179" s="4">
        <f>IFERROR(INDEX(Intervenções!$K$2:$K$300,AGGREGATE(15,6,(ROW(Intervenções!$K$2:$K$300)-ROW(Intervenções!$K$2)+1)/((Intervenções!$B$2:$B$300=A179)*(Intervenções!$A$2:$A$300=F179)*(Intervenções!$K$2:$K$300&lt;&gt;"")),3)),"")</f>
      </c>
      <c r="AE179" s="4">
        <f>"RECONCILIAÇÃO MEDICAMENTOSA"&amp;CHAR(10)&amp;IF(G179&lt;&gt;"","Medicamentos de uso prévio: "&amp;G179&amp;".","Sem medicamentos de uso prévio relatados.")&amp;CHAR(10)&amp;IF(H179&lt;&gt;"","Histórico de alergia/RAM: "&amp;H179&amp;".","Nega alergias/RAM conhecidas.")</f>
      </c>
      <c r="AF179" s="4">
        <f>AE179&amp;CHAR(10)&amp;CHAR(10)&amp;"1. Evolução Clínica"&amp;CHAR(10)&amp;TEXTJOIN(" ",TRUE,"Paciente "&amp;I179&amp;", "&amp;IF(J179="","sem DVA","em uso de "&amp;J179)&amp;".",IF(K179&lt;&gt;"","Em "&amp;K179&amp;IF(L179&lt;&gt;""," ("&amp;L179&amp;")","")&amp;IF(M179&lt;&gt;"", ", "&amp;M179,"")&amp;IF(N179&lt;&gt;"", ", sob analgosedação com "&amp;N179,"")&amp;".",""),IF(O179&lt;&gt;"",O179&amp;IF(P179&lt;&gt;"", ", com "&amp;LOWER(P179),"")&amp;IF(Q179&lt;&gt;"", " — "&amp;Q179,"")&amp;".",""),IF(R179="Febre","Apresentou episódio febril nas últimas 24h"&amp;IF(S179&lt;&gt;""," ("&amp;S179&amp;")","")&amp;".",IF(R179="Afebril","Encontra-se afebril.","")),IF(T179&lt;&gt;"",IF(U179="Sim","Apresenta disfunção renal aguda ","Função renal preservada ")&amp;"("&amp;T179&amp;").",""),IF(V179&lt;&gt;"","Em uso do esquema antimicrobiano com "&amp;V179&amp;".",""),IF(TEXTJOIN(", ",TRUE,IF(W179&lt;&gt;"","TEV ("&amp;W179&amp;")",""),IF(X179&lt;&gt;"","LAMG ("&amp;X179&amp;")",""),IF(Y179&lt;&gt;"","úlcera de córnea com "&amp;Y179,""))&lt;&gt;"","Em uso de profilaxia: "&amp;TEXTJOIN(", ",TRUE,IF(W179&lt;&gt;"","TEV ("&amp;W179&amp;")",""),IF(X179&lt;&gt;"","LAMG ("&amp;X179&amp;")",""),IF(Y179&lt;&gt;"","úlcera de córnea com "&amp;Y179,""))&amp;".",""))&amp;CHAR(10)&amp;CHAR(10)&amp;"2. Farmacoterapia"&amp;CHAR(10)&amp;IF(Z179&lt;&gt;"","Corticoide/DART: "&amp;Z179,"Sem corticoide/DART registrado.")&amp;CHAR(10)&amp;CHAR(10)&amp;"3. Conduta Farmacêutica"&amp;CHAR(10)&amp;IF(TEXTJOIN(CHAR(10),TRUE,AB179,AC179,AD179)="","Nenhuma intervenção registrada hoje.",TEXTJOIN(CHAR(10),TRUE,AB179,AC179,AD179))&amp;CHAR(10)&amp;CHAR(10)&amp;"4. Plano Terapêutico"&amp;CHAR(10)&amp;IF(AA179&lt;&gt;"",AA179,"Não definido.")</f>
      </c>
    </row>
    <row r="180" spans="1:32" x14ac:dyDescent="0.25">
      <c r="A180" s="4"/>
      <c r="B180" s="6">
        <f>IFERROR(INDEX(Pacientes!$A:$A,MATCH($A180,Pacientes!$B:$B,0)),"")</f>
      </c>
      <c r="C180" s="6">
        <f>IFERROR(INDEX(Pacientes!$C:$C,MATCH($A180,Pacientes!$B:$B,0)),"")</f>
      </c>
      <c r="D180" s="6">
        <f>IFERROR(INDEX(Pacientes!$D:$D,MATCH($A180,Pacientes!$B:$B,0)),"")</f>
      </c>
      <c r="E180" s="6">
        <f>IFERROR(INDEX(Pacientes!$E:$E,MATCH($A180,Pacientes!$B:$B,0)),"")</f>
      </c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>
        <f>IFERROR(INDEX(Intervenções!$K$2:$K$300,AGGREGATE(15,6,(ROW(Intervenções!$K$2:$K$300)-ROW(Intervenções!$K$2)+1)/((Intervenções!$B$2:$B$300=A180)*(Intervenções!$A$2:$A$300=F180)*(Intervenções!$K$2:$K$300&lt;&gt;"")),1)),"")</f>
      </c>
      <c r="AC180" s="4">
        <f>IFERROR(INDEX(Intervenções!$K$2:$K$300,AGGREGATE(15,6,(ROW(Intervenções!$K$2:$K$300)-ROW(Intervenções!$K$2)+1)/((Intervenções!$B$2:$B$300=A180)*(Intervenções!$A$2:$A$300=F180)*(Intervenções!$K$2:$K$300&lt;&gt;"")),2)),"")</f>
      </c>
      <c r="AD180" s="4">
        <f>IFERROR(INDEX(Intervenções!$K$2:$K$300,AGGREGATE(15,6,(ROW(Intervenções!$K$2:$K$300)-ROW(Intervenções!$K$2)+1)/((Intervenções!$B$2:$B$300=A180)*(Intervenções!$A$2:$A$300=F180)*(Intervenções!$K$2:$K$300&lt;&gt;"")),3)),"")</f>
      </c>
      <c r="AE180" s="4">
        <f>"RECONCILIAÇÃO MEDICAMENTOSA"&amp;CHAR(10)&amp;IF(G180&lt;&gt;"","Medicamentos de uso prévio: "&amp;G180&amp;".","Sem medicamentos de uso prévio relatados.")&amp;CHAR(10)&amp;IF(H180&lt;&gt;"","Histórico de alergia/RAM: "&amp;H180&amp;".","Nega alergias/RAM conhecidas.")</f>
      </c>
      <c r="AF180" s="4">
        <f>AE180&amp;CHAR(10)&amp;CHAR(10)&amp;"1. Evolução Clínica"&amp;CHAR(10)&amp;TEXTJOIN(" ",TRUE,"Paciente "&amp;I180&amp;", "&amp;IF(J180="","sem DVA","em uso de "&amp;J180)&amp;".",IF(K180&lt;&gt;"","Em "&amp;K180&amp;IF(L180&lt;&gt;""," ("&amp;L180&amp;")","")&amp;IF(M180&lt;&gt;"", ", "&amp;M180,"")&amp;IF(N180&lt;&gt;"", ", sob analgosedação com "&amp;N180,"")&amp;".",""),IF(O180&lt;&gt;"",O180&amp;IF(P180&lt;&gt;"", ", com "&amp;LOWER(P180),"")&amp;IF(Q180&lt;&gt;"", " — "&amp;Q180,"")&amp;".",""),IF(R180="Febre","Apresentou episódio febril nas últimas 24h"&amp;IF(S180&lt;&gt;""," ("&amp;S180&amp;")","")&amp;".",IF(R180="Afebril","Encontra-se afebril.","")),IF(T180&lt;&gt;"",IF(U180="Sim","Apresenta disfunção renal aguda ","Função renal preservada ")&amp;"("&amp;T180&amp;").",""),IF(V180&lt;&gt;"","Em uso do esquema antimicrobiano com "&amp;V180&amp;".",""),IF(TEXTJOIN(", ",TRUE,IF(W180&lt;&gt;"","TEV ("&amp;W180&amp;")",""),IF(X180&lt;&gt;"","LAMG ("&amp;X180&amp;")",""),IF(Y180&lt;&gt;"","úlcera de córnea com "&amp;Y180,""))&lt;&gt;"","Em uso de profilaxia: "&amp;TEXTJOIN(", ",TRUE,IF(W180&lt;&gt;"","TEV ("&amp;W180&amp;")",""),IF(X180&lt;&gt;"","LAMG ("&amp;X180&amp;")",""),IF(Y180&lt;&gt;"","úlcera de córnea com "&amp;Y180,""))&amp;".",""))&amp;CHAR(10)&amp;CHAR(10)&amp;"2. Farmacoterapia"&amp;CHAR(10)&amp;IF(Z180&lt;&gt;"","Corticoide/DART: "&amp;Z180,"Sem corticoide/DART registrado.")&amp;CHAR(10)&amp;CHAR(10)&amp;"3. Conduta Farmacêutica"&amp;CHAR(10)&amp;IF(TEXTJOIN(CHAR(10),TRUE,AB180,AC180,AD180)="","Nenhuma intervenção registrada hoje.",TEXTJOIN(CHAR(10),TRUE,AB180,AC180,AD180))&amp;CHAR(10)&amp;CHAR(10)&amp;"4. Plano Terapêutico"&amp;CHAR(10)&amp;IF(AA180&lt;&gt;"",AA180,"Não definido.")</f>
      </c>
    </row>
    <row r="181" spans="1:32" x14ac:dyDescent="0.25">
      <c r="A181" s="4"/>
      <c r="B181" s="6">
        <f>IFERROR(INDEX(Pacientes!$A:$A,MATCH($A181,Pacientes!$B:$B,0)),"")</f>
      </c>
      <c r="C181" s="6">
        <f>IFERROR(INDEX(Pacientes!$C:$C,MATCH($A181,Pacientes!$B:$B,0)),"")</f>
      </c>
      <c r="D181" s="6">
        <f>IFERROR(INDEX(Pacientes!$D:$D,MATCH($A181,Pacientes!$B:$B,0)),"")</f>
      </c>
      <c r="E181" s="6">
        <f>IFERROR(INDEX(Pacientes!$E:$E,MATCH($A181,Pacientes!$B:$B,0)),"")</f>
      </c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>
        <f>IFERROR(INDEX(Intervenções!$K$2:$K$300,AGGREGATE(15,6,(ROW(Intervenções!$K$2:$K$300)-ROW(Intervenções!$K$2)+1)/((Intervenções!$B$2:$B$300=A181)*(Intervenções!$A$2:$A$300=F181)*(Intervenções!$K$2:$K$300&lt;&gt;"")),1)),"")</f>
      </c>
      <c r="AC181" s="4">
        <f>IFERROR(INDEX(Intervenções!$K$2:$K$300,AGGREGATE(15,6,(ROW(Intervenções!$K$2:$K$300)-ROW(Intervenções!$K$2)+1)/((Intervenções!$B$2:$B$300=A181)*(Intervenções!$A$2:$A$300=F181)*(Intervenções!$K$2:$K$300&lt;&gt;"")),2)),"")</f>
      </c>
      <c r="AD181" s="4">
        <f>IFERROR(INDEX(Intervenções!$K$2:$K$300,AGGREGATE(15,6,(ROW(Intervenções!$K$2:$K$300)-ROW(Intervenções!$K$2)+1)/((Intervenções!$B$2:$B$300=A181)*(Intervenções!$A$2:$A$300=F181)*(Intervenções!$K$2:$K$300&lt;&gt;"")),3)),"")</f>
      </c>
      <c r="AE181" s="4">
        <f>"RECONCILIAÇÃO MEDICAMENTOSA"&amp;CHAR(10)&amp;IF(G181&lt;&gt;"","Medicamentos de uso prévio: "&amp;G181&amp;".","Sem medicamentos de uso prévio relatados.")&amp;CHAR(10)&amp;IF(H181&lt;&gt;"","Histórico de alergia/RAM: "&amp;H181&amp;".","Nega alergias/RAM conhecidas.")</f>
      </c>
      <c r="AF181" s="4">
        <f>AE181&amp;CHAR(10)&amp;CHAR(10)&amp;"1. Evolução Clínica"&amp;CHAR(10)&amp;TEXTJOIN(" ",TRUE,"Paciente "&amp;I181&amp;", "&amp;IF(J181="","sem DVA","em uso de "&amp;J181)&amp;".",IF(K181&lt;&gt;"","Em "&amp;K181&amp;IF(L181&lt;&gt;""," ("&amp;L181&amp;")","")&amp;IF(M181&lt;&gt;"", ", "&amp;M181,"")&amp;IF(N181&lt;&gt;"", ", sob analgosedação com "&amp;N181,"")&amp;".",""),IF(O181&lt;&gt;"",O181&amp;IF(P181&lt;&gt;"", ", com "&amp;LOWER(P181),"")&amp;IF(Q181&lt;&gt;"", " — "&amp;Q181,"")&amp;".",""),IF(R181="Febre","Apresentou episódio febril nas últimas 24h"&amp;IF(S181&lt;&gt;""," ("&amp;S181&amp;")","")&amp;".",IF(R181="Afebril","Encontra-se afebril.","")),IF(T181&lt;&gt;"",IF(U181="Sim","Apresenta disfunção renal aguda ","Função renal preservada ")&amp;"("&amp;T181&amp;").",""),IF(V181&lt;&gt;"","Em uso do esquema antimicrobiano com "&amp;V181&amp;".",""),IF(TEXTJOIN(", ",TRUE,IF(W181&lt;&gt;"","TEV ("&amp;W181&amp;")",""),IF(X181&lt;&gt;"","LAMG ("&amp;X181&amp;")",""),IF(Y181&lt;&gt;"","úlcera de córnea com "&amp;Y181,""))&lt;&gt;"","Em uso de profilaxia: "&amp;TEXTJOIN(", ",TRUE,IF(W181&lt;&gt;"","TEV ("&amp;W181&amp;")",""),IF(X181&lt;&gt;"","LAMG ("&amp;X181&amp;")",""),IF(Y181&lt;&gt;"","úlcera de córnea com "&amp;Y181,""))&amp;".",""))&amp;CHAR(10)&amp;CHAR(10)&amp;"2. Farmacoterapia"&amp;CHAR(10)&amp;IF(Z181&lt;&gt;"","Corticoide/DART: "&amp;Z181,"Sem corticoide/DART registrado.")&amp;CHAR(10)&amp;CHAR(10)&amp;"3. Conduta Farmacêutica"&amp;CHAR(10)&amp;IF(TEXTJOIN(CHAR(10),TRUE,AB181,AC181,AD181)="","Nenhuma intervenção registrada hoje.",TEXTJOIN(CHAR(10),TRUE,AB181,AC181,AD181))&amp;CHAR(10)&amp;CHAR(10)&amp;"4. Plano Terapêutico"&amp;CHAR(10)&amp;IF(AA181&lt;&gt;"",AA181,"Não definido.")</f>
      </c>
    </row>
    <row r="182" spans="1:32" x14ac:dyDescent="0.25">
      <c r="A182" s="4"/>
      <c r="B182" s="6">
        <f>IFERROR(INDEX(Pacientes!$A:$A,MATCH($A182,Pacientes!$B:$B,0)),"")</f>
      </c>
      <c r="C182" s="6">
        <f>IFERROR(INDEX(Pacientes!$C:$C,MATCH($A182,Pacientes!$B:$B,0)),"")</f>
      </c>
      <c r="D182" s="6">
        <f>IFERROR(INDEX(Pacientes!$D:$D,MATCH($A182,Pacientes!$B:$B,0)),"")</f>
      </c>
      <c r="E182" s="6">
        <f>IFERROR(INDEX(Pacientes!$E:$E,MATCH($A182,Pacientes!$B:$B,0)),"")</f>
      </c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>
        <f>IFERROR(INDEX(Intervenções!$K$2:$K$300,AGGREGATE(15,6,(ROW(Intervenções!$K$2:$K$300)-ROW(Intervenções!$K$2)+1)/((Intervenções!$B$2:$B$300=A182)*(Intervenções!$A$2:$A$300=F182)*(Intervenções!$K$2:$K$300&lt;&gt;"")),1)),"")</f>
      </c>
      <c r="AC182" s="4">
        <f>IFERROR(INDEX(Intervenções!$K$2:$K$300,AGGREGATE(15,6,(ROW(Intervenções!$K$2:$K$300)-ROW(Intervenções!$K$2)+1)/((Intervenções!$B$2:$B$300=A182)*(Intervenções!$A$2:$A$300=F182)*(Intervenções!$K$2:$K$300&lt;&gt;"")),2)),"")</f>
      </c>
      <c r="AD182" s="4">
        <f>IFERROR(INDEX(Intervenções!$K$2:$K$300,AGGREGATE(15,6,(ROW(Intervenções!$K$2:$K$300)-ROW(Intervenções!$K$2)+1)/((Intervenções!$B$2:$B$300=A182)*(Intervenções!$A$2:$A$300=F182)*(Intervenções!$K$2:$K$300&lt;&gt;"")),3)),"")</f>
      </c>
      <c r="AE182" s="4">
        <f>"RECONCILIAÇÃO MEDICAMENTOSA"&amp;CHAR(10)&amp;IF(G182&lt;&gt;"","Medicamentos de uso prévio: "&amp;G182&amp;".","Sem medicamentos de uso prévio relatados.")&amp;CHAR(10)&amp;IF(H182&lt;&gt;"","Histórico de alergia/RAM: "&amp;H182&amp;".","Nega alergias/RAM conhecidas.")</f>
      </c>
      <c r="AF182" s="4">
        <f>AE182&amp;CHAR(10)&amp;CHAR(10)&amp;"1. Evolução Clínica"&amp;CHAR(10)&amp;TEXTJOIN(" ",TRUE,"Paciente "&amp;I182&amp;", "&amp;IF(J182="","sem DVA","em uso de "&amp;J182)&amp;".",IF(K182&lt;&gt;"","Em "&amp;K182&amp;IF(L182&lt;&gt;""," ("&amp;L182&amp;")","")&amp;IF(M182&lt;&gt;"", ", "&amp;M182,"")&amp;IF(N182&lt;&gt;"", ", sob analgosedação com "&amp;N182,"")&amp;".",""),IF(O182&lt;&gt;"",O182&amp;IF(P182&lt;&gt;"", ", com "&amp;LOWER(P182),"")&amp;IF(Q182&lt;&gt;"", " — "&amp;Q182,"")&amp;".",""),IF(R182="Febre","Apresentou episódio febril nas últimas 24h"&amp;IF(S182&lt;&gt;""," ("&amp;S182&amp;")","")&amp;".",IF(R182="Afebril","Encontra-se afebril.","")),IF(T182&lt;&gt;"",IF(U182="Sim","Apresenta disfunção renal aguda ","Função renal preservada ")&amp;"("&amp;T182&amp;").",""),IF(V182&lt;&gt;"","Em uso do esquema antimicrobiano com "&amp;V182&amp;".",""),IF(TEXTJOIN(", ",TRUE,IF(W182&lt;&gt;"","TEV ("&amp;W182&amp;")",""),IF(X182&lt;&gt;"","LAMG ("&amp;X182&amp;")",""),IF(Y182&lt;&gt;"","úlcera de córnea com "&amp;Y182,""))&lt;&gt;"","Em uso de profilaxia: "&amp;TEXTJOIN(", ",TRUE,IF(W182&lt;&gt;"","TEV ("&amp;W182&amp;")",""),IF(X182&lt;&gt;"","LAMG ("&amp;X182&amp;")",""),IF(Y182&lt;&gt;"","úlcera de córnea com "&amp;Y182,""))&amp;".",""))&amp;CHAR(10)&amp;CHAR(10)&amp;"2. Farmacoterapia"&amp;CHAR(10)&amp;IF(Z182&lt;&gt;"","Corticoide/DART: "&amp;Z182,"Sem corticoide/DART registrado.")&amp;CHAR(10)&amp;CHAR(10)&amp;"3. Conduta Farmacêutica"&amp;CHAR(10)&amp;IF(TEXTJOIN(CHAR(10),TRUE,AB182,AC182,AD182)="","Nenhuma intervenção registrada hoje.",TEXTJOIN(CHAR(10),TRUE,AB182,AC182,AD182))&amp;CHAR(10)&amp;CHAR(10)&amp;"4. Plano Terapêutico"&amp;CHAR(10)&amp;IF(AA182&lt;&gt;"",AA182,"Não definido.")</f>
      </c>
    </row>
    <row r="183" spans="1:32" x14ac:dyDescent="0.25">
      <c r="A183" s="4"/>
      <c r="B183" s="6">
        <f>IFERROR(INDEX(Pacientes!$A:$A,MATCH($A183,Pacientes!$B:$B,0)),"")</f>
      </c>
      <c r="C183" s="6">
        <f>IFERROR(INDEX(Pacientes!$C:$C,MATCH($A183,Pacientes!$B:$B,0)),"")</f>
      </c>
      <c r="D183" s="6">
        <f>IFERROR(INDEX(Pacientes!$D:$D,MATCH($A183,Pacientes!$B:$B,0)),"")</f>
      </c>
      <c r="E183" s="6">
        <f>IFERROR(INDEX(Pacientes!$E:$E,MATCH($A183,Pacientes!$B:$B,0)),"")</f>
      </c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>
        <f>IFERROR(INDEX(Intervenções!$K$2:$K$300,AGGREGATE(15,6,(ROW(Intervenções!$K$2:$K$300)-ROW(Intervenções!$K$2)+1)/((Intervenções!$B$2:$B$300=A183)*(Intervenções!$A$2:$A$300=F183)*(Intervenções!$K$2:$K$300&lt;&gt;"")),1)),"")</f>
      </c>
      <c r="AC183" s="4">
        <f>IFERROR(INDEX(Intervenções!$K$2:$K$300,AGGREGATE(15,6,(ROW(Intervenções!$K$2:$K$300)-ROW(Intervenções!$K$2)+1)/((Intervenções!$B$2:$B$300=A183)*(Intervenções!$A$2:$A$300=F183)*(Intervenções!$K$2:$K$300&lt;&gt;"")),2)),"")</f>
      </c>
      <c r="AD183" s="4">
        <f>IFERROR(INDEX(Intervenções!$K$2:$K$300,AGGREGATE(15,6,(ROW(Intervenções!$K$2:$K$300)-ROW(Intervenções!$K$2)+1)/((Intervenções!$B$2:$B$300=A183)*(Intervenções!$A$2:$A$300=F183)*(Intervenções!$K$2:$K$300&lt;&gt;"")),3)),"")</f>
      </c>
      <c r="AE183" s="4">
        <f>"RECONCILIAÇÃO MEDICAMENTOSA"&amp;CHAR(10)&amp;IF(G183&lt;&gt;"","Medicamentos de uso prévio: "&amp;G183&amp;".","Sem medicamentos de uso prévio relatados.")&amp;CHAR(10)&amp;IF(H183&lt;&gt;"","Histórico de alergia/RAM: "&amp;H183&amp;".","Nega alergias/RAM conhecidas.")</f>
      </c>
      <c r="AF183" s="4">
        <f>AE183&amp;CHAR(10)&amp;CHAR(10)&amp;"1. Evolução Clínica"&amp;CHAR(10)&amp;TEXTJOIN(" ",TRUE,"Paciente "&amp;I183&amp;", "&amp;IF(J183="","sem DVA","em uso de "&amp;J183)&amp;".",IF(K183&lt;&gt;"","Em "&amp;K183&amp;IF(L183&lt;&gt;""," ("&amp;L183&amp;")","")&amp;IF(M183&lt;&gt;"", ", "&amp;M183,"")&amp;IF(N183&lt;&gt;"", ", sob analgosedação com "&amp;N183,"")&amp;".",""),IF(O183&lt;&gt;"",O183&amp;IF(P183&lt;&gt;"", ", com "&amp;LOWER(P183),"")&amp;IF(Q183&lt;&gt;"", " — "&amp;Q183,"")&amp;".",""),IF(R183="Febre","Apresentou episódio febril nas últimas 24h"&amp;IF(S183&lt;&gt;""," ("&amp;S183&amp;")","")&amp;".",IF(R183="Afebril","Encontra-se afebril.","")),IF(T183&lt;&gt;"",IF(U183="Sim","Apresenta disfunção renal aguda ","Função renal preservada ")&amp;"("&amp;T183&amp;").",""),IF(V183&lt;&gt;"","Em uso do esquema antimicrobiano com "&amp;V183&amp;".",""),IF(TEXTJOIN(", ",TRUE,IF(W183&lt;&gt;"","TEV ("&amp;W183&amp;")",""),IF(X183&lt;&gt;"","LAMG ("&amp;X183&amp;")",""),IF(Y183&lt;&gt;"","úlcera de córnea com "&amp;Y183,""))&lt;&gt;"","Em uso de profilaxia: "&amp;TEXTJOIN(", ",TRUE,IF(W183&lt;&gt;"","TEV ("&amp;W183&amp;")",""),IF(X183&lt;&gt;"","LAMG ("&amp;X183&amp;")",""),IF(Y183&lt;&gt;"","úlcera de córnea com "&amp;Y183,""))&amp;".",""))&amp;CHAR(10)&amp;CHAR(10)&amp;"2. Farmacoterapia"&amp;CHAR(10)&amp;IF(Z183&lt;&gt;"","Corticoide/DART: "&amp;Z183,"Sem corticoide/DART registrado.")&amp;CHAR(10)&amp;CHAR(10)&amp;"3. Conduta Farmacêutica"&amp;CHAR(10)&amp;IF(TEXTJOIN(CHAR(10),TRUE,AB183,AC183,AD183)="","Nenhuma intervenção registrada hoje.",TEXTJOIN(CHAR(10),TRUE,AB183,AC183,AD183))&amp;CHAR(10)&amp;CHAR(10)&amp;"4. Plano Terapêutico"&amp;CHAR(10)&amp;IF(AA183&lt;&gt;"",AA183,"Não definido.")</f>
      </c>
    </row>
    <row r="184" spans="1:32" x14ac:dyDescent="0.25">
      <c r="A184" s="4"/>
      <c r="B184" s="6">
        <f>IFERROR(INDEX(Pacientes!$A:$A,MATCH($A184,Pacientes!$B:$B,0)),"")</f>
      </c>
      <c r="C184" s="6">
        <f>IFERROR(INDEX(Pacientes!$C:$C,MATCH($A184,Pacientes!$B:$B,0)),"")</f>
      </c>
      <c r="D184" s="6">
        <f>IFERROR(INDEX(Pacientes!$D:$D,MATCH($A184,Pacientes!$B:$B,0)),"")</f>
      </c>
      <c r="E184" s="6">
        <f>IFERROR(INDEX(Pacientes!$E:$E,MATCH($A184,Pacientes!$B:$B,0)),"")</f>
      </c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>
        <f>IFERROR(INDEX(Intervenções!$K$2:$K$300,AGGREGATE(15,6,(ROW(Intervenções!$K$2:$K$300)-ROW(Intervenções!$K$2)+1)/((Intervenções!$B$2:$B$300=A184)*(Intervenções!$A$2:$A$300=F184)*(Intervenções!$K$2:$K$300&lt;&gt;"")),1)),"")</f>
      </c>
      <c r="AC184" s="4">
        <f>IFERROR(INDEX(Intervenções!$K$2:$K$300,AGGREGATE(15,6,(ROW(Intervenções!$K$2:$K$300)-ROW(Intervenções!$K$2)+1)/((Intervenções!$B$2:$B$300=A184)*(Intervenções!$A$2:$A$300=F184)*(Intervenções!$K$2:$K$300&lt;&gt;"")),2)),"")</f>
      </c>
      <c r="AD184" s="4">
        <f>IFERROR(INDEX(Intervenções!$K$2:$K$300,AGGREGATE(15,6,(ROW(Intervenções!$K$2:$K$300)-ROW(Intervenções!$K$2)+1)/((Intervenções!$B$2:$B$300=A184)*(Intervenções!$A$2:$A$300=F184)*(Intervenções!$K$2:$K$300&lt;&gt;"")),3)),"")</f>
      </c>
      <c r="AE184" s="4">
        <f>"RECONCILIAÇÃO MEDICAMENTOSA"&amp;CHAR(10)&amp;IF(G184&lt;&gt;"","Medicamentos de uso prévio: "&amp;G184&amp;".","Sem medicamentos de uso prévio relatados.")&amp;CHAR(10)&amp;IF(H184&lt;&gt;"","Histórico de alergia/RAM: "&amp;H184&amp;".","Nega alergias/RAM conhecidas.")</f>
      </c>
      <c r="AF184" s="4">
        <f>AE184&amp;CHAR(10)&amp;CHAR(10)&amp;"1. Evolução Clínica"&amp;CHAR(10)&amp;TEXTJOIN(" ",TRUE,"Paciente "&amp;I184&amp;", "&amp;IF(J184="","sem DVA","em uso de "&amp;J184)&amp;".",IF(K184&lt;&gt;"","Em "&amp;K184&amp;IF(L184&lt;&gt;""," ("&amp;L184&amp;")","")&amp;IF(M184&lt;&gt;"", ", "&amp;M184,"")&amp;IF(N184&lt;&gt;"", ", sob analgosedação com "&amp;N184,"")&amp;".",""),IF(O184&lt;&gt;"",O184&amp;IF(P184&lt;&gt;"", ", com "&amp;LOWER(P184),"")&amp;IF(Q184&lt;&gt;"", " — "&amp;Q184,"")&amp;".",""),IF(R184="Febre","Apresentou episódio febril nas últimas 24h"&amp;IF(S184&lt;&gt;""," ("&amp;S184&amp;")","")&amp;".",IF(R184="Afebril","Encontra-se afebril.","")),IF(T184&lt;&gt;"",IF(U184="Sim","Apresenta disfunção renal aguda ","Função renal preservada ")&amp;"("&amp;T184&amp;").",""),IF(V184&lt;&gt;"","Em uso do esquema antimicrobiano com "&amp;V184&amp;".",""),IF(TEXTJOIN(", ",TRUE,IF(W184&lt;&gt;"","TEV ("&amp;W184&amp;")",""),IF(X184&lt;&gt;"","LAMG ("&amp;X184&amp;")",""),IF(Y184&lt;&gt;"","úlcera de córnea com "&amp;Y184,""))&lt;&gt;"","Em uso de profilaxia: "&amp;TEXTJOIN(", ",TRUE,IF(W184&lt;&gt;"","TEV ("&amp;W184&amp;")",""),IF(X184&lt;&gt;"","LAMG ("&amp;X184&amp;")",""),IF(Y184&lt;&gt;"","úlcera de córnea com "&amp;Y184,""))&amp;".",""))&amp;CHAR(10)&amp;CHAR(10)&amp;"2. Farmacoterapia"&amp;CHAR(10)&amp;IF(Z184&lt;&gt;"","Corticoide/DART: "&amp;Z184,"Sem corticoide/DART registrado.")&amp;CHAR(10)&amp;CHAR(10)&amp;"3. Conduta Farmacêutica"&amp;CHAR(10)&amp;IF(TEXTJOIN(CHAR(10),TRUE,AB184,AC184,AD184)="","Nenhuma intervenção registrada hoje.",TEXTJOIN(CHAR(10),TRUE,AB184,AC184,AD184))&amp;CHAR(10)&amp;CHAR(10)&amp;"4. Plano Terapêutico"&amp;CHAR(10)&amp;IF(AA184&lt;&gt;"",AA184,"Não definido.")</f>
      </c>
    </row>
    <row r="185" spans="1:32" x14ac:dyDescent="0.25">
      <c r="A185" s="4"/>
      <c r="B185" s="6">
        <f>IFERROR(INDEX(Pacientes!$A:$A,MATCH($A185,Pacientes!$B:$B,0)),"")</f>
      </c>
      <c r="C185" s="6">
        <f>IFERROR(INDEX(Pacientes!$C:$C,MATCH($A185,Pacientes!$B:$B,0)),"")</f>
      </c>
      <c r="D185" s="6">
        <f>IFERROR(INDEX(Pacientes!$D:$D,MATCH($A185,Pacientes!$B:$B,0)),"")</f>
      </c>
      <c r="E185" s="6">
        <f>IFERROR(INDEX(Pacientes!$E:$E,MATCH($A185,Pacientes!$B:$B,0)),"")</f>
      </c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>
        <f>IFERROR(INDEX(Intervenções!$K$2:$K$300,AGGREGATE(15,6,(ROW(Intervenções!$K$2:$K$300)-ROW(Intervenções!$K$2)+1)/((Intervenções!$B$2:$B$300=A185)*(Intervenções!$A$2:$A$300=F185)*(Intervenções!$K$2:$K$300&lt;&gt;"")),1)),"")</f>
      </c>
      <c r="AC185" s="4">
        <f>IFERROR(INDEX(Intervenções!$K$2:$K$300,AGGREGATE(15,6,(ROW(Intervenções!$K$2:$K$300)-ROW(Intervenções!$K$2)+1)/((Intervenções!$B$2:$B$300=A185)*(Intervenções!$A$2:$A$300=F185)*(Intervenções!$K$2:$K$300&lt;&gt;"")),2)),"")</f>
      </c>
      <c r="AD185" s="4">
        <f>IFERROR(INDEX(Intervenções!$K$2:$K$300,AGGREGATE(15,6,(ROW(Intervenções!$K$2:$K$300)-ROW(Intervenções!$K$2)+1)/((Intervenções!$B$2:$B$300=A185)*(Intervenções!$A$2:$A$300=F185)*(Intervenções!$K$2:$K$300&lt;&gt;"")),3)),"")</f>
      </c>
      <c r="AE185" s="4">
        <f>"RECONCILIAÇÃO MEDICAMENTOSA"&amp;CHAR(10)&amp;IF(G185&lt;&gt;"","Medicamentos de uso prévio: "&amp;G185&amp;".","Sem medicamentos de uso prévio relatados.")&amp;CHAR(10)&amp;IF(H185&lt;&gt;"","Histórico de alergia/RAM: "&amp;H185&amp;".","Nega alergias/RAM conhecidas.")</f>
      </c>
      <c r="AF185" s="4">
        <f>AE185&amp;CHAR(10)&amp;CHAR(10)&amp;"1. Evolução Clínica"&amp;CHAR(10)&amp;TEXTJOIN(" ",TRUE,"Paciente "&amp;I185&amp;", "&amp;IF(J185="","sem DVA","em uso de "&amp;J185)&amp;".",IF(K185&lt;&gt;"","Em "&amp;K185&amp;IF(L185&lt;&gt;""," ("&amp;L185&amp;")","")&amp;IF(M185&lt;&gt;"", ", "&amp;M185,"")&amp;IF(N185&lt;&gt;"", ", sob analgosedação com "&amp;N185,"")&amp;".",""),IF(O185&lt;&gt;"",O185&amp;IF(P185&lt;&gt;"", ", com "&amp;LOWER(P185),"")&amp;IF(Q185&lt;&gt;"", " — "&amp;Q185,"")&amp;".",""),IF(R185="Febre","Apresentou episódio febril nas últimas 24h"&amp;IF(S185&lt;&gt;""," ("&amp;S185&amp;")","")&amp;".",IF(R185="Afebril","Encontra-se afebril.","")),IF(T185&lt;&gt;"",IF(U185="Sim","Apresenta disfunção renal aguda ","Função renal preservada ")&amp;"("&amp;T185&amp;").",""),IF(V185&lt;&gt;"","Em uso do esquema antimicrobiano com "&amp;V185&amp;".",""),IF(TEXTJOIN(", ",TRUE,IF(W185&lt;&gt;"","TEV ("&amp;W185&amp;")",""),IF(X185&lt;&gt;"","LAMG ("&amp;X185&amp;")",""),IF(Y185&lt;&gt;"","úlcera de córnea com "&amp;Y185,""))&lt;&gt;"","Em uso de profilaxia: "&amp;TEXTJOIN(", ",TRUE,IF(W185&lt;&gt;"","TEV ("&amp;W185&amp;")",""),IF(X185&lt;&gt;"","LAMG ("&amp;X185&amp;")",""),IF(Y185&lt;&gt;"","úlcera de córnea com "&amp;Y185,""))&amp;".",""))&amp;CHAR(10)&amp;CHAR(10)&amp;"2. Farmacoterapia"&amp;CHAR(10)&amp;IF(Z185&lt;&gt;"","Corticoide/DART: "&amp;Z185,"Sem corticoide/DART registrado.")&amp;CHAR(10)&amp;CHAR(10)&amp;"3. Conduta Farmacêutica"&amp;CHAR(10)&amp;IF(TEXTJOIN(CHAR(10),TRUE,AB185,AC185,AD185)="","Nenhuma intervenção registrada hoje.",TEXTJOIN(CHAR(10),TRUE,AB185,AC185,AD185))&amp;CHAR(10)&amp;CHAR(10)&amp;"4. Plano Terapêutico"&amp;CHAR(10)&amp;IF(AA185&lt;&gt;"",AA185,"Não definido.")</f>
      </c>
    </row>
    <row r="186" spans="1:32" x14ac:dyDescent="0.25">
      <c r="A186" s="4"/>
      <c r="B186" s="6">
        <f>IFERROR(INDEX(Pacientes!$A:$A,MATCH($A186,Pacientes!$B:$B,0)),"")</f>
      </c>
      <c r="C186" s="6">
        <f>IFERROR(INDEX(Pacientes!$C:$C,MATCH($A186,Pacientes!$B:$B,0)),"")</f>
      </c>
      <c r="D186" s="6">
        <f>IFERROR(INDEX(Pacientes!$D:$D,MATCH($A186,Pacientes!$B:$B,0)),"")</f>
      </c>
      <c r="E186" s="6">
        <f>IFERROR(INDEX(Pacientes!$E:$E,MATCH($A186,Pacientes!$B:$B,0)),"")</f>
      </c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>
        <f>IFERROR(INDEX(Intervenções!$K$2:$K$300,AGGREGATE(15,6,(ROW(Intervenções!$K$2:$K$300)-ROW(Intervenções!$K$2)+1)/((Intervenções!$B$2:$B$300=A186)*(Intervenções!$A$2:$A$300=F186)*(Intervenções!$K$2:$K$300&lt;&gt;"")),1)),"")</f>
      </c>
      <c r="AC186" s="4">
        <f>IFERROR(INDEX(Intervenções!$K$2:$K$300,AGGREGATE(15,6,(ROW(Intervenções!$K$2:$K$300)-ROW(Intervenções!$K$2)+1)/((Intervenções!$B$2:$B$300=A186)*(Intervenções!$A$2:$A$300=F186)*(Intervenções!$K$2:$K$300&lt;&gt;"")),2)),"")</f>
      </c>
      <c r="AD186" s="4">
        <f>IFERROR(INDEX(Intervenções!$K$2:$K$300,AGGREGATE(15,6,(ROW(Intervenções!$K$2:$K$300)-ROW(Intervenções!$K$2)+1)/((Intervenções!$B$2:$B$300=A186)*(Intervenções!$A$2:$A$300=F186)*(Intervenções!$K$2:$K$300&lt;&gt;"")),3)),"")</f>
      </c>
      <c r="AE186" s="4">
        <f>"RECONCILIAÇÃO MEDICAMENTOSA"&amp;CHAR(10)&amp;IF(G186&lt;&gt;"","Medicamentos de uso prévio: "&amp;G186&amp;".","Sem medicamentos de uso prévio relatados.")&amp;CHAR(10)&amp;IF(H186&lt;&gt;"","Histórico de alergia/RAM: "&amp;H186&amp;".","Nega alergias/RAM conhecidas.")</f>
      </c>
      <c r="AF186" s="4">
        <f>AE186&amp;CHAR(10)&amp;CHAR(10)&amp;"1. Evolução Clínica"&amp;CHAR(10)&amp;TEXTJOIN(" ",TRUE,"Paciente "&amp;I186&amp;", "&amp;IF(J186="","sem DVA","em uso de "&amp;J186)&amp;".",IF(K186&lt;&gt;"","Em "&amp;K186&amp;IF(L186&lt;&gt;""," ("&amp;L186&amp;")","")&amp;IF(M186&lt;&gt;"", ", "&amp;M186,"")&amp;IF(N186&lt;&gt;"", ", sob analgosedação com "&amp;N186,"")&amp;".",""),IF(O186&lt;&gt;"",O186&amp;IF(P186&lt;&gt;"", ", com "&amp;LOWER(P186),"")&amp;IF(Q186&lt;&gt;"", " — "&amp;Q186,"")&amp;".",""),IF(R186="Febre","Apresentou episódio febril nas últimas 24h"&amp;IF(S186&lt;&gt;""," ("&amp;S186&amp;")","")&amp;".",IF(R186="Afebril","Encontra-se afebril.","")),IF(T186&lt;&gt;"",IF(U186="Sim","Apresenta disfunção renal aguda ","Função renal preservada ")&amp;"("&amp;T186&amp;").",""),IF(V186&lt;&gt;"","Em uso do esquema antimicrobiano com "&amp;V186&amp;".",""),IF(TEXTJOIN(", ",TRUE,IF(W186&lt;&gt;"","TEV ("&amp;W186&amp;")",""),IF(X186&lt;&gt;"","LAMG ("&amp;X186&amp;")",""),IF(Y186&lt;&gt;"","úlcera de córnea com "&amp;Y186,""))&lt;&gt;"","Em uso de profilaxia: "&amp;TEXTJOIN(", ",TRUE,IF(W186&lt;&gt;"","TEV ("&amp;W186&amp;")",""),IF(X186&lt;&gt;"","LAMG ("&amp;X186&amp;")",""),IF(Y186&lt;&gt;"","úlcera de córnea com "&amp;Y186,""))&amp;".",""))&amp;CHAR(10)&amp;CHAR(10)&amp;"2. Farmacoterapia"&amp;CHAR(10)&amp;IF(Z186&lt;&gt;"","Corticoide/DART: "&amp;Z186,"Sem corticoide/DART registrado.")&amp;CHAR(10)&amp;CHAR(10)&amp;"3. Conduta Farmacêutica"&amp;CHAR(10)&amp;IF(TEXTJOIN(CHAR(10),TRUE,AB186,AC186,AD186)="","Nenhuma intervenção registrada hoje.",TEXTJOIN(CHAR(10),TRUE,AB186,AC186,AD186))&amp;CHAR(10)&amp;CHAR(10)&amp;"4. Plano Terapêutico"&amp;CHAR(10)&amp;IF(AA186&lt;&gt;"",AA186,"Não definido.")</f>
      </c>
    </row>
    <row r="187" spans="1:32" x14ac:dyDescent="0.25">
      <c r="A187" s="4"/>
      <c r="B187" s="6">
        <f>IFERROR(INDEX(Pacientes!$A:$A,MATCH($A187,Pacientes!$B:$B,0)),"")</f>
      </c>
      <c r="C187" s="6">
        <f>IFERROR(INDEX(Pacientes!$C:$C,MATCH($A187,Pacientes!$B:$B,0)),"")</f>
      </c>
      <c r="D187" s="6">
        <f>IFERROR(INDEX(Pacientes!$D:$D,MATCH($A187,Pacientes!$B:$B,0)),"")</f>
      </c>
      <c r="E187" s="6">
        <f>IFERROR(INDEX(Pacientes!$E:$E,MATCH($A187,Pacientes!$B:$B,0)),"")</f>
      </c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>
        <f>IFERROR(INDEX(Intervenções!$K$2:$K$300,AGGREGATE(15,6,(ROW(Intervenções!$K$2:$K$300)-ROW(Intervenções!$K$2)+1)/((Intervenções!$B$2:$B$300=A187)*(Intervenções!$A$2:$A$300=F187)*(Intervenções!$K$2:$K$300&lt;&gt;"")),1)),"")</f>
      </c>
      <c r="AC187" s="4">
        <f>IFERROR(INDEX(Intervenções!$K$2:$K$300,AGGREGATE(15,6,(ROW(Intervenções!$K$2:$K$300)-ROW(Intervenções!$K$2)+1)/((Intervenções!$B$2:$B$300=A187)*(Intervenções!$A$2:$A$300=F187)*(Intervenções!$K$2:$K$300&lt;&gt;"")),2)),"")</f>
      </c>
      <c r="AD187" s="4">
        <f>IFERROR(INDEX(Intervenções!$K$2:$K$300,AGGREGATE(15,6,(ROW(Intervenções!$K$2:$K$300)-ROW(Intervenções!$K$2)+1)/((Intervenções!$B$2:$B$300=A187)*(Intervenções!$A$2:$A$300=F187)*(Intervenções!$K$2:$K$300&lt;&gt;"")),3)),"")</f>
      </c>
      <c r="AE187" s="4">
        <f>"RECONCILIAÇÃO MEDICAMENTOSA"&amp;CHAR(10)&amp;IF(G187&lt;&gt;"","Medicamentos de uso prévio: "&amp;G187&amp;".","Sem medicamentos de uso prévio relatados.")&amp;CHAR(10)&amp;IF(H187&lt;&gt;"","Histórico de alergia/RAM: "&amp;H187&amp;".","Nega alergias/RAM conhecidas.")</f>
      </c>
      <c r="AF187" s="4">
        <f>AE187&amp;CHAR(10)&amp;CHAR(10)&amp;"1. Evolução Clínica"&amp;CHAR(10)&amp;TEXTJOIN(" ",TRUE,"Paciente "&amp;I187&amp;", "&amp;IF(J187="","sem DVA","em uso de "&amp;J187)&amp;".",IF(K187&lt;&gt;"","Em "&amp;K187&amp;IF(L187&lt;&gt;""," ("&amp;L187&amp;")","")&amp;IF(M187&lt;&gt;"", ", "&amp;M187,"")&amp;IF(N187&lt;&gt;"", ", sob analgosedação com "&amp;N187,"")&amp;".",""),IF(O187&lt;&gt;"",O187&amp;IF(P187&lt;&gt;"", ", com "&amp;LOWER(P187),"")&amp;IF(Q187&lt;&gt;"", " — "&amp;Q187,"")&amp;".",""),IF(R187="Febre","Apresentou episódio febril nas últimas 24h"&amp;IF(S187&lt;&gt;""," ("&amp;S187&amp;")","")&amp;".",IF(R187="Afebril","Encontra-se afebril.","")),IF(T187&lt;&gt;"",IF(U187="Sim","Apresenta disfunção renal aguda ","Função renal preservada ")&amp;"("&amp;T187&amp;").",""),IF(V187&lt;&gt;"","Em uso do esquema antimicrobiano com "&amp;V187&amp;".",""),IF(TEXTJOIN(", ",TRUE,IF(W187&lt;&gt;"","TEV ("&amp;W187&amp;")",""),IF(X187&lt;&gt;"","LAMG ("&amp;X187&amp;")",""),IF(Y187&lt;&gt;"","úlcera de córnea com "&amp;Y187,""))&lt;&gt;"","Em uso de profilaxia: "&amp;TEXTJOIN(", ",TRUE,IF(W187&lt;&gt;"","TEV ("&amp;W187&amp;")",""),IF(X187&lt;&gt;"","LAMG ("&amp;X187&amp;")",""),IF(Y187&lt;&gt;"","úlcera de córnea com "&amp;Y187,""))&amp;".",""))&amp;CHAR(10)&amp;CHAR(10)&amp;"2. Farmacoterapia"&amp;CHAR(10)&amp;IF(Z187&lt;&gt;"","Corticoide/DART: "&amp;Z187,"Sem corticoide/DART registrado.")&amp;CHAR(10)&amp;CHAR(10)&amp;"3. Conduta Farmacêutica"&amp;CHAR(10)&amp;IF(TEXTJOIN(CHAR(10),TRUE,AB187,AC187,AD187)="","Nenhuma intervenção registrada hoje.",TEXTJOIN(CHAR(10),TRUE,AB187,AC187,AD187))&amp;CHAR(10)&amp;CHAR(10)&amp;"4. Plano Terapêutico"&amp;CHAR(10)&amp;IF(AA187&lt;&gt;"",AA187,"Não definido.")</f>
      </c>
    </row>
    <row r="188" spans="1:32" x14ac:dyDescent="0.25">
      <c r="A188" s="4"/>
      <c r="B188" s="6">
        <f>IFERROR(INDEX(Pacientes!$A:$A,MATCH($A188,Pacientes!$B:$B,0)),"")</f>
      </c>
      <c r="C188" s="6">
        <f>IFERROR(INDEX(Pacientes!$C:$C,MATCH($A188,Pacientes!$B:$B,0)),"")</f>
      </c>
      <c r="D188" s="6">
        <f>IFERROR(INDEX(Pacientes!$D:$D,MATCH($A188,Pacientes!$B:$B,0)),"")</f>
      </c>
      <c r="E188" s="6">
        <f>IFERROR(INDEX(Pacientes!$E:$E,MATCH($A188,Pacientes!$B:$B,0)),"")</f>
      </c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>
        <f>IFERROR(INDEX(Intervenções!$K$2:$K$300,AGGREGATE(15,6,(ROW(Intervenções!$K$2:$K$300)-ROW(Intervenções!$K$2)+1)/((Intervenções!$B$2:$B$300=A188)*(Intervenções!$A$2:$A$300=F188)*(Intervenções!$K$2:$K$300&lt;&gt;"")),1)),"")</f>
      </c>
      <c r="AC188" s="4">
        <f>IFERROR(INDEX(Intervenções!$K$2:$K$300,AGGREGATE(15,6,(ROW(Intervenções!$K$2:$K$300)-ROW(Intervenções!$K$2)+1)/((Intervenções!$B$2:$B$300=A188)*(Intervenções!$A$2:$A$300=F188)*(Intervenções!$K$2:$K$300&lt;&gt;"")),2)),"")</f>
      </c>
      <c r="AD188" s="4">
        <f>IFERROR(INDEX(Intervenções!$K$2:$K$300,AGGREGATE(15,6,(ROW(Intervenções!$K$2:$K$300)-ROW(Intervenções!$K$2)+1)/((Intervenções!$B$2:$B$300=A188)*(Intervenções!$A$2:$A$300=F188)*(Intervenções!$K$2:$K$300&lt;&gt;"")),3)),"")</f>
      </c>
      <c r="AE188" s="4">
        <f>"RECONCILIAÇÃO MEDICAMENTOSA"&amp;CHAR(10)&amp;IF(G188&lt;&gt;"","Medicamentos de uso prévio: "&amp;G188&amp;".","Sem medicamentos de uso prévio relatados.")&amp;CHAR(10)&amp;IF(H188&lt;&gt;"","Histórico de alergia/RAM: "&amp;H188&amp;".","Nega alergias/RAM conhecidas.")</f>
      </c>
      <c r="AF188" s="4">
        <f>AE188&amp;CHAR(10)&amp;CHAR(10)&amp;"1. Evolução Clínica"&amp;CHAR(10)&amp;TEXTJOIN(" ",TRUE,"Paciente "&amp;I188&amp;", "&amp;IF(J188="","sem DVA","em uso de "&amp;J188)&amp;".",IF(K188&lt;&gt;"","Em "&amp;K188&amp;IF(L188&lt;&gt;""," ("&amp;L188&amp;")","")&amp;IF(M188&lt;&gt;"", ", "&amp;M188,"")&amp;IF(N188&lt;&gt;"", ", sob analgosedação com "&amp;N188,"")&amp;".",""),IF(O188&lt;&gt;"",O188&amp;IF(P188&lt;&gt;"", ", com "&amp;LOWER(P188),"")&amp;IF(Q188&lt;&gt;"", " — "&amp;Q188,"")&amp;".",""),IF(R188="Febre","Apresentou episódio febril nas últimas 24h"&amp;IF(S188&lt;&gt;""," ("&amp;S188&amp;")","")&amp;".",IF(R188="Afebril","Encontra-se afebril.","")),IF(T188&lt;&gt;"",IF(U188="Sim","Apresenta disfunção renal aguda ","Função renal preservada ")&amp;"("&amp;T188&amp;").",""),IF(V188&lt;&gt;"","Em uso do esquema antimicrobiano com "&amp;V188&amp;".",""),IF(TEXTJOIN(", ",TRUE,IF(W188&lt;&gt;"","TEV ("&amp;W188&amp;")",""),IF(X188&lt;&gt;"","LAMG ("&amp;X188&amp;")",""),IF(Y188&lt;&gt;"","úlcera de córnea com "&amp;Y188,""))&lt;&gt;"","Em uso de profilaxia: "&amp;TEXTJOIN(", ",TRUE,IF(W188&lt;&gt;"","TEV ("&amp;W188&amp;")",""),IF(X188&lt;&gt;"","LAMG ("&amp;X188&amp;")",""),IF(Y188&lt;&gt;"","úlcera de córnea com "&amp;Y188,""))&amp;".",""))&amp;CHAR(10)&amp;CHAR(10)&amp;"2. Farmacoterapia"&amp;CHAR(10)&amp;IF(Z188&lt;&gt;"","Corticoide/DART: "&amp;Z188,"Sem corticoide/DART registrado.")&amp;CHAR(10)&amp;CHAR(10)&amp;"3. Conduta Farmacêutica"&amp;CHAR(10)&amp;IF(TEXTJOIN(CHAR(10),TRUE,AB188,AC188,AD188)="","Nenhuma intervenção registrada hoje.",TEXTJOIN(CHAR(10),TRUE,AB188,AC188,AD188))&amp;CHAR(10)&amp;CHAR(10)&amp;"4. Plano Terapêutico"&amp;CHAR(10)&amp;IF(AA188&lt;&gt;"",AA188,"Não definido.")</f>
      </c>
    </row>
    <row r="189" spans="1:32" x14ac:dyDescent="0.25">
      <c r="A189" s="4"/>
      <c r="B189" s="6">
        <f>IFERROR(INDEX(Pacientes!$A:$A,MATCH($A189,Pacientes!$B:$B,0)),"")</f>
      </c>
      <c r="C189" s="6">
        <f>IFERROR(INDEX(Pacientes!$C:$C,MATCH($A189,Pacientes!$B:$B,0)),"")</f>
      </c>
      <c r="D189" s="6">
        <f>IFERROR(INDEX(Pacientes!$D:$D,MATCH($A189,Pacientes!$B:$B,0)),"")</f>
      </c>
      <c r="E189" s="6">
        <f>IFERROR(INDEX(Pacientes!$E:$E,MATCH($A189,Pacientes!$B:$B,0)),"")</f>
      </c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>
        <f>IFERROR(INDEX(Intervenções!$K$2:$K$300,AGGREGATE(15,6,(ROW(Intervenções!$K$2:$K$300)-ROW(Intervenções!$K$2)+1)/((Intervenções!$B$2:$B$300=A189)*(Intervenções!$A$2:$A$300=F189)*(Intervenções!$K$2:$K$300&lt;&gt;"")),1)),"")</f>
      </c>
      <c r="AC189" s="4">
        <f>IFERROR(INDEX(Intervenções!$K$2:$K$300,AGGREGATE(15,6,(ROW(Intervenções!$K$2:$K$300)-ROW(Intervenções!$K$2)+1)/((Intervenções!$B$2:$B$300=A189)*(Intervenções!$A$2:$A$300=F189)*(Intervenções!$K$2:$K$300&lt;&gt;"")),2)),"")</f>
      </c>
      <c r="AD189" s="4">
        <f>IFERROR(INDEX(Intervenções!$K$2:$K$300,AGGREGATE(15,6,(ROW(Intervenções!$K$2:$K$300)-ROW(Intervenções!$K$2)+1)/((Intervenções!$B$2:$B$300=A189)*(Intervenções!$A$2:$A$300=F189)*(Intervenções!$K$2:$K$300&lt;&gt;"")),3)),"")</f>
      </c>
      <c r="AE189" s="4">
        <f>"RECONCILIAÇÃO MEDICAMENTOSA"&amp;CHAR(10)&amp;IF(G189&lt;&gt;"","Medicamentos de uso prévio: "&amp;G189&amp;".","Sem medicamentos de uso prévio relatados.")&amp;CHAR(10)&amp;IF(H189&lt;&gt;"","Histórico de alergia/RAM: "&amp;H189&amp;".","Nega alergias/RAM conhecidas.")</f>
      </c>
      <c r="AF189" s="4">
        <f>AE189&amp;CHAR(10)&amp;CHAR(10)&amp;"1. Evolução Clínica"&amp;CHAR(10)&amp;TEXTJOIN(" ",TRUE,"Paciente "&amp;I189&amp;", "&amp;IF(J189="","sem DVA","em uso de "&amp;J189)&amp;".",IF(K189&lt;&gt;"","Em "&amp;K189&amp;IF(L189&lt;&gt;""," ("&amp;L189&amp;")","")&amp;IF(M189&lt;&gt;"", ", "&amp;M189,"")&amp;IF(N189&lt;&gt;"", ", sob analgosedação com "&amp;N189,"")&amp;".",""),IF(O189&lt;&gt;"",O189&amp;IF(P189&lt;&gt;"", ", com "&amp;LOWER(P189),"")&amp;IF(Q189&lt;&gt;"", " — "&amp;Q189,"")&amp;".",""),IF(R189="Febre","Apresentou episódio febril nas últimas 24h"&amp;IF(S189&lt;&gt;""," ("&amp;S189&amp;")","")&amp;".",IF(R189="Afebril","Encontra-se afebril.","")),IF(T189&lt;&gt;"",IF(U189="Sim","Apresenta disfunção renal aguda ","Função renal preservada ")&amp;"("&amp;T189&amp;").",""),IF(V189&lt;&gt;"","Em uso do esquema antimicrobiano com "&amp;V189&amp;".",""),IF(TEXTJOIN(", ",TRUE,IF(W189&lt;&gt;"","TEV ("&amp;W189&amp;")",""),IF(X189&lt;&gt;"","LAMG ("&amp;X189&amp;")",""),IF(Y189&lt;&gt;"","úlcera de córnea com "&amp;Y189,""))&lt;&gt;"","Em uso de profilaxia: "&amp;TEXTJOIN(", ",TRUE,IF(W189&lt;&gt;"","TEV ("&amp;W189&amp;")",""),IF(X189&lt;&gt;"","LAMG ("&amp;X189&amp;")",""),IF(Y189&lt;&gt;"","úlcera de córnea com "&amp;Y189,""))&amp;".",""))&amp;CHAR(10)&amp;CHAR(10)&amp;"2. Farmacoterapia"&amp;CHAR(10)&amp;IF(Z189&lt;&gt;"","Corticoide/DART: "&amp;Z189,"Sem corticoide/DART registrado.")&amp;CHAR(10)&amp;CHAR(10)&amp;"3. Conduta Farmacêutica"&amp;CHAR(10)&amp;IF(TEXTJOIN(CHAR(10),TRUE,AB189,AC189,AD189)="","Nenhuma intervenção registrada hoje.",TEXTJOIN(CHAR(10),TRUE,AB189,AC189,AD189))&amp;CHAR(10)&amp;CHAR(10)&amp;"4. Plano Terapêutico"&amp;CHAR(10)&amp;IF(AA189&lt;&gt;"",AA189,"Não definido.")</f>
      </c>
    </row>
    <row r="190" spans="1:32" x14ac:dyDescent="0.25">
      <c r="A190" s="4"/>
      <c r="B190" s="6">
        <f>IFERROR(INDEX(Pacientes!$A:$A,MATCH($A190,Pacientes!$B:$B,0)),"")</f>
      </c>
      <c r="C190" s="6">
        <f>IFERROR(INDEX(Pacientes!$C:$C,MATCH($A190,Pacientes!$B:$B,0)),"")</f>
      </c>
      <c r="D190" s="6">
        <f>IFERROR(INDEX(Pacientes!$D:$D,MATCH($A190,Pacientes!$B:$B,0)),"")</f>
      </c>
      <c r="E190" s="6">
        <f>IFERROR(INDEX(Pacientes!$E:$E,MATCH($A190,Pacientes!$B:$B,0)),"")</f>
      </c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>
        <f>IFERROR(INDEX(Intervenções!$K$2:$K$300,AGGREGATE(15,6,(ROW(Intervenções!$K$2:$K$300)-ROW(Intervenções!$K$2)+1)/((Intervenções!$B$2:$B$300=A190)*(Intervenções!$A$2:$A$300=F190)*(Intervenções!$K$2:$K$300&lt;&gt;"")),1)),"")</f>
      </c>
      <c r="AC190" s="4">
        <f>IFERROR(INDEX(Intervenções!$K$2:$K$300,AGGREGATE(15,6,(ROW(Intervenções!$K$2:$K$300)-ROW(Intervenções!$K$2)+1)/((Intervenções!$B$2:$B$300=A190)*(Intervenções!$A$2:$A$300=F190)*(Intervenções!$K$2:$K$300&lt;&gt;"")),2)),"")</f>
      </c>
      <c r="AD190" s="4">
        <f>IFERROR(INDEX(Intervenções!$K$2:$K$300,AGGREGATE(15,6,(ROW(Intervenções!$K$2:$K$300)-ROW(Intervenções!$K$2)+1)/((Intervenções!$B$2:$B$300=A190)*(Intervenções!$A$2:$A$300=F190)*(Intervenções!$K$2:$K$300&lt;&gt;"")),3)),"")</f>
      </c>
      <c r="AE190" s="4">
        <f>"RECONCILIAÇÃO MEDICAMENTOSA"&amp;CHAR(10)&amp;IF(G190&lt;&gt;"","Medicamentos de uso prévio: "&amp;G190&amp;".","Sem medicamentos de uso prévio relatados.")&amp;CHAR(10)&amp;IF(H190&lt;&gt;"","Histórico de alergia/RAM: "&amp;H190&amp;".","Nega alergias/RAM conhecidas.")</f>
      </c>
      <c r="AF190" s="4">
        <f>AE190&amp;CHAR(10)&amp;CHAR(10)&amp;"1. Evolução Clínica"&amp;CHAR(10)&amp;TEXTJOIN(" ",TRUE,"Paciente "&amp;I190&amp;", "&amp;IF(J190="","sem DVA","em uso de "&amp;J190)&amp;".",IF(K190&lt;&gt;"","Em "&amp;K190&amp;IF(L190&lt;&gt;""," ("&amp;L190&amp;")","")&amp;IF(M190&lt;&gt;"", ", "&amp;M190,"")&amp;IF(N190&lt;&gt;"", ", sob analgosedação com "&amp;N190,"")&amp;".",""),IF(O190&lt;&gt;"",O190&amp;IF(P190&lt;&gt;"", ", com "&amp;LOWER(P190),"")&amp;IF(Q190&lt;&gt;"", " — "&amp;Q190,"")&amp;".",""),IF(R190="Febre","Apresentou episódio febril nas últimas 24h"&amp;IF(S190&lt;&gt;""," ("&amp;S190&amp;")","")&amp;".",IF(R190="Afebril","Encontra-se afebril.","")),IF(T190&lt;&gt;"",IF(U190="Sim","Apresenta disfunção renal aguda ","Função renal preservada ")&amp;"("&amp;T190&amp;").",""),IF(V190&lt;&gt;"","Em uso do esquema antimicrobiano com "&amp;V190&amp;".",""),IF(TEXTJOIN(", ",TRUE,IF(W190&lt;&gt;"","TEV ("&amp;W190&amp;")",""),IF(X190&lt;&gt;"","LAMG ("&amp;X190&amp;")",""),IF(Y190&lt;&gt;"","úlcera de córnea com "&amp;Y190,""))&lt;&gt;"","Em uso de profilaxia: "&amp;TEXTJOIN(", ",TRUE,IF(W190&lt;&gt;"","TEV ("&amp;W190&amp;")",""),IF(X190&lt;&gt;"","LAMG ("&amp;X190&amp;")",""),IF(Y190&lt;&gt;"","úlcera de córnea com "&amp;Y190,""))&amp;".",""))&amp;CHAR(10)&amp;CHAR(10)&amp;"2. Farmacoterapia"&amp;CHAR(10)&amp;IF(Z190&lt;&gt;"","Corticoide/DART: "&amp;Z190,"Sem corticoide/DART registrado.")&amp;CHAR(10)&amp;CHAR(10)&amp;"3. Conduta Farmacêutica"&amp;CHAR(10)&amp;IF(TEXTJOIN(CHAR(10),TRUE,AB190,AC190,AD190)="","Nenhuma intervenção registrada hoje.",TEXTJOIN(CHAR(10),TRUE,AB190,AC190,AD190))&amp;CHAR(10)&amp;CHAR(10)&amp;"4. Plano Terapêutico"&amp;CHAR(10)&amp;IF(AA190&lt;&gt;"",AA190,"Não definido.")</f>
      </c>
    </row>
    <row r="191" spans="1:32" x14ac:dyDescent="0.25">
      <c r="A191" s="4"/>
      <c r="B191" s="6">
        <f>IFERROR(INDEX(Pacientes!$A:$A,MATCH($A191,Pacientes!$B:$B,0)),"")</f>
      </c>
      <c r="C191" s="6">
        <f>IFERROR(INDEX(Pacientes!$C:$C,MATCH($A191,Pacientes!$B:$B,0)),"")</f>
      </c>
      <c r="D191" s="6">
        <f>IFERROR(INDEX(Pacientes!$D:$D,MATCH($A191,Pacientes!$B:$B,0)),"")</f>
      </c>
      <c r="E191" s="6">
        <f>IFERROR(INDEX(Pacientes!$E:$E,MATCH($A191,Pacientes!$B:$B,0)),"")</f>
      </c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>
        <f>IFERROR(INDEX(Intervenções!$K$2:$K$300,AGGREGATE(15,6,(ROW(Intervenções!$K$2:$K$300)-ROW(Intervenções!$K$2)+1)/((Intervenções!$B$2:$B$300=A191)*(Intervenções!$A$2:$A$300=F191)*(Intervenções!$K$2:$K$300&lt;&gt;"")),1)),"")</f>
      </c>
      <c r="AC191" s="4">
        <f>IFERROR(INDEX(Intervenções!$K$2:$K$300,AGGREGATE(15,6,(ROW(Intervenções!$K$2:$K$300)-ROW(Intervenções!$K$2)+1)/((Intervenções!$B$2:$B$300=A191)*(Intervenções!$A$2:$A$300=F191)*(Intervenções!$K$2:$K$300&lt;&gt;"")),2)),"")</f>
      </c>
      <c r="AD191" s="4">
        <f>IFERROR(INDEX(Intervenções!$K$2:$K$300,AGGREGATE(15,6,(ROW(Intervenções!$K$2:$K$300)-ROW(Intervenções!$K$2)+1)/((Intervenções!$B$2:$B$300=A191)*(Intervenções!$A$2:$A$300=F191)*(Intervenções!$K$2:$K$300&lt;&gt;"")),3)),"")</f>
      </c>
      <c r="AE191" s="4">
        <f>"RECONCILIAÇÃO MEDICAMENTOSA"&amp;CHAR(10)&amp;IF(G191&lt;&gt;"","Medicamentos de uso prévio: "&amp;G191&amp;".","Sem medicamentos de uso prévio relatados.")&amp;CHAR(10)&amp;IF(H191&lt;&gt;"","Histórico de alergia/RAM: "&amp;H191&amp;".","Nega alergias/RAM conhecidas.")</f>
      </c>
      <c r="AF191" s="4">
        <f>AE191&amp;CHAR(10)&amp;CHAR(10)&amp;"1. Evolução Clínica"&amp;CHAR(10)&amp;TEXTJOIN(" ",TRUE,"Paciente "&amp;I191&amp;", "&amp;IF(J191="","sem DVA","em uso de "&amp;J191)&amp;".",IF(K191&lt;&gt;"","Em "&amp;K191&amp;IF(L191&lt;&gt;""," ("&amp;L191&amp;")","")&amp;IF(M191&lt;&gt;"", ", "&amp;M191,"")&amp;IF(N191&lt;&gt;"", ", sob analgosedação com "&amp;N191,"")&amp;".",""),IF(O191&lt;&gt;"",O191&amp;IF(P191&lt;&gt;"", ", com "&amp;LOWER(P191),"")&amp;IF(Q191&lt;&gt;"", " — "&amp;Q191,"")&amp;".",""),IF(R191="Febre","Apresentou episódio febril nas últimas 24h"&amp;IF(S191&lt;&gt;""," ("&amp;S191&amp;")","")&amp;".",IF(R191="Afebril","Encontra-se afebril.","")),IF(T191&lt;&gt;"",IF(U191="Sim","Apresenta disfunção renal aguda ","Função renal preservada ")&amp;"("&amp;T191&amp;").",""),IF(V191&lt;&gt;"","Em uso do esquema antimicrobiano com "&amp;V191&amp;".",""),IF(TEXTJOIN(", ",TRUE,IF(W191&lt;&gt;"","TEV ("&amp;W191&amp;")",""),IF(X191&lt;&gt;"","LAMG ("&amp;X191&amp;")",""),IF(Y191&lt;&gt;"","úlcera de córnea com "&amp;Y191,""))&lt;&gt;"","Em uso de profilaxia: "&amp;TEXTJOIN(", ",TRUE,IF(W191&lt;&gt;"","TEV ("&amp;W191&amp;")",""),IF(X191&lt;&gt;"","LAMG ("&amp;X191&amp;")",""),IF(Y191&lt;&gt;"","úlcera de córnea com "&amp;Y191,""))&amp;".",""))&amp;CHAR(10)&amp;CHAR(10)&amp;"2. Farmacoterapia"&amp;CHAR(10)&amp;IF(Z191&lt;&gt;"","Corticoide/DART: "&amp;Z191,"Sem corticoide/DART registrado.")&amp;CHAR(10)&amp;CHAR(10)&amp;"3. Conduta Farmacêutica"&amp;CHAR(10)&amp;IF(TEXTJOIN(CHAR(10),TRUE,AB191,AC191,AD191)="","Nenhuma intervenção registrada hoje.",TEXTJOIN(CHAR(10),TRUE,AB191,AC191,AD191))&amp;CHAR(10)&amp;CHAR(10)&amp;"4. Plano Terapêutico"&amp;CHAR(10)&amp;IF(AA191&lt;&gt;"",AA191,"Não definido.")</f>
      </c>
    </row>
    <row r="192" spans="1:32" x14ac:dyDescent="0.25">
      <c r="A192" s="4"/>
      <c r="B192" s="6">
        <f>IFERROR(INDEX(Pacientes!$A:$A,MATCH($A192,Pacientes!$B:$B,0)),"")</f>
      </c>
      <c r="C192" s="6">
        <f>IFERROR(INDEX(Pacientes!$C:$C,MATCH($A192,Pacientes!$B:$B,0)),"")</f>
      </c>
      <c r="D192" s="6">
        <f>IFERROR(INDEX(Pacientes!$D:$D,MATCH($A192,Pacientes!$B:$B,0)),"")</f>
      </c>
      <c r="E192" s="6">
        <f>IFERROR(INDEX(Pacientes!$E:$E,MATCH($A192,Pacientes!$B:$B,0)),"")</f>
      </c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>
        <f>IFERROR(INDEX(Intervenções!$K$2:$K$300,AGGREGATE(15,6,(ROW(Intervenções!$K$2:$K$300)-ROW(Intervenções!$K$2)+1)/((Intervenções!$B$2:$B$300=A192)*(Intervenções!$A$2:$A$300=F192)*(Intervenções!$K$2:$K$300&lt;&gt;"")),1)),"")</f>
      </c>
      <c r="AC192" s="4">
        <f>IFERROR(INDEX(Intervenções!$K$2:$K$300,AGGREGATE(15,6,(ROW(Intervenções!$K$2:$K$300)-ROW(Intervenções!$K$2)+1)/((Intervenções!$B$2:$B$300=A192)*(Intervenções!$A$2:$A$300=F192)*(Intervenções!$K$2:$K$300&lt;&gt;"")),2)),"")</f>
      </c>
      <c r="AD192" s="4">
        <f>IFERROR(INDEX(Intervenções!$K$2:$K$300,AGGREGATE(15,6,(ROW(Intervenções!$K$2:$K$300)-ROW(Intervenções!$K$2)+1)/((Intervenções!$B$2:$B$300=A192)*(Intervenções!$A$2:$A$300=F192)*(Intervenções!$K$2:$K$300&lt;&gt;"")),3)),"")</f>
      </c>
      <c r="AE192" s="4">
        <f>"RECONCILIAÇÃO MEDICAMENTOSA"&amp;CHAR(10)&amp;IF(G192&lt;&gt;"","Medicamentos de uso prévio: "&amp;G192&amp;".","Sem medicamentos de uso prévio relatados.")&amp;CHAR(10)&amp;IF(H192&lt;&gt;"","Histórico de alergia/RAM: "&amp;H192&amp;".","Nega alergias/RAM conhecidas.")</f>
      </c>
      <c r="AF192" s="4">
        <f>AE192&amp;CHAR(10)&amp;CHAR(10)&amp;"1. Evolução Clínica"&amp;CHAR(10)&amp;TEXTJOIN(" ",TRUE,"Paciente "&amp;I192&amp;", "&amp;IF(J192="","sem DVA","em uso de "&amp;J192)&amp;".",IF(K192&lt;&gt;"","Em "&amp;K192&amp;IF(L192&lt;&gt;""," ("&amp;L192&amp;")","")&amp;IF(M192&lt;&gt;"", ", "&amp;M192,"")&amp;IF(N192&lt;&gt;"", ", sob analgosedação com "&amp;N192,"")&amp;".",""),IF(O192&lt;&gt;"",O192&amp;IF(P192&lt;&gt;"", ", com "&amp;LOWER(P192),"")&amp;IF(Q192&lt;&gt;"", " — "&amp;Q192,"")&amp;".",""),IF(R192="Febre","Apresentou episódio febril nas últimas 24h"&amp;IF(S192&lt;&gt;""," ("&amp;S192&amp;")","")&amp;".",IF(R192="Afebril","Encontra-se afebril.","")),IF(T192&lt;&gt;"",IF(U192="Sim","Apresenta disfunção renal aguda ","Função renal preservada ")&amp;"("&amp;T192&amp;").",""),IF(V192&lt;&gt;"","Em uso do esquema antimicrobiano com "&amp;V192&amp;".",""),IF(TEXTJOIN(", ",TRUE,IF(W192&lt;&gt;"","TEV ("&amp;W192&amp;")",""),IF(X192&lt;&gt;"","LAMG ("&amp;X192&amp;")",""),IF(Y192&lt;&gt;"","úlcera de córnea com "&amp;Y192,""))&lt;&gt;"","Em uso de profilaxia: "&amp;TEXTJOIN(", ",TRUE,IF(W192&lt;&gt;"","TEV ("&amp;W192&amp;")",""),IF(X192&lt;&gt;"","LAMG ("&amp;X192&amp;")",""),IF(Y192&lt;&gt;"","úlcera de córnea com "&amp;Y192,""))&amp;".",""))&amp;CHAR(10)&amp;CHAR(10)&amp;"2. Farmacoterapia"&amp;CHAR(10)&amp;IF(Z192&lt;&gt;"","Corticoide/DART: "&amp;Z192,"Sem corticoide/DART registrado.")&amp;CHAR(10)&amp;CHAR(10)&amp;"3. Conduta Farmacêutica"&amp;CHAR(10)&amp;IF(TEXTJOIN(CHAR(10),TRUE,AB192,AC192,AD192)="","Nenhuma intervenção registrada hoje.",TEXTJOIN(CHAR(10),TRUE,AB192,AC192,AD192))&amp;CHAR(10)&amp;CHAR(10)&amp;"4. Plano Terapêutico"&amp;CHAR(10)&amp;IF(AA192&lt;&gt;"",AA192,"Não definido.")</f>
      </c>
    </row>
    <row r="193" spans="1:32" x14ac:dyDescent="0.25">
      <c r="A193" s="4"/>
      <c r="B193" s="6">
        <f>IFERROR(INDEX(Pacientes!$A:$A,MATCH($A193,Pacientes!$B:$B,0)),"")</f>
      </c>
      <c r="C193" s="6">
        <f>IFERROR(INDEX(Pacientes!$C:$C,MATCH($A193,Pacientes!$B:$B,0)),"")</f>
      </c>
      <c r="D193" s="6">
        <f>IFERROR(INDEX(Pacientes!$D:$D,MATCH($A193,Pacientes!$B:$B,0)),"")</f>
      </c>
      <c r="E193" s="6">
        <f>IFERROR(INDEX(Pacientes!$E:$E,MATCH($A193,Pacientes!$B:$B,0)),"")</f>
      </c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>
        <f>IFERROR(INDEX(Intervenções!$K$2:$K$300,AGGREGATE(15,6,(ROW(Intervenções!$K$2:$K$300)-ROW(Intervenções!$K$2)+1)/((Intervenções!$B$2:$B$300=A193)*(Intervenções!$A$2:$A$300=F193)*(Intervenções!$K$2:$K$300&lt;&gt;"")),1)),"")</f>
      </c>
      <c r="AC193" s="4">
        <f>IFERROR(INDEX(Intervenções!$K$2:$K$300,AGGREGATE(15,6,(ROW(Intervenções!$K$2:$K$300)-ROW(Intervenções!$K$2)+1)/((Intervenções!$B$2:$B$300=A193)*(Intervenções!$A$2:$A$300=F193)*(Intervenções!$K$2:$K$300&lt;&gt;"")),2)),"")</f>
      </c>
      <c r="AD193" s="4">
        <f>IFERROR(INDEX(Intervenções!$K$2:$K$300,AGGREGATE(15,6,(ROW(Intervenções!$K$2:$K$300)-ROW(Intervenções!$K$2)+1)/((Intervenções!$B$2:$B$300=A193)*(Intervenções!$A$2:$A$300=F193)*(Intervenções!$K$2:$K$300&lt;&gt;"")),3)),"")</f>
      </c>
      <c r="AE193" s="4">
        <f>"RECONCILIAÇÃO MEDICAMENTOSA"&amp;CHAR(10)&amp;IF(G193&lt;&gt;"","Medicamentos de uso prévio: "&amp;G193&amp;".","Sem medicamentos de uso prévio relatados.")&amp;CHAR(10)&amp;IF(H193&lt;&gt;"","Histórico de alergia/RAM: "&amp;H193&amp;".","Nega alergias/RAM conhecidas.")</f>
      </c>
      <c r="AF193" s="4">
        <f>AE193&amp;CHAR(10)&amp;CHAR(10)&amp;"1. Evolução Clínica"&amp;CHAR(10)&amp;TEXTJOIN(" ",TRUE,"Paciente "&amp;I193&amp;", "&amp;IF(J193="","sem DVA","em uso de "&amp;J193)&amp;".",IF(K193&lt;&gt;"","Em "&amp;K193&amp;IF(L193&lt;&gt;""," ("&amp;L193&amp;")","")&amp;IF(M193&lt;&gt;"", ", "&amp;M193,"")&amp;IF(N193&lt;&gt;"", ", sob analgosedação com "&amp;N193,"")&amp;".",""),IF(O193&lt;&gt;"",O193&amp;IF(P193&lt;&gt;"", ", com "&amp;LOWER(P193),"")&amp;IF(Q193&lt;&gt;"", " — "&amp;Q193,"")&amp;".",""),IF(R193="Febre","Apresentou episódio febril nas últimas 24h"&amp;IF(S193&lt;&gt;""," ("&amp;S193&amp;")","")&amp;".",IF(R193="Afebril","Encontra-se afebril.","")),IF(T193&lt;&gt;"",IF(U193="Sim","Apresenta disfunção renal aguda ","Função renal preservada ")&amp;"("&amp;T193&amp;").",""),IF(V193&lt;&gt;"","Em uso do esquema antimicrobiano com "&amp;V193&amp;".",""),IF(TEXTJOIN(", ",TRUE,IF(W193&lt;&gt;"","TEV ("&amp;W193&amp;")",""),IF(X193&lt;&gt;"","LAMG ("&amp;X193&amp;")",""),IF(Y193&lt;&gt;"","úlcera de córnea com "&amp;Y193,""))&lt;&gt;"","Em uso de profilaxia: "&amp;TEXTJOIN(", ",TRUE,IF(W193&lt;&gt;"","TEV ("&amp;W193&amp;")",""),IF(X193&lt;&gt;"","LAMG ("&amp;X193&amp;")",""),IF(Y193&lt;&gt;"","úlcera de córnea com "&amp;Y193,""))&amp;".",""))&amp;CHAR(10)&amp;CHAR(10)&amp;"2. Farmacoterapia"&amp;CHAR(10)&amp;IF(Z193&lt;&gt;"","Corticoide/DART: "&amp;Z193,"Sem corticoide/DART registrado.")&amp;CHAR(10)&amp;CHAR(10)&amp;"3. Conduta Farmacêutica"&amp;CHAR(10)&amp;IF(TEXTJOIN(CHAR(10),TRUE,AB193,AC193,AD193)="","Nenhuma intervenção registrada hoje.",TEXTJOIN(CHAR(10),TRUE,AB193,AC193,AD193))&amp;CHAR(10)&amp;CHAR(10)&amp;"4. Plano Terapêutico"&amp;CHAR(10)&amp;IF(AA193&lt;&gt;"",AA193,"Não definido.")</f>
      </c>
    </row>
    <row r="194" spans="1:32" x14ac:dyDescent="0.25">
      <c r="A194" s="4"/>
      <c r="B194" s="6">
        <f>IFERROR(INDEX(Pacientes!$A:$A,MATCH($A194,Pacientes!$B:$B,0)),"")</f>
      </c>
      <c r="C194" s="6">
        <f>IFERROR(INDEX(Pacientes!$C:$C,MATCH($A194,Pacientes!$B:$B,0)),"")</f>
      </c>
      <c r="D194" s="6">
        <f>IFERROR(INDEX(Pacientes!$D:$D,MATCH($A194,Pacientes!$B:$B,0)),"")</f>
      </c>
      <c r="E194" s="6">
        <f>IFERROR(INDEX(Pacientes!$E:$E,MATCH($A194,Pacientes!$B:$B,0)),"")</f>
      </c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>
        <f>IFERROR(INDEX(Intervenções!$K$2:$K$300,AGGREGATE(15,6,(ROW(Intervenções!$K$2:$K$300)-ROW(Intervenções!$K$2)+1)/((Intervenções!$B$2:$B$300=A194)*(Intervenções!$A$2:$A$300=F194)*(Intervenções!$K$2:$K$300&lt;&gt;"")),1)),"")</f>
      </c>
      <c r="AC194" s="4">
        <f>IFERROR(INDEX(Intervenções!$K$2:$K$300,AGGREGATE(15,6,(ROW(Intervenções!$K$2:$K$300)-ROW(Intervenções!$K$2)+1)/((Intervenções!$B$2:$B$300=A194)*(Intervenções!$A$2:$A$300=F194)*(Intervenções!$K$2:$K$300&lt;&gt;"")),2)),"")</f>
      </c>
      <c r="AD194" s="4">
        <f>IFERROR(INDEX(Intervenções!$K$2:$K$300,AGGREGATE(15,6,(ROW(Intervenções!$K$2:$K$300)-ROW(Intervenções!$K$2)+1)/((Intervenções!$B$2:$B$300=A194)*(Intervenções!$A$2:$A$300=F194)*(Intervenções!$K$2:$K$300&lt;&gt;"")),3)),"")</f>
      </c>
      <c r="AE194" s="4">
        <f>"RECONCILIAÇÃO MEDICAMENTOSA"&amp;CHAR(10)&amp;IF(G194&lt;&gt;"","Medicamentos de uso prévio: "&amp;G194&amp;".","Sem medicamentos de uso prévio relatados.")&amp;CHAR(10)&amp;IF(H194&lt;&gt;"","Histórico de alergia/RAM: "&amp;H194&amp;".","Nega alergias/RAM conhecidas.")</f>
      </c>
      <c r="AF194" s="4">
        <f>AE194&amp;CHAR(10)&amp;CHAR(10)&amp;"1. Evolução Clínica"&amp;CHAR(10)&amp;TEXTJOIN(" ",TRUE,"Paciente "&amp;I194&amp;", "&amp;IF(J194="","sem DVA","em uso de "&amp;J194)&amp;".",IF(K194&lt;&gt;"","Em "&amp;K194&amp;IF(L194&lt;&gt;""," ("&amp;L194&amp;")","")&amp;IF(M194&lt;&gt;"", ", "&amp;M194,"")&amp;IF(N194&lt;&gt;"", ", sob analgosedação com "&amp;N194,"")&amp;".",""),IF(O194&lt;&gt;"",O194&amp;IF(P194&lt;&gt;"", ", com "&amp;LOWER(P194),"")&amp;IF(Q194&lt;&gt;"", " — "&amp;Q194,"")&amp;".",""),IF(R194="Febre","Apresentou episódio febril nas últimas 24h"&amp;IF(S194&lt;&gt;""," ("&amp;S194&amp;")","")&amp;".",IF(R194="Afebril","Encontra-se afebril.","")),IF(T194&lt;&gt;"",IF(U194="Sim","Apresenta disfunção renal aguda ","Função renal preservada ")&amp;"("&amp;T194&amp;").",""),IF(V194&lt;&gt;"","Em uso do esquema antimicrobiano com "&amp;V194&amp;".",""),IF(TEXTJOIN(", ",TRUE,IF(W194&lt;&gt;"","TEV ("&amp;W194&amp;")",""),IF(X194&lt;&gt;"","LAMG ("&amp;X194&amp;")",""),IF(Y194&lt;&gt;"","úlcera de córnea com "&amp;Y194,""))&lt;&gt;"","Em uso de profilaxia: "&amp;TEXTJOIN(", ",TRUE,IF(W194&lt;&gt;"","TEV ("&amp;W194&amp;")",""),IF(X194&lt;&gt;"","LAMG ("&amp;X194&amp;")",""),IF(Y194&lt;&gt;"","úlcera de córnea com "&amp;Y194,""))&amp;".",""))&amp;CHAR(10)&amp;CHAR(10)&amp;"2. Farmacoterapia"&amp;CHAR(10)&amp;IF(Z194&lt;&gt;"","Corticoide/DART: "&amp;Z194,"Sem corticoide/DART registrado.")&amp;CHAR(10)&amp;CHAR(10)&amp;"3. Conduta Farmacêutica"&amp;CHAR(10)&amp;IF(TEXTJOIN(CHAR(10),TRUE,AB194,AC194,AD194)="","Nenhuma intervenção registrada hoje.",TEXTJOIN(CHAR(10),TRUE,AB194,AC194,AD194))&amp;CHAR(10)&amp;CHAR(10)&amp;"4. Plano Terapêutico"&amp;CHAR(10)&amp;IF(AA194&lt;&gt;"",AA194,"Não definido.")</f>
      </c>
    </row>
    <row r="195" spans="1:32" x14ac:dyDescent="0.25">
      <c r="A195" s="4"/>
      <c r="B195" s="6">
        <f>IFERROR(INDEX(Pacientes!$A:$A,MATCH($A195,Pacientes!$B:$B,0)),"")</f>
      </c>
      <c r="C195" s="6">
        <f>IFERROR(INDEX(Pacientes!$C:$C,MATCH($A195,Pacientes!$B:$B,0)),"")</f>
      </c>
      <c r="D195" s="6">
        <f>IFERROR(INDEX(Pacientes!$D:$D,MATCH($A195,Pacientes!$B:$B,0)),"")</f>
      </c>
      <c r="E195" s="6">
        <f>IFERROR(INDEX(Pacientes!$E:$E,MATCH($A195,Pacientes!$B:$B,0)),"")</f>
      </c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>
        <f>IFERROR(INDEX(Intervenções!$K$2:$K$300,AGGREGATE(15,6,(ROW(Intervenções!$K$2:$K$300)-ROW(Intervenções!$K$2)+1)/((Intervenções!$B$2:$B$300=A195)*(Intervenções!$A$2:$A$300=F195)*(Intervenções!$K$2:$K$300&lt;&gt;"")),1)),"")</f>
      </c>
      <c r="AC195" s="4">
        <f>IFERROR(INDEX(Intervenções!$K$2:$K$300,AGGREGATE(15,6,(ROW(Intervenções!$K$2:$K$300)-ROW(Intervenções!$K$2)+1)/((Intervenções!$B$2:$B$300=A195)*(Intervenções!$A$2:$A$300=F195)*(Intervenções!$K$2:$K$300&lt;&gt;"")),2)),"")</f>
      </c>
      <c r="AD195" s="4">
        <f>IFERROR(INDEX(Intervenções!$K$2:$K$300,AGGREGATE(15,6,(ROW(Intervenções!$K$2:$K$300)-ROW(Intervenções!$K$2)+1)/((Intervenções!$B$2:$B$300=A195)*(Intervenções!$A$2:$A$300=F195)*(Intervenções!$K$2:$K$300&lt;&gt;"")),3)),"")</f>
      </c>
      <c r="AE195" s="4">
        <f>"RECONCILIAÇÃO MEDICAMENTOSA"&amp;CHAR(10)&amp;IF(G195&lt;&gt;"","Medicamentos de uso prévio: "&amp;G195&amp;".","Sem medicamentos de uso prévio relatados.")&amp;CHAR(10)&amp;IF(H195&lt;&gt;"","Histórico de alergia/RAM: "&amp;H195&amp;".","Nega alergias/RAM conhecidas.")</f>
      </c>
      <c r="AF195" s="4">
        <f>AE195&amp;CHAR(10)&amp;CHAR(10)&amp;"1. Evolução Clínica"&amp;CHAR(10)&amp;TEXTJOIN(" ",TRUE,"Paciente "&amp;I195&amp;", "&amp;IF(J195="","sem DVA","em uso de "&amp;J195)&amp;".",IF(K195&lt;&gt;"","Em "&amp;K195&amp;IF(L195&lt;&gt;""," ("&amp;L195&amp;")","")&amp;IF(M195&lt;&gt;"", ", "&amp;M195,"")&amp;IF(N195&lt;&gt;"", ", sob analgosedação com "&amp;N195,"")&amp;".",""),IF(O195&lt;&gt;"",O195&amp;IF(P195&lt;&gt;"", ", com "&amp;LOWER(P195),"")&amp;IF(Q195&lt;&gt;"", " — "&amp;Q195,"")&amp;".",""),IF(R195="Febre","Apresentou episódio febril nas últimas 24h"&amp;IF(S195&lt;&gt;""," ("&amp;S195&amp;")","")&amp;".",IF(R195="Afebril","Encontra-se afebril.","")),IF(T195&lt;&gt;"",IF(U195="Sim","Apresenta disfunção renal aguda ","Função renal preservada ")&amp;"("&amp;T195&amp;").",""),IF(V195&lt;&gt;"","Em uso do esquema antimicrobiano com "&amp;V195&amp;".",""),IF(TEXTJOIN(", ",TRUE,IF(W195&lt;&gt;"","TEV ("&amp;W195&amp;")",""),IF(X195&lt;&gt;"","LAMG ("&amp;X195&amp;")",""),IF(Y195&lt;&gt;"","úlcera de córnea com "&amp;Y195,""))&lt;&gt;"","Em uso de profilaxia: "&amp;TEXTJOIN(", ",TRUE,IF(W195&lt;&gt;"","TEV ("&amp;W195&amp;")",""),IF(X195&lt;&gt;"","LAMG ("&amp;X195&amp;")",""),IF(Y195&lt;&gt;"","úlcera de córnea com "&amp;Y195,""))&amp;".",""))&amp;CHAR(10)&amp;CHAR(10)&amp;"2. Farmacoterapia"&amp;CHAR(10)&amp;IF(Z195&lt;&gt;"","Corticoide/DART: "&amp;Z195,"Sem corticoide/DART registrado.")&amp;CHAR(10)&amp;CHAR(10)&amp;"3. Conduta Farmacêutica"&amp;CHAR(10)&amp;IF(TEXTJOIN(CHAR(10),TRUE,AB195,AC195,AD195)="","Nenhuma intervenção registrada hoje.",TEXTJOIN(CHAR(10),TRUE,AB195,AC195,AD195))&amp;CHAR(10)&amp;CHAR(10)&amp;"4. Plano Terapêutico"&amp;CHAR(10)&amp;IF(AA195&lt;&gt;"",AA195,"Não definido.")</f>
      </c>
    </row>
    <row r="196" spans="1:32" x14ac:dyDescent="0.25">
      <c r="A196" s="4"/>
      <c r="B196" s="6">
        <f>IFERROR(INDEX(Pacientes!$A:$A,MATCH($A196,Pacientes!$B:$B,0)),"")</f>
      </c>
      <c r="C196" s="6">
        <f>IFERROR(INDEX(Pacientes!$C:$C,MATCH($A196,Pacientes!$B:$B,0)),"")</f>
      </c>
      <c r="D196" s="6">
        <f>IFERROR(INDEX(Pacientes!$D:$D,MATCH($A196,Pacientes!$B:$B,0)),"")</f>
      </c>
      <c r="E196" s="6">
        <f>IFERROR(INDEX(Pacientes!$E:$E,MATCH($A196,Pacientes!$B:$B,0)),"")</f>
      </c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>
        <f>IFERROR(INDEX(Intervenções!$K$2:$K$300,AGGREGATE(15,6,(ROW(Intervenções!$K$2:$K$300)-ROW(Intervenções!$K$2)+1)/((Intervenções!$B$2:$B$300=A196)*(Intervenções!$A$2:$A$300=F196)*(Intervenções!$K$2:$K$300&lt;&gt;"")),1)),"")</f>
      </c>
      <c r="AC196" s="4">
        <f>IFERROR(INDEX(Intervenções!$K$2:$K$300,AGGREGATE(15,6,(ROW(Intervenções!$K$2:$K$300)-ROW(Intervenções!$K$2)+1)/((Intervenções!$B$2:$B$300=A196)*(Intervenções!$A$2:$A$300=F196)*(Intervenções!$K$2:$K$300&lt;&gt;"")),2)),"")</f>
      </c>
      <c r="AD196" s="4">
        <f>IFERROR(INDEX(Intervenções!$K$2:$K$300,AGGREGATE(15,6,(ROW(Intervenções!$K$2:$K$300)-ROW(Intervenções!$K$2)+1)/((Intervenções!$B$2:$B$300=A196)*(Intervenções!$A$2:$A$300=F196)*(Intervenções!$K$2:$K$300&lt;&gt;"")),3)),"")</f>
      </c>
      <c r="AE196" s="4">
        <f>"RECONCILIAÇÃO MEDICAMENTOSA"&amp;CHAR(10)&amp;IF(G196&lt;&gt;"","Medicamentos de uso prévio: "&amp;G196&amp;".","Sem medicamentos de uso prévio relatados.")&amp;CHAR(10)&amp;IF(H196&lt;&gt;"","Histórico de alergia/RAM: "&amp;H196&amp;".","Nega alergias/RAM conhecidas.")</f>
      </c>
      <c r="AF196" s="4">
        <f>AE196&amp;CHAR(10)&amp;CHAR(10)&amp;"1. Evolução Clínica"&amp;CHAR(10)&amp;TEXTJOIN(" ",TRUE,"Paciente "&amp;I196&amp;", "&amp;IF(J196="","sem DVA","em uso de "&amp;J196)&amp;".",IF(K196&lt;&gt;"","Em "&amp;K196&amp;IF(L196&lt;&gt;""," ("&amp;L196&amp;")","")&amp;IF(M196&lt;&gt;"", ", "&amp;M196,"")&amp;IF(N196&lt;&gt;"", ", sob analgosedação com "&amp;N196,"")&amp;".",""),IF(O196&lt;&gt;"",O196&amp;IF(P196&lt;&gt;"", ", com "&amp;LOWER(P196),"")&amp;IF(Q196&lt;&gt;"", " — "&amp;Q196,"")&amp;".",""),IF(R196="Febre","Apresentou episódio febril nas últimas 24h"&amp;IF(S196&lt;&gt;""," ("&amp;S196&amp;")","")&amp;".",IF(R196="Afebril","Encontra-se afebril.","")),IF(T196&lt;&gt;"",IF(U196="Sim","Apresenta disfunção renal aguda ","Função renal preservada ")&amp;"("&amp;T196&amp;").",""),IF(V196&lt;&gt;"","Em uso do esquema antimicrobiano com "&amp;V196&amp;".",""),IF(TEXTJOIN(", ",TRUE,IF(W196&lt;&gt;"","TEV ("&amp;W196&amp;")",""),IF(X196&lt;&gt;"","LAMG ("&amp;X196&amp;")",""),IF(Y196&lt;&gt;"","úlcera de córnea com "&amp;Y196,""))&lt;&gt;"","Em uso de profilaxia: "&amp;TEXTJOIN(", ",TRUE,IF(W196&lt;&gt;"","TEV ("&amp;W196&amp;")",""),IF(X196&lt;&gt;"","LAMG ("&amp;X196&amp;")",""),IF(Y196&lt;&gt;"","úlcera de córnea com "&amp;Y196,""))&amp;".",""))&amp;CHAR(10)&amp;CHAR(10)&amp;"2. Farmacoterapia"&amp;CHAR(10)&amp;IF(Z196&lt;&gt;"","Corticoide/DART: "&amp;Z196,"Sem corticoide/DART registrado.")&amp;CHAR(10)&amp;CHAR(10)&amp;"3. Conduta Farmacêutica"&amp;CHAR(10)&amp;IF(TEXTJOIN(CHAR(10),TRUE,AB196,AC196,AD196)="","Nenhuma intervenção registrada hoje.",TEXTJOIN(CHAR(10),TRUE,AB196,AC196,AD196))&amp;CHAR(10)&amp;CHAR(10)&amp;"4. Plano Terapêutico"&amp;CHAR(10)&amp;IF(AA196&lt;&gt;"",AA196,"Não definido.")</f>
      </c>
    </row>
    <row r="197" spans="1:32" x14ac:dyDescent="0.25">
      <c r="A197" s="4"/>
      <c r="B197" s="6">
        <f>IFERROR(INDEX(Pacientes!$A:$A,MATCH($A197,Pacientes!$B:$B,0)),"")</f>
      </c>
      <c r="C197" s="6">
        <f>IFERROR(INDEX(Pacientes!$C:$C,MATCH($A197,Pacientes!$B:$B,0)),"")</f>
      </c>
      <c r="D197" s="6">
        <f>IFERROR(INDEX(Pacientes!$D:$D,MATCH($A197,Pacientes!$B:$B,0)),"")</f>
      </c>
      <c r="E197" s="6">
        <f>IFERROR(INDEX(Pacientes!$E:$E,MATCH($A197,Pacientes!$B:$B,0)),"")</f>
      </c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>
        <f>IFERROR(INDEX(Intervenções!$K$2:$K$300,AGGREGATE(15,6,(ROW(Intervenções!$K$2:$K$300)-ROW(Intervenções!$K$2)+1)/((Intervenções!$B$2:$B$300=A197)*(Intervenções!$A$2:$A$300=F197)*(Intervenções!$K$2:$K$300&lt;&gt;"")),1)),"")</f>
      </c>
      <c r="AC197" s="4">
        <f>IFERROR(INDEX(Intervenções!$K$2:$K$300,AGGREGATE(15,6,(ROW(Intervenções!$K$2:$K$300)-ROW(Intervenções!$K$2)+1)/((Intervenções!$B$2:$B$300=A197)*(Intervenções!$A$2:$A$300=F197)*(Intervenções!$K$2:$K$300&lt;&gt;"")),2)),"")</f>
      </c>
      <c r="AD197" s="4">
        <f>IFERROR(INDEX(Intervenções!$K$2:$K$300,AGGREGATE(15,6,(ROW(Intervenções!$K$2:$K$300)-ROW(Intervenções!$K$2)+1)/((Intervenções!$B$2:$B$300=A197)*(Intervenções!$A$2:$A$300=F197)*(Intervenções!$K$2:$K$300&lt;&gt;"")),3)),"")</f>
      </c>
      <c r="AE197" s="4">
        <f>"RECONCILIAÇÃO MEDICAMENTOSA"&amp;CHAR(10)&amp;IF(G197&lt;&gt;"","Medicamentos de uso prévio: "&amp;G197&amp;".","Sem medicamentos de uso prévio relatados.")&amp;CHAR(10)&amp;IF(H197&lt;&gt;"","Histórico de alergia/RAM: "&amp;H197&amp;".","Nega alergias/RAM conhecidas.")</f>
      </c>
      <c r="AF197" s="4">
        <f>AE197&amp;CHAR(10)&amp;CHAR(10)&amp;"1. Evolução Clínica"&amp;CHAR(10)&amp;TEXTJOIN(" ",TRUE,"Paciente "&amp;I197&amp;", "&amp;IF(J197="","sem DVA","em uso de "&amp;J197)&amp;".",IF(K197&lt;&gt;"","Em "&amp;K197&amp;IF(L197&lt;&gt;""," ("&amp;L197&amp;")","")&amp;IF(M197&lt;&gt;"", ", "&amp;M197,"")&amp;IF(N197&lt;&gt;"", ", sob analgosedação com "&amp;N197,"")&amp;".",""),IF(O197&lt;&gt;"",O197&amp;IF(P197&lt;&gt;"", ", com "&amp;LOWER(P197),"")&amp;IF(Q197&lt;&gt;"", " — "&amp;Q197,"")&amp;".",""),IF(R197="Febre","Apresentou episódio febril nas últimas 24h"&amp;IF(S197&lt;&gt;""," ("&amp;S197&amp;")","")&amp;".",IF(R197="Afebril","Encontra-se afebril.","")),IF(T197&lt;&gt;"",IF(U197="Sim","Apresenta disfunção renal aguda ","Função renal preservada ")&amp;"("&amp;T197&amp;").",""),IF(V197&lt;&gt;"","Em uso do esquema antimicrobiano com "&amp;V197&amp;".",""),IF(TEXTJOIN(", ",TRUE,IF(W197&lt;&gt;"","TEV ("&amp;W197&amp;")",""),IF(X197&lt;&gt;"","LAMG ("&amp;X197&amp;")",""),IF(Y197&lt;&gt;"","úlcera de córnea com "&amp;Y197,""))&lt;&gt;"","Em uso de profilaxia: "&amp;TEXTJOIN(", ",TRUE,IF(W197&lt;&gt;"","TEV ("&amp;W197&amp;")",""),IF(X197&lt;&gt;"","LAMG ("&amp;X197&amp;")",""),IF(Y197&lt;&gt;"","úlcera de córnea com "&amp;Y197,""))&amp;".",""))&amp;CHAR(10)&amp;CHAR(10)&amp;"2. Farmacoterapia"&amp;CHAR(10)&amp;IF(Z197&lt;&gt;"","Corticoide/DART: "&amp;Z197,"Sem corticoide/DART registrado.")&amp;CHAR(10)&amp;CHAR(10)&amp;"3. Conduta Farmacêutica"&amp;CHAR(10)&amp;IF(TEXTJOIN(CHAR(10),TRUE,AB197,AC197,AD197)="","Nenhuma intervenção registrada hoje.",TEXTJOIN(CHAR(10),TRUE,AB197,AC197,AD197))&amp;CHAR(10)&amp;CHAR(10)&amp;"4. Plano Terapêutico"&amp;CHAR(10)&amp;IF(AA197&lt;&gt;"",AA197,"Não definido.")</f>
      </c>
    </row>
    <row r="198" spans="1:32" x14ac:dyDescent="0.25">
      <c r="A198" s="4"/>
      <c r="B198" s="6">
        <f>IFERROR(INDEX(Pacientes!$A:$A,MATCH($A198,Pacientes!$B:$B,0)),"")</f>
      </c>
      <c r="C198" s="6">
        <f>IFERROR(INDEX(Pacientes!$C:$C,MATCH($A198,Pacientes!$B:$B,0)),"")</f>
      </c>
      <c r="D198" s="6">
        <f>IFERROR(INDEX(Pacientes!$D:$D,MATCH($A198,Pacientes!$B:$B,0)),"")</f>
      </c>
      <c r="E198" s="6">
        <f>IFERROR(INDEX(Pacientes!$E:$E,MATCH($A198,Pacientes!$B:$B,0)),"")</f>
      </c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>
        <f>IFERROR(INDEX(Intervenções!$K$2:$K$300,AGGREGATE(15,6,(ROW(Intervenções!$K$2:$K$300)-ROW(Intervenções!$K$2)+1)/((Intervenções!$B$2:$B$300=A198)*(Intervenções!$A$2:$A$300=F198)*(Intervenções!$K$2:$K$300&lt;&gt;"")),1)),"")</f>
      </c>
      <c r="AC198" s="4">
        <f>IFERROR(INDEX(Intervenções!$K$2:$K$300,AGGREGATE(15,6,(ROW(Intervenções!$K$2:$K$300)-ROW(Intervenções!$K$2)+1)/((Intervenções!$B$2:$B$300=A198)*(Intervenções!$A$2:$A$300=F198)*(Intervenções!$K$2:$K$300&lt;&gt;"")),2)),"")</f>
      </c>
      <c r="AD198" s="4">
        <f>IFERROR(INDEX(Intervenções!$K$2:$K$300,AGGREGATE(15,6,(ROW(Intervenções!$K$2:$K$300)-ROW(Intervenções!$K$2)+1)/((Intervenções!$B$2:$B$300=A198)*(Intervenções!$A$2:$A$300=F198)*(Intervenções!$K$2:$K$300&lt;&gt;"")),3)),"")</f>
      </c>
      <c r="AE198" s="4">
        <f>"RECONCILIAÇÃO MEDICAMENTOSA"&amp;CHAR(10)&amp;IF(G198&lt;&gt;"","Medicamentos de uso prévio: "&amp;G198&amp;".","Sem medicamentos de uso prévio relatados.")&amp;CHAR(10)&amp;IF(H198&lt;&gt;"","Histórico de alergia/RAM: "&amp;H198&amp;".","Nega alergias/RAM conhecidas.")</f>
      </c>
      <c r="AF198" s="4">
        <f>AE198&amp;CHAR(10)&amp;CHAR(10)&amp;"1. Evolução Clínica"&amp;CHAR(10)&amp;TEXTJOIN(" ",TRUE,"Paciente "&amp;I198&amp;", "&amp;IF(J198="","sem DVA","em uso de "&amp;J198)&amp;".",IF(K198&lt;&gt;"","Em "&amp;K198&amp;IF(L198&lt;&gt;""," ("&amp;L198&amp;")","")&amp;IF(M198&lt;&gt;"", ", "&amp;M198,"")&amp;IF(N198&lt;&gt;"", ", sob analgosedação com "&amp;N198,"")&amp;".",""),IF(O198&lt;&gt;"",O198&amp;IF(P198&lt;&gt;"", ", com "&amp;LOWER(P198),"")&amp;IF(Q198&lt;&gt;"", " — "&amp;Q198,"")&amp;".",""),IF(R198="Febre","Apresentou episódio febril nas últimas 24h"&amp;IF(S198&lt;&gt;""," ("&amp;S198&amp;")","")&amp;".",IF(R198="Afebril","Encontra-se afebril.","")),IF(T198&lt;&gt;"",IF(U198="Sim","Apresenta disfunção renal aguda ","Função renal preservada ")&amp;"("&amp;T198&amp;").",""),IF(V198&lt;&gt;"","Em uso do esquema antimicrobiano com "&amp;V198&amp;".",""),IF(TEXTJOIN(", ",TRUE,IF(W198&lt;&gt;"","TEV ("&amp;W198&amp;")",""),IF(X198&lt;&gt;"","LAMG ("&amp;X198&amp;")",""),IF(Y198&lt;&gt;"","úlcera de córnea com "&amp;Y198,""))&lt;&gt;"","Em uso de profilaxia: "&amp;TEXTJOIN(", ",TRUE,IF(W198&lt;&gt;"","TEV ("&amp;W198&amp;")",""),IF(X198&lt;&gt;"","LAMG ("&amp;X198&amp;")",""),IF(Y198&lt;&gt;"","úlcera de córnea com "&amp;Y198,""))&amp;".",""))&amp;CHAR(10)&amp;CHAR(10)&amp;"2. Farmacoterapia"&amp;CHAR(10)&amp;IF(Z198&lt;&gt;"","Corticoide/DART: "&amp;Z198,"Sem corticoide/DART registrado.")&amp;CHAR(10)&amp;CHAR(10)&amp;"3. Conduta Farmacêutica"&amp;CHAR(10)&amp;IF(TEXTJOIN(CHAR(10),TRUE,AB198,AC198,AD198)="","Nenhuma intervenção registrada hoje.",TEXTJOIN(CHAR(10),TRUE,AB198,AC198,AD198))&amp;CHAR(10)&amp;CHAR(10)&amp;"4. Plano Terapêutico"&amp;CHAR(10)&amp;IF(AA198&lt;&gt;"",AA198,"Não definido.")</f>
      </c>
    </row>
    <row r="199" spans="1:32" x14ac:dyDescent="0.25">
      <c r="A199" s="4"/>
      <c r="B199" s="6">
        <f>IFERROR(INDEX(Pacientes!$A:$A,MATCH($A199,Pacientes!$B:$B,0)),"")</f>
      </c>
      <c r="C199" s="6">
        <f>IFERROR(INDEX(Pacientes!$C:$C,MATCH($A199,Pacientes!$B:$B,0)),"")</f>
      </c>
      <c r="D199" s="6">
        <f>IFERROR(INDEX(Pacientes!$D:$D,MATCH($A199,Pacientes!$B:$B,0)),"")</f>
      </c>
      <c r="E199" s="6">
        <f>IFERROR(INDEX(Pacientes!$E:$E,MATCH($A199,Pacientes!$B:$B,0)),"")</f>
      </c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>
        <f>IFERROR(INDEX(Intervenções!$K$2:$K$300,AGGREGATE(15,6,(ROW(Intervenções!$K$2:$K$300)-ROW(Intervenções!$K$2)+1)/((Intervenções!$B$2:$B$300=A199)*(Intervenções!$A$2:$A$300=F199)*(Intervenções!$K$2:$K$300&lt;&gt;"")),1)),"")</f>
      </c>
      <c r="AC199" s="4">
        <f>IFERROR(INDEX(Intervenções!$K$2:$K$300,AGGREGATE(15,6,(ROW(Intervenções!$K$2:$K$300)-ROW(Intervenções!$K$2)+1)/((Intervenções!$B$2:$B$300=A199)*(Intervenções!$A$2:$A$300=F199)*(Intervenções!$K$2:$K$300&lt;&gt;"")),2)),"")</f>
      </c>
      <c r="AD199" s="4">
        <f>IFERROR(INDEX(Intervenções!$K$2:$K$300,AGGREGATE(15,6,(ROW(Intervenções!$K$2:$K$300)-ROW(Intervenções!$K$2)+1)/((Intervenções!$B$2:$B$300=A199)*(Intervenções!$A$2:$A$300=F199)*(Intervenções!$K$2:$K$300&lt;&gt;"")),3)),"")</f>
      </c>
      <c r="AE199" s="4">
        <f>"RECONCILIAÇÃO MEDICAMENTOSA"&amp;CHAR(10)&amp;IF(G199&lt;&gt;"","Medicamentos de uso prévio: "&amp;G199&amp;".","Sem medicamentos de uso prévio relatados.")&amp;CHAR(10)&amp;IF(H199&lt;&gt;"","Histórico de alergia/RAM: "&amp;H199&amp;".","Nega alergias/RAM conhecidas.")</f>
      </c>
      <c r="AF199" s="4">
        <f>AE199&amp;CHAR(10)&amp;CHAR(10)&amp;"1. Evolução Clínica"&amp;CHAR(10)&amp;TEXTJOIN(" ",TRUE,"Paciente "&amp;I199&amp;", "&amp;IF(J199="","sem DVA","em uso de "&amp;J199)&amp;".",IF(K199&lt;&gt;"","Em "&amp;K199&amp;IF(L199&lt;&gt;""," ("&amp;L199&amp;")","")&amp;IF(M199&lt;&gt;"", ", "&amp;M199,"")&amp;IF(N199&lt;&gt;"", ", sob analgosedação com "&amp;N199,"")&amp;".",""),IF(O199&lt;&gt;"",O199&amp;IF(P199&lt;&gt;"", ", com "&amp;LOWER(P199),"")&amp;IF(Q199&lt;&gt;"", " — "&amp;Q199,"")&amp;".",""),IF(R199="Febre","Apresentou episódio febril nas últimas 24h"&amp;IF(S199&lt;&gt;""," ("&amp;S199&amp;")","")&amp;".",IF(R199="Afebril","Encontra-se afebril.","")),IF(T199&lt;&gt;"",IF(U199="Sim","Apresenta disfunção renal aguda ","Função renal preservada ")&amp;"("&amp;T199&amp;").",""),IF(V199&lt;&gt;"","Em uso do esquema antimicrobiano com "&amp;V199&amp;".",""),IF(TEXTJOIN(", ",TRUE,IF(W199&lt;&gt;"","TEV ("&amp;W199&amp;")",""),IF(X199&lt;&gt;"","LAMG ("&amp;X199&amp;")",""),IF(Y199&lt;&gt;"","úlcera de córnea com "&amp;Y199,""))&lt;&gt;"","Em uso de profilaxia: "&amp;TEXTJOIN(", ",TRUE,IF(W199&lt;&gt;"","TEV ("&amp;W199&amp;")",""),IF(X199&lt;&gt;"","LAMG ("&amp;X199&amp;")",""),IF(Y199&lt;&gt;"","úlcera de córnea com "&amp;Y199,""))&amp;".",""))&amp;CHAR(10)&amp;CHAR(10)&amp;"2. Farmacoterapia"&amp;CHAR(10)&amp;IF(Z199&lt;&gt;"","Corticoide/DART: "&amp;Z199,"Sem corticoide/DART registrado.")&amp;CHAR(10)&amp;CHAR(10)&amp;"3. Conduta Farmacêutica"&amp;CHAR(10)&amp;IF(TEXTJOIN(CHAR(10),TRUE,AB199,AC199,AD199)="","Nenhuma intervenção registrada hoje.",TEXTJOIN(CHAR(10),TRUE,AB199,AC199,AD199))&amp;CHAR(10)&amp;CHAR(10)&amp;"4. Plano Terapêutico"&amp;CHAR(10)&amp;IF(AA199&lt;&gt;"",AA199,"Não definido.")</f>
      </c>
    </row>
    <row r="200" spans="1:32" x14ac:dyDescent="0.25">
      <c r="A200" s="4"/>
      <c r="B200" s="6">
        <f>IFERROR(INDEX(Pacientes!$A:$A,MATCH($A200,Pacientes!$B:$B,0)),"")</f>
      </c>
      <c r="C200" s="6">
        <f>IFERROR(INDEX(Pacientes!$C:$C,MATCH($A200,Pacientes!$B:$B,0)),"")</f>
      </c>
      <c r="D200" s="6">
        <f>IFERROR(INDEX(Pacientes!$D:$D,MATCH($A200,Pacientes!$B:$B,0)),"")</f>
      </c>
      <c r="E200" s="6">
        <f>IFERROR(INDEX(Pacientes!$E:$E,MATCH($A200,Pacientes!$B:$B,0)),"")</f>
      </c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>
        <f>IFERROR(INDEX(Intervenções!$K$2:$K$300,AGGREGATE(15,6,(ROW(Intervenções!$K$2:$K$300)-ROW(Intervenções!$K$2)+1)/((Intervenções!$B$2:$B$300=A200)*(Intervenções!$A$2:$A$300=F200)*(Intervenções!$K$2:$K$300&lt;&gt;"")),1)),"")</f>
      </c>
      <c r="AC200" s="4">
        <f>IFERROR(INDEX(Intervenções!$K$2:$K$300,AGGREGATE(15,6,(ROW(Intervenções!$K$2:$K$300)-ROW(Intervenções!$K$2)+1)/((Intervenções!$B$2:$B$300=A200)*(Intervenções!$A$2:$A$300=F200)*(Intervenções!$K$2:$K$300&lt;&gt;"")),2)),"")</f>
      </c>
      <c r="AD200" s="4">
        <f>IFERROR(INDEX(Intervenções!$K$2:$K$300,AGGREGATE(15,6,(ROW(Intervenções!$K$2:$K$300)-ROW(Intervenções!$K$2)+1)/((Intervenções!$B$2:$B$300=A200)*(Intervenções!$A$2:$A$300=F200)*(Intervenções!$K$2:$K$300&lt;&gt;"")),3)),"")</f>
      </c>
      <c r="AE200" s="4">
        <f>"RECONCILIAÇÃO MEDICAMENTOSA"&amp;CHAR(10)&amp;IF(G200&lt;&gt;"","Medicamentos de uso prévio: "&amp;G200&amp;".","Sem medicamentos de uso prévio relatados.")&amp;CHAR(10)&amp;IF(H200&lt;&gt;"","Histórico de alergia/RAM: "&amp;H200&amp;".","Nega alergias/RAM conhecidas.")</f>
      </c>
      <c r="AF200" s="4">
        <f>AE200&amp;CHAR(10)&amp;CHAR(10)&amp;"1. Evolução Clínica"&amp;CHAR(10)&amp;TEXTJOIN(" ",TRUE,"Paciente "&amp;I200&amp;", "&amp;IF(J200="","sem DVA","em uso de "&amp;J200)&amp;".",IF(K200&lt;&gt;"","Em "&amp;K200&amp;IF(L200&lt;&gt;""," ("&amp;L200&amp;")","")&amp;IF(M200&lt;&gt;"", ", "&amp;M200,"")&amp;IF(N200&lt;&gt;"", ", sob analgosedação com "&amp;N200,"")&amp;".",""),IF(O200&lt;&gt;"",O200&amp;IF(P200&lt;&gt;"", ", com "&amp;LOWER(P200),"")&amp;IF(Q200&lt;&gt;"", " — "&amp;Q200,"")&amp;".",""),IF(R200="Febre","Apresentou episódio febril nas últimas 24h"&amp;IF(S200&lt;&gt;""," ("&amp;S200&amp;")","")&amp;".",IF(R200="Afebril","Encontra-se afebril.","")),IF(T200&lt;&gt;"",IF(U200="Sim","Apresenta disfunção renal aguda ","Função renal preservada ")&amp;"("&amp;T200&amp;").",""),IF(V200&lt;&gt;"","Em uso do esquema antimicrobiano com "&amp;V200&amp;".",""),IF(TEXTJOIN(", ",TRUE,IF(W200&lt;&gt;"","TEV ("&amp;W200&amp;")",""),IF(X200&lt;&gt;"","LAMG ("&amp;X200&amp;")",""),IF(Y200&lt;&gt;"","úlcera de córnea com "&amp;Y200,""))&lt;&gt;"","Em uso de profilaxia: "&amp;TEXTJOIN(", ",TRUE,IF(W200&lt;&gt;"","TEV ("&amp;W200&amp;")",""),IF(X200&lt;&gt;"","LAMG ("&amp;X200&amp;")",""),IF(Y200&lt;&gt;"","úlcera de córnea com "&amp;Y200,""))&amp;".",""))&amp;CHAR(10)&amp;CHAR(10)&amp;"2. Farmacoterapia"&amp;CHAR(10)&amp;IF(Z200&lt;&gt;"","Corticoide/DART: "&amp;Z200,"Sem corticoide/DART registrado.")&amp;CHAR(10)&amp;CHAR(10)&amp;"3. Conduta Farmacêutica"&amp;CHAR(10)&amp;IF(TEXTJOIN(CHAR(10),TRUE,AB200,AC200,AD200)="","Nenhuma intervenção registrada hoje.",TEXTJOIN(CHAR(10),TRUE,AB200,AC200,AD200))&amp;CHAR(10)&amp;CHAR(10)&amp;"4. Plano Terapêutico"&amp;CHAR(10)&amp;IF(AA200&lt;&gt;"",AA200,"Não definido.")</f>
      </c>
    </row>
    <row r="201" spans="1:32" x14ac:dyDescent="0.25">
      <c r="A201" s="4"/>
      <c r="B201" s="6">
        <f>IFERROR(INDEX(Pacientes!$A:$A,MATCH($A201,Pacientes!$B:$B,0)),"")</f>
      </c>
      <c r="C201" s="6">
        <f>IFERROR(INDEX(Pacientes!$C:$C,MATCH($A201,Pacientes!$B:$B,0)),"")</f>
      </c>
      <c r="D201" s="6">
        <f>IFERROR(INDEX(Pacientes!$D:$D,MATCH($A201,Pacientes!$B:$B,0)),"")</f>
      </c>
      <c r="E201" s="6">
        <f>IFERROR(INDEX(Pacientes!$E:$E,MATCH($A201,Pacientes!$B:$B,0)),"")</f>
      </c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>
        <f>IFERROR(INDEX(Intervenções!$K$2:$K$300,AGGREGATE(15,6,(ROW(Intervenções!$K$2:$K$300)-ROW(Intervenções!$K$2)+1)/((Intervenções!$B$2:$B$300=A201)*(Intervenções!$A$2:$A$300=F201)*(Intervenções!$K$2:$K$300&lt;&gt;"")),1)),"")</f>
      </c>
      <c r="AC201" s="4">
        <f>IFERROR(INDEX(Intervenções!$K$2:$K$300,AGGREGATE(15,6,(ROW(Intervenções!$K$2:$K$300)-ROW(Intervenções!$K$2)+1)/((Intervenções!$B$2:$B$300=A201)*(Intervenções!$A$2:$A$300=F201)*(Intervenções!$K$2:$K$300&lt;&gt;"")),2)),"")</f>
      </c>
      <c r="AD201" s="4">
        <f>IFERROR(INDEX(Intervenções!$K$2:$K$300,AGGREGATE(15,6,(ROW(Intervenções!$K$2:$K$300)-ROW(Intervenções!$K$2)+1)/((Intervenções!$B$2:$B$300=A201)*(Intervenções!$A$2:$A$300=F201)*(Intervenções!$K$2:$K$300&lt;&gt;"")),3)),"")</f>
      </c>
      <c r="AE201" s="4">
        <f>"RECONCILIAÇÃO MEDICAMENTOSA"&amp;CHAR(10)&amp;IF(G201&lt;&gt;"","Medicamentos de uso prévio: "&amp;G201&amp;".","Sem medicamentos de uso prévio relatados.")&amp;CHAR(10)&amp;IF(H201&lt;&gt;"","Histórico de alergia/RAM: "&amp;H201&amp;".","Nega alergias/RAM conhecidas.")</f>
      </c>
      <c r="AF201" s="4">
        <f>AE201&amp;CHAR(10)&amp;CHAR(10)&amp;"1. Evolução Clínica"&amp;CHAR(10)&amp;TEXTJOIN(" ",TRUE,"Paciente "&amp;I201&amp;", "&amp;IF(J201="","sem DVA","em uso de "&amp;J201)&amp;".",IF(K201&lt;&gt;"","Em "&amp;K201&amp;IF(L201&lt;&gt;""," ("&amp;L201&amp;")","")&amp;IF(M201&lt;&gt;"", ", "&amp;M201,"")&amp;IF(N201&lt;&gt;"", ", sob analgosedação com "&amp;N201,"")&amp;".",""),IF(O201&lt;&gt;"",O201&amp;IF(P201&lt;&gt;"", ", com "&amp;LOWER(P201),"")&amp;IF(Q201&lt;&gt;"", " — "&amp;Q201,"")&amp;".",""),IF(R201="Febre","Apresentou episódio febril nas últimas 24h"&amp;IF(S201&lt;&gt;""," ("&amp;S201&amp;")","")&amp;".",IF(R201="Afebril","Encontra-se afebril.","")),IF(T201&lt;&gt;"",IF(U201="Sim","Apresenta disfunção renal aguda ","Função renal preservada ")&amp;"("&amp;T201&amp;").",""),IF(V201&lt;&gt;"","Em uso do esquema antimicrobiano com "&amp;V201&amp;".",""),IF(TEXTJOIN(", ",TRUE,IF(W201&lt;&gt;"","TEV ("&amp;W201&amp;")",""),IF(X201&lt;&gt;"","LAMG ("&amp;X201&amp;")",""),IF(Y201&lt;&gt;"","úlcera de córnea com "&amp;Y201,""))&lt;&gt;"","Em uso de profilaxia: "&amp;TEXTJOIN(", ",TRUE,IF(W201&lt;&gt;"","TEV ("&amp;W201&amp;")",""),IF(X201&lt;&gt;"","LAMG ("&amp;X201&amp;")",""),IF(Y201&lt;&gt;"","úlcera de córnea com "&amp;Y201,""))&amp;".",""))&amp;CHAR(10)&amp;CHAR(10)&amp;"2. Farmacoterapia"&amp;CHAR(10)&amp;IF(Z201&lt;&gt;"","Corticoide/DART: "&amp;Z201,"Sem corticoide/DART registrado.")&amp;CHAR(10)&amp;CHAR(10)&amp;"3. Conduta Farmacêutica"&amp;CHAR(10)&amp;IF(TEXTJOIN(CHAR(10),TRUE,AB201,AC201,AD201)="","Nenhuma intervenção registrada hoje.",TEXTJOIN(CHAR(10),TRUE,AB201,AC201,AD201))&amp;CHAR(10)&amp;CHAR(10)&amp;"4. Plano Terapêutico"&amp;CHAR(10)&amp;IF(AA201&lt;&gt;"",AA201,"Não definido.")</f>
      </c>
    </row>
    <row r="202" spans="1:32" x14ac:dyDescent="0.25">
      <c r="A202" s="4"/>
      <c r="B202" s="6">
        <f>IFERROR(INDEX(Pacientes!$A:$A,MATCH($A202,Pacientes!$B:$B,0)),"")</f>
      </c>
      <c r="C202" s="6">
        <f>IFERROR(INDEX(Pacientes!$C:$C,MATCH($A202,Pacientes!$B:$B,0)),"")</f>
      </c>
      <c r="D202" s="6">
        <f>IFERROR(INDEX(Pacientes!$D:$D,MATCH($A202,Pacientes!$B:$B,0)),"")</f>
      </c>
      <c r="E202" s="6">
        <f>IFERROR(INDEX(Pacientes!$E:$E,MATCH($A202,Pacientes!$B:$B,0)),"")</f>
      </c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>
        <f>IFERROR(INDEX(Intervenções!$K$2:$K$300,AGGREGATE(15,6,(ROW(Intervenções!$K$2:$K$300)-ROW(Intervenções!$K$2)+1)/((Intervenções!$B$2:$B$300=A202)*(Intervenções!$A$2:$A$300=F202)*(Intervenções!$K$2:$K$300&lt;&gt;"")),1)),"")</f>
      </c>
      <c r="AC202" s="4">
        <f>IFERROR(INDEX(Intervenções!$K$2:$K$300,AGGREGATE(15,6,(ROW(Intervenções!$K$2:$K$300)-ROW(Intervenções!$K$2)+1)/((Intervenções!$B$2:$B$300=A202)*(Intervenções!$A$2:$A$300=F202)*(Intervenções!$K$2:$K$300&lt;&gt;"")),2)),"")</f>
      </c>
      <c r="AD202" s="4">
        <f>IFERROR(INDEX(Intervenções!$K$2:$K$300,AGGREGATE(15,6,(ROW(Intervenções!$K$2:$K$300)-ROW(Intervenções!$K$2)+1)/((Intervenções!$B$2:$B$300=A202)*(Intervenções!$A$2:$A$300=F202)*(Intervenções!$K$2:$K$300&lt;&gt;"")),3)),"")</f>
      </c>
      <c r="AE202" s="4">
        <f>"RECONCILIAÇÃO MEDICAMENTOSA"&amp;CHAR(10)&amp;IF(G202&lt;&gt;"","Medicamentos de uso prévio: "&amp;G202&amp;".","Sem medicamentos de uso prévio relatados.")&amp;CHAR(10)&amp;IF(H202&lt;&gt;"","Histórico de alergia/RAM: "&amp;H202&amp;".","Nega alergias/RAM conhecidas.")</f>
      </c>
      <c r="AF202" s="4">
        <f>AE202&amp;CHAR(10)&amp;CHAR(10)&amp;"1. Evolução Clínica"&amp;CHAR(10)&amp;TEXTJOIN(" ",TRUE,"Paciente "&amp;I202&amp;", "&amp;IF(J202="","sem DVA","em uso de "&amp;J202)&amp;".",IF(K202&lt;&gt;"","Em "&amp;K202&amp;IF(L202&lt;&gt;""," ("&amp;L202&amp;")","")&amp;IF(M202&lt;&gt;"", ", "&amp;M202,"")&amp;IF(N202&lt;&gt;"", ", sob analgosedação com "&amp;N202,"")&amp;".",""),IF(O202&lt;&gt;"",O202&amp;IF(P202&lt;&gt;"", ", com "&amp;LOWER(P202),"")&amp;IF(Q202&lt;&gt;"", " — "&amp;Q202,"")&amp;".",""),IF(R202="Febre","Apresentou episódio febril nas últimas 24h"&amp;IF(S202&lt;&gt;""," ("&amp;S202&amp;")","")&amp;".",IF(R202="Afebril","Encontra-se afebril.","")),IF(T202&lt;&gt;"",IF(U202="Sim","Apresenta disfunção renal aguda ","Função renal preservada ")&amp;"("&amp;T202&amp;").",""),IF(V202&lt;&gt;"","Em uso do esquema antimicrobiano com "&amp;V202&amp;".",""),IF(TEXTJOIN(", ",TRUE,IF(W202&lt;&gt;"","TEV ("&amp;W202&amp;")",""),IF(X202&lt;&gt;"","LAMG ("&amp;X202&amp;")",""),IF(Y202&lt;&gt;"","úlcera de córnea com "&amp;Y202,""))&lt;&gt;"","Em uso de profilaxia: "&amp;TEXTJOIN(", ",TRUE,IF(W202&lt;&gt;"","TEV ("&amp;W202&amp;")",""),IF(X202&lt;&gt;"","LAMG ("&amp;X202&amp;")",""),IF(Y202&lt;&gt;"","úlcera de córnea com "&amp;Y202,""))&amp;".",""))&amp;CHAR(10)&amp;CHAR(10)&amp;"2. Farmacoterapia"&amp;CHAR(10)&amp;IF(Z202&lt;&gt;"","Corticoide/DART: "&amp;Z202,"Sem corticoide/DART registrado.")&amp;CHAR(10)&amp;CHAR(10)&amp;"3. Conduta Farmacêutica"&amp;CHAR(10)&amp;IF(TEXTJOIN(CHAR(10),TRUE,AB202,AC202,AD202)="","Nenhuma intervenção registrada hoje.",TEXTJOIN(CHAR(10),TRUE,AB202,AC202,AD202))&amp;CHAR(10)&amp;CHAR(10)&amp;"4. Plano Terapêutico"&amp;CHAR(10)&amp;IF(AA202&lt;&gt;"",AA202,"Não definido.")</f>
      </c>
    </row>
    <row r="203" spans="1:32" x14ac:dyDescent="0.25">
      <c r="A203" s="4"/>
      <c r="B203" s="6">
        <f>IFERROR(INDEX(Pacientes!$A:$A,MATCH($A203,Pacientes!$B:$B,0)),"")</f>
      </c>
      <c r="C203" s="6">
        <f>IFERROR(INDEX(Pacientes!$C:$C,MATCH($A203,Pacientes!$B:$B,0)),"")</f>
      </c>
      <c r="D203" s="6">
        <f>IFERROR(INDEX(Pacientes!$D:$D,MATCH($A203,Pacientes!$B:$B,0)),"")</f>
      </c>
      <c r="E203" s="6">
        <f>IFERROR(INDEX(Pacientes!$E:$E,MATCH($A203,Pacientes!$B:$B,0)),"")</f>
      </c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>
        <f>IFERROR(INDEX(Intervenções!$K$2:$K$300,AGGREGATE(15,6,(ROW(Intervenções!$K$2:$K$300)-ROW(Intervenções!$K$2)+1)/((Intervenções!$B$2:$B$300=A203)*(Intervenções!$A$2:$A$300=F203)*(Intervenções!$K$2:$K$300&lt;&gt;"")),1)),"")</f>
      </c>
      <c r="AC203" s="4">
        <f>IFERROR(INDEX(Intervenções!$K$2:$K$300,AGGREGATE(15,6,(ROW(Intervenções!$K$2:$K$300)-ROW(Intervenções!$K$2)+1)/((Intervenções!$B$2:$B$300=A203)*(Intervenções!$A$2:$A$300=F203)*(Intervenções!$K$2:$K$300&lt;&gt;"")),2)),"")</f>
      </c>
      <c r="AD203" s="4">
        <f>IFERROR(INDEX(Intervenções!$K$2:$K$300,AGGREGATE(15,6,(ROW(Intervenções!$K$2:$K$300)-ROW(Intervenções!$K$2)+1)/((Intervenções!$B$2:$B$300=A203)*(Intervenções!$A$2:$A$300=F203)*(Intervenções!$K$2:$K$300&lt;&gt;"")),3)),"")</f>
      </c>
      <c r="AE203" s="4">
        <f>"RECONCILIAÇÃO MEDICAMENTOSA"&amp;CHAR(10)&amp;IF(G203&lt;&gt;"","Medicamentos de uso prévio: "&amp;G203&amp;".","Sem medicamentos de uso prévio relatados.")&amp;CHAR(10)&amp;IF(H203&lt;&gt;"","Histórico de alergia/RAM: "&amp;H203&amp;".","Nega alergias/RAM conhecidas.")</f>
      </c>
      <c r="AF203" s="4">
        <f>AE203&amp;CHAR(10)&amp;CHAR(10)&amp;"1. Evolução Clínica"&amp;CHAR(10)&amp;TEXTJOIN(" ",TRUE,"Paciente "&amp;I203&amp;", "&amp;IF(J203="","sem DVA","em uso de "&amp;J203)&amp;".",IF(K203&lt;&gt;"","Em "&amp;K203&amp;IF(L203&lt;&gt;""," ("&amp;L203&amp;")","")&amp;IF(M203&lt;&gt;"", ", "&amp;M203,"")&amp;IF(N203&lt;&gt;"", ", sob analgosedação com "&amp;N203,"")&amp;".",""),IF(O203&lt;&gt;"",O203&amp;IF(P203&lt;&gt;"", ", com "&amp;LOWER(P203),"")&amp;IF(Q203&lt;&gt;"", " — "&amp;Q203,"")&amp;".",""),IF(R203="Febre","Apresentou episódio febril nas últimas 24h"&amp;IF(S203&lt;&gt;""," ("&amp;S203&amp;")","")&amp;".",IF(R203="Afebril","Encontra-se afebril.","")),IF(T203&lt;&gt;"",IF(U203="Sim","Apresenta disfunção renal aguda ","Função renal preservada ")&amp;"("&amp;T203&amp;").",""),IF(V203&lt;&gt;"","Em uso do esquema antimicrobiano com "&amp;V203&amp;".",""),IF(TEXTJOIN(", ",TRUE,IF(W203&lt;&gt;"","TEV ("&amp;W203&amp;")",""),IF(X203&lt;&gt;"","LAMG ("&amp;X203&amp;")",""),IF(Y203&lt;&gt;"","úlcera de córnea com "&amp;Y203,""))&lt;&gt;"","Em uso de profilaxia: "&amp;TEXTJOIN(", ",TRUE,IF(W203&lt;&gt;"","TEV ("&amp;W203&amp;")",""),IF(X203&lt;&gt;"","LAMG ("&amp;X203&amp;")",""),IF(Y203&lt;&gt;"","úlcera de córnea com "&amp;Y203,""))&amp;".",""))&amp;CHAR(10)&amp;CHAR(10)&amp;"2. Farmacoterapia"&amp;CHAR(10)&amp;IF(Z203&lt;&gt;"","Corticoide/DART: "&amp;Z203,"Sem corticoide/DART registrado.")&amp;CHAR(10)&amp;CHAR(10)&amp;"3. Conduta Farmacêutica"&amp;CHAR(10)&amp;IF(TEXTJOIN(CHAR(10),TRUE,AB203,AC203,AD203)="","Nenhuma intervenção registrada hoje.",TEXTJOIN(CHAR(10),TRUE,AB203,AC203,AD203))&amp;CHAR(10)&amp;CHAR(10)&amp;"4. Plano Terapêutico"&amp;CHAR(10)&amp;IF(AA203&lt;&gt;"",AA203,"Não definido.")</f>
      </c>
    </row>
    <row r="204" spans="1:32" x14ac:dyDescent="0.25">
      <c r="A204" s="4"/>
      <c r="B204" s="6">
        <f>IFERROR(INDEX(Pacientes!$A:$A,MATCH($A204,Pacientes!$B:$B,0)),"")</f>
      </c>
      <c r="C204" s="6">
        <f>IFERROR(INDEX(Pacientes!$C:$C,MATCH($A204,Pacientes!$B:$B,0)),"")</f>
      </c>
      <c r="D204" s="6">
        <f>IFERROR(INDEX(Pacientes!$D:$D,MATCH($A204,Pacientes!$B:$B,0)),"")</f>
      </c>
      <c r="E204" s="6">
        <f>IFERROR(INDEX(Pacientes!$E:$E,MATCH($A204,Pacientes!$B:$B,0)),"")</f>
      </c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>
        <f>IFERROR(INDEX(Intervenções!$K$2:$K$300,AGGREGATE(15,6,(ROW(Intervenções!$K$2:$K$300)-ROW(Intervenções!$K$2)+1)/((Intervenções!$B$2:$B$300=A204)*(Intervenções!$A$2:$A$300=F204)*(Intervenções!$K$2:$K$300&lt;&gt;"")),1)),"")</f>
      </c>
      <c r="AC204" s="4">
        <f>IFERROR(INDEX(Intervenções!$K$2:$K$300,AGGREGATE(15,6,(ROW(Intervenções!$K$2:$K$300)-ROW(Intervenções!$K$2)+1)/((Intervenções!$B$2:$B$300=A204)*(Intervenções!$A$2:$A$300=F204)*(Intervenções!$K$2:$K$300&lt;&gt;"")),2)),"")</f>
      </c>
      <c r="AD204" s="4">
        <f>IFERROR(INDEX(Intervenções!$K$2:$K$300,AGGREGATE(15,6,(ROW(Intervenções!$K$2:$K$300)-ROW(Intervenções!$K$2)+1)/((Intervenções!$B$2:$B$300=A204)*(Intervenções!$A$2:$A$300=F204)*(Intervenções!$K$2:$K$300&lt;&gt;"")),3)),"")</f>
      </c>
      <c r="AE204" s="4">
        <f>"RECONCILIAÇÃO MEDICAMENTOSA"&amp;CHAR(10)&amp;IF(G204&lt;&gt;"","Medicamentos de uso prévio: "&amp;G204&amp;".","Sem medicamentos de uso prévio relatados.")&amp;CHAR(10)&amp;IF(H204&lt;&gt;"","Histórico de alergia/RAM: "&amp;H204&amp;".","Nega alergias/RAM conhecidas.")</f>
      </c>
      <c r="AF204" s="4">
        <f>AE204&amp;CHAR(10)&amp;CHAR(10)&amp;"1. Evolução Clínica"&amp;CHAR(10)&amp;TEXTJOIN(" ",TRUE,"Paciente "&amp;I204&amp;", "&amp;IF(J204="","sem DVA","em uso de "&amp;J204)&amp;".",IF(K204&lt;&gt;"","Em "&amp;K204&amp;IF(L204&lt;&gt;""," ("&amp;L204&amp;")","")&amp;IF(M204&lt;&gt;"", ", "&amp;M204,"")&amp;IF(N204&lt;&gt;"", ", sob analgosedação com "&amp;N204,"")&amp;".",""),IF(O204&lt;&gt;"",O204&amp;IF(P204&lt;&gt;"", ", com "&amp;LOWER(P204),"")&amp;IF(Q204&lt;&gt;"", " — "&amp;Q204,"")&amp;".",""),IF(R204="Febre","Apresentou episódio febril nas últimas 24h"&amp;IF(S204&lt;&gt;""," ("&amp;S204&amp;")","")&amp;".",IF(R204="Afebril","Encontra-se afebril.","")),IF(T204&lt;&gt;"",IF(U204="Sim","Apresenta disfunção renal aguda ","Função renal preservada ")&amp;"("&amp;T204&amp;").",""),IF(V204&lt;&gt;"","Em uso do esquema antimicrobiano com "&amp;V204&amp;".",""),IF(TEXTJOIN(", ",TRUE,IF(W204&lt;&gt;"","TEV ("&amp;W204&amp;")",""),IF(X204&lt;&gt;"","LAMG ("&amp;X204&amp;")",""),IF(Y204&lt;&gt;"","úlcera de córnea com "&amp;Y204,""))&lt;&gt;"","Em uso de profilaxia: "&amp;TEXTJOIN(", ",TRUE,IF(W204&lt;&gt;"","TEV ("&amp;W204&amp;")",""),IF(X204&lt;&gt;"","LAMG ("&amp;X204&amp;")",""),IF(Y204&lt;&gt;"","úlcera de córnea com "&amp;Y204,""))&amp;".",""))&amp;CHAR(10)&amp;CHAR(10)&amp;"2. Farmacoterapia"&amp;CHAR(10)&amp;IF(Z204&lt;&gt;"","Corticoide/DART: "&amp;Z204,"Sem corticoide/DART registrado.")&amp;CHAR(10)&amp;CHAR(10)&amp;"3. Conduta Farmacêutica"&amp;CHAR(10)&amp;IF(TEXTJOIN(CHAR(10),TRUE,AB204,AC204,AD204)="","Nenhuma intervenção registrada hoje.",TEXTJOIN(CHAR(10),TRUE,AB204,AC204,AD204))&amp;CHAR(10)&amp;CHAR(10)&amp;"4. Plano Terapêutico"&amp;CHAR(10)&amp;IF(AA204&lt;&gt;"",AA204,"Não definido.")</f>
      </c>
    </row>
    <row r="205" spans="1:32" x14ac:dyDescent="0.25">
      <c r="A205" s="4"/>
      <c r="B205" s="6">
        <f>IFERROR(INDEX(Pacientes!$A:$A,MATCH($A205,Pacientes!$B:$B,0)),"")</f>
      </c>
      <c r="C205" s="6">
        <f>IFERROR(INDEX(Pacientes!$C:$C,MATCH($A205,Pacientes!$B:$B,0)),"")</f>
      </c>
      <c r="D205" s="6">
        <f>IFERROR(INDEX(Pacientes!$D:$D,MATCH($A205,Pacientes!$B:$B,0)),"")</f>
      </c>
      <c r="E205" s="6">
        <f>IFERROR(INDEX(Pacientes!$E:$E,MATCH($A205,Pacientes!$B:$B,0)),"")</f>
      </c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>
        <f>IFERROR(INDEX(Intervenções!$K$2:$K$300,AGGREGATE(15,6,(ROW(Intervenções!$K$2:$K$300)-ROW(Intervenções!$K$2)+1)/((Intervenções!$B$2:$B$300=A205)*(Intervenções!$A$2:$A$300=F205)*(Intervenções!$K$2:$K$300&lt;&gt;"")),1)),"")</f>
      </c>
      <c r="AC205" s="4">
        <f>IFERROR(INDEX(Intervenções!$K$2:$K$300,AGGREGATE(15,6,(ROW(Intervenções!$K$2:$K$300)-ROW(Intervenções!$K$2)+1)/((Intervenções!$B$2:$B$300=A205)*(Intervenções!$A$2:$A$300=F205)*(Intervenções!$K$2:$K$300&lt;&gt;"")),2)),"")</f>
      </c>
      <c r="AD205" s="4">
        <f>IFERROR(INDEX(Intervenções!$K$2:$K$300,AGGREGATE(15,6,(ROW(Intervenções!$K$2:$K$300)-ROW(Intervenções!$K$2)+1)/((Intervenções!$B$2:$B$300=A205)*(Intervenções!$A$2:$A$300=F205)*(Intervenções!$K$2:$K$300&lt;&gt;"")),3)),"")</f>
      </c>
      <c r="AE205" s="4">
        <f>"RECONCILIAÇÃO MEDICAMENTOSA"&amp;CHAR(10)&amp;IF(G205&lt;&gt;"","Medicamentos de uso prévio: "&amp;G205&amp;".","Sem medicamentos de uso prévio relatados.")&amp;CHAR(10)&amp;IF(H205&lt;&gt;"","Histórico de alergia/RAM: "&amp;H205&amp;".","Nega alergias/RAM conhecidas.")</f>
      </c>
      <c r="AF205" s="4">
        <f>AE205&amp;CHAR(10)&amp;CHAR(10)&amp;"1. Evolução Clínica"&amp;CHAR(10)&amp;TEXTJOIN(" ",TRUE,"Paciente "&amp;I205&amp;", "&amp;IF(J205="","sem DVA","em uso de "&amp;J205)&amp;".",IF(K205&lt;&gt;"","Em "&amp;K205&amp;IF(L205&lt;&gt;""," ("&amp;L205&amp;")","")&amp;IF(M205&lt;&gt;"", ", "&amp;M205,"")&amp;IF(N205&lt;&gt;"", ", sob analgosedação com "&amp;N205,"")&amp;".",""),IF(O205&lt;&gt;"",O205&amp;IF(P205&lt;&gt;"", ", com "&amp;LOWER(P205),"")&amp;IF(Q205&lt;&gt;"", " — "&amp;Q205,"")&amp;".",""),IF(R205="Febre","Apresentou episódio febril nas últimas 24h"&amp;IF(S205&lt;&gt;""," ("&amp;S205&amp;")","")&amp;".",IF(R205="Afebril","Encontra-se afebril.","")),IF(T205&lt;&gt;"",IF(U205="Sim","Apresenta disfunção renal aguda ","Função renal preservada ")&amp;"("&amp;T205&amp;").",""),IF(V205&lt;&gt;"","Em uso do esquema antimicrobiano com "&amp;V205&amp;".",""),IF(TEXTJOIN(", ",TRUE,IF(W205&lt;&gt;"","TEV ("&amp;W205&amp;")",""),IF(X205&lt;&gt;"","LAMG ("&amp;X205&amp;")",""),IF(Y205&lt;&gt;"","úlcera de córnea com "&amp;Y205,""))&lt;&gt;"","Em uso de profilaxia: "&amp;TEXTJOIN(", ",TRUE,IF(W205&lt;&gt;"","TEV ("&amp;W205&amp;")",""),IF(X205&lt;&gt;"","LAMG ("&amp;X205&amp;")",""),IF(Y205&lt;&gt;"","úlcera de córnea com "&amp;Y205,""))&amp;".",""))&amp;CHAR(10)&amp;CHAR(10)&amp;"2. Farmacoterapia"&amp;CHAR(10)&amp;IF(Z205&lt;&gt;"","Corticoide/DART: "&amp;Z205,"Sem corticoide/DART registrado.")&amp;CHAR(10)&amp;CHAR(10)&amp;"3. Conduta Farmacêutica"&amp;CHAR(10)&amp;IF(TEXTJOIN(CHAR(10),TRUE,AB205,AC205,AD205)="","Nenhuma intervenção registrada hoje.",TEXTJOIN(CHAR(10),TRUE,AB205,AC205,AD205))&amp;CHAR(10)&amp;CHAR(10)&amp;"4. Plano Terapêutico"&amp;CHAR(10)&amp;IF(AA205&lt;&gt;"",AA205,"Não definido.")</f>
      </c>
    </row>
    <row r="206" spans="1:32" x14ac:dyDescent="0.25">
      <c r="A206" s="4"/>
      <c r="B206" s="6">
        <f>IFERROR(INDEX(Pacientes!$A:$A,MATCH($A206,Pacientes!$B:$B,0)),"")</f>
      </c>
      <c r="C206" s="6">
        <f>IFERROR(INDEX(Pacientes!$C:$C,MATCH($A206,Pacientes!$B:$B,0)),"")</f>
      </c>
      <c r="D206" s="6">
        <f>IFERROR(INDEX(Pacientes!$D:$D,MATCH($A206,Pacientes!$B:$B,0)),"")</f>
      </c>
      <c r="E206" s="6">
        <f>IFERROR(INDEX(Pacientes!$E:$E,MATCH($A206,Pacientes!$B:$B,0)),"")</f>
      </c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>
        <f>IFERROR(INDEX(Intervenções!$K$2:$K$300,AGGREGATE(15,6,(ROW(Intervenções!$K$2:$K$300)-ROW(Intervenções!$K$2)+1)/((Intervenções!$B$2:$B$300=A206)*(Intervenções!$A$2:$A$300=F206)*(Intervenções!$K$2:$K$300&lt;&gt;"")),1)),"")</f>
      </c>
      <c r="AC206" s="4">
        <f>IFERROR(INDEX(Intervenções!$K$2:$K$300,AGGREGATE(15,6,(ROW(Intervenções!$K$2:$K$300)-ROW(Intervenções!$K$2)+1)/((Intervenções!$B$2:$B$300=A206)*(Intervenções!$A$2:$A$300=F206)*(Intervenções!$K$2:$K$300&lt;&gt;"")),2)),"")</f>
      </c>
      <c r="AD206" s="4">
        <f>IFERROR(INDEX(Intervenções!$K$2:$K$300,AGGREGATE(15,6,(ROW(Intervenções!$K$2:$K$300)-ROW(Intervenções!$K$2)+1)/((Intervenções!$B$2:$B$300=A206)*(Intervenções!$A$2:$A$300=F206)*(Intervenções!$K$2:$K$300&lt;&gt;"")),3)),"")</f>
      </c>
      <c r="AE206" s="4">
        <f>"RECONCILIAÇÃO MEDICAMENTOSA"&amp;CHAR(10)&amp;IF(G206&lt;&gt;"","Medicamentos de uso prévio: "&amp;G206&amp;".","Sem medicamentos de uso prévio relatados.")&amp;CHAR(10)&amp;IF(H206&lt;&gt;"","Histórico de alergia/RAM: "&amp;H206&amp;".","Nega alergias/RAM conhecidas.")</f>
      </c>
      <c r="AF206" s="4">
        <f>AE206&amp;CHAR(10)&amp;CHAR(10)&amp;"1. Evolução Clínica"&amp;CHAR(10)&amp;TEXTJOIN(" ",TRUE,"Paciente "&amp;I206&amp;", "&amp;IF(J206="","sem DVA","em uso de "&amp;J206)&amp;".",IF(K206&lt;&gt;"","Em "&amp;K206&amp;IF(L206&lt;&gt;""," ("&amp;L206&amp;")","")&amp;IF(M206&lt;&gt;"", ", "&amp;M206,"")&amp;IF(N206&lt;&gt;"", ", sob analgosedação com "&amp;N206,"")&amp;".",""),IF(O206&lt;&gt;"",O206&amp;IF(P206&lt;&gt;"", ", com "&amp;LOWER(P206),"")&amp;IF(Q206&lt;&gt;"", " — "&amp;Q206,"")&amp;".",""),IF(R206="Febre","Apresentou episódio febril nas últimas 24h"&amp;IF(S206&lt;&gt;""," ("&amp;S206&amp;")","")&amp;".",IF(R206="Afebril","Encontra-se afebril.","")),IF(T206&lt;&gt;"",IF(U206="Sim","Apresenta disfunção renal aguda ","Função renal preservada ")&amp;"("&amp;T206&amp;").",""),IF(V206&lt;&gt;"","Em uso do esquema antimicrobiano com "&amp;V206&amp;".",""),IF(TEXTJOIN(", ",TRUE,IF(W206&lt;&gt;"","TEV ("&amp;W206&amp;")",""),IF(X206&lt;&gt;"","LAMG ("&amp;X206&amp;")",""),IF(Y206&lt;&gt;"","úlcera de córnea com "&amp;Y206,""))&lt;&gt;"","Em uso de profilaxia: "&amp;TEXTJOIN(", ",TRUE,IF(W206&lt;&gt;"","TEV ("&amp;W206&amp;")",""),IF(X206&lt;&gt;"","LAMG ("&amp;X206&amp;")",""),IF(Y206&lt;&gt;"","úlcera de córnea com "&amp;Y206,""))&amp;".",""))&amp;CHAR(10)&amp;CHAR(10)&amp;"2. Farmacoterapia"&amp;CHAR(10)&amp;IF(Z206&lt;&gt;"","Corticoide/DART: "&amp;Z206,"Sem corticoide/DART registrado.")&amp;CHAR(10)&amp;CHAR(10)&amp;"3. Conduta Farmacêutica"&amp;CHAR(10)&amp;IF(TEXTJOIN(CHAR(10),TRUE,AB206,AC206,AD206)="","Nenhuma intervenção registrada hoje.",TEXTJOIN(CHAR(10),TRUE,AB206,AC206,AD206))&amp;CHAR(10)&amp;CHAR(10)&amp;"4. Plano Terapêutico"&amp;CHAR(10)&amp;IF(AA206&lt;&gt;"",AA206,"Não definido.")</f>
      </c>
    </row>
    <row r="207" spans="1:32" x14ac:dyDescent="0.25">
      <c r="A207" s="4"/>
      <c r="B207" s="6">
        <f>IFERROR(INDEX(Pacientes!$A:$A,MATCH($A207,Pacientes!$B:$B,0)),"")</f>
      </c>
      <c r="C207" s="6">
        <f>IFERROR(INDEX(Pacientes!$C:$C,MATCH($A207,Pacientes!$B:$B,0)),"")</f>
      </c>
      <c r="D207" s="6">
        <f>IFERROR(INDEX(Pacientes!$D:$D,MATCH($A207,Pacientes!$B:$B,0)),"")</f>
      </c>
      <c r="E207" s="6">
        <f>IFERROR(INDEX(Pacientes!$E:$E,MATCH($A207,Pacientes!$B:$B,0)),"")</f>
      </c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>
        <f>IFERROR(INDEX(Intervenções!$K$2:$K$300,AGGREGATE(15,6,(ROW(Intervenções!$K$2:$K$300)-ROW(Intervenções!$K$2)+1)/((Intervenções!$B$2:$B$300=A207)*(Intervenções!$A$2:$A$300=F207)*(Intervenções!$K$2:$K$300&lt;&gt;"")),1)),"")</f>
      </c>
      <c r="AC207" s="4">
        <f>IFERROR(INDEX(Intervenções!$K$2:$K$300,AGGREGATE(15,6,(ROW(Intervenções!$K$2:$K$300)-ROW(Intervenções!$K$2)+1)/((Intervenções!$B$2:$B$300=A207)*(Intervenções!$A$2:$A$300=F207)*(Intervenções!$K$2:$K$300&lt;&gt;"")),2)),"")</f>
      </c>
      <c r="AD207" s="4">
        <f>IFERROR(INDEX(Intervenções!$K$2:$K$300,AGGREGATE(15,6,(ROW(Intervenções!$K$2:$K$300)-ROW(Intervenções!$K$2)+1)/((Intervenções!$B$2:$B$300=A207)*(Intervenções!$A$2:$A$300=F207)*(Intervenções!$K$2:$K$300&lt;&gt;"")),3)),"")</f>
      </c>
      <c r="AE207" s="4">
        <f>"RECONCILIAÇÃO MEDICAMENTOSA"&amp;CHAR(10)&amp;IF(G207&lt;&gt;"","Medicamentos de uso prévio: "&amp;G207&amp;".","Sem medicamentos de uso prévio relatados.")&amp;CHAR(10)&amp;IF(H207&lt;&gt;"","Histórico de alergia/RAM: "&amp;H207&amp;".","Nega alergias/RAM conhecidas.")</f>
      </c>
      <c r="AF207" s="4">
        <f>AE207&amp;CHAR(10)&amp;CHAR(10)&amp;"1. Evolução Clínica"&amp;CHAR(10)&amp;TEXTJOIN(" ",TRUE,"Paciente "&amp;I207&amp;", "&amp;IF(J207="","sem DVA","em uso de "&amp;J207)&amp;".",IF(K207&lt;&gt;"","Em "&amp;K207&amp;IF(L207&lt;&gt;""," ("&amp;L207&amp;")","")&amp;IF(M207&lt;&gt;"", ", "&amp;M207,"")&amp;IF(N207&lt;&gt;"", ", sob analgosedação com "&amp;N207,"")&amp;".",""),IF(O207&lt;&gt;"",O207&amp;IF(P207&lt;&gt;"", ", com "&amp;LOWER(P207),"")&amp;IF(Q207&lt;&gt;"", " — "&amp;Q207,"")&amp;".",""),IF(R207="Febre","Apresentou episódio febril nas últimas 24h"&amp;IF(S207&lt;&gt;""," ("&amp;S207&amp;")","")&amp;".",IF(R207="Afebril","Encontra-se afebril.","")),IF(T207&lt;&gt;"",IF(U207="Sim","Apresenta disfunção renal aguda ","Função renal preservada ")&amp;"("&amp;T207&amp;").",""),IF(V207&lt;&gt;"","Em uso do esquema antimicrobiano com "&amp;V207&amp;".",""),IF(TEXTJOIN(", ",TRUE,IF(W207&lt;&gt;"","TEV ("&amp;W207&amp;")",""),IF(X207&lt;&gt;"","LAMG ("&amp;X207&amp;")",""),IF(Y207&lt;&gt;"","úlcera de córnea com "&amp;Y207,""))&lt;&gt;"","Em uso de profilaxia: "&amp;TEXTJOIN(", ",TRUE,IF(W207&lt;&gt;"","TEV ("&amp;W207&amp;")",""),IF(X207&lt;&gt;"","LAMG ("&amp;X207&amp;")",""),IF(Y207&lt;&gt;"","úlcera de córnea com "&amp;Y207,""))&amp;".",""))&amp;CHAR(10)&amp;CHAR(10)&amp;"2. Farmacoterapia"&amp;CHAR(10)&amp;IF(Z207&lt;&gt;"","Corticoide/DART: "&amp;Z207,"Sem corticoide/DART registrado.")&amp;CHAR(10)&amp;CHAR(10)&amp;"3. Conduta Farmacêutica"&amp;CHAR(10)&amp;IF(TEXTJOIN(CHAR(10),TRUE,AB207,AC207,AD207)="","Nenhuma intervenção registrada hoje.",TEXTJOIN(CHAR(10),TRUE,AB207,AC207,AD207))&amp;CHAR(10)&amp;CHAR(10)&amp;"4. Plano Terapêutico"&amp;CHAR(10)&amp;IF(AA207&lt;&gt;"",AA207,"Não definido.")</f>
      </c>
    </row>
    <row r="208" spans="1:32" x14ac:dyDescent="0.25">
      <c r="A208" s="4"/>
      <c r="B208" s="6">
        <f>IFERROR(INDEX(Pacientes!$A:$A,MATCH($A208,Pacientes!$B:$B,0)),"")</f>
      </c>
      <c r="C208" s="6">
        <f>IFERROR(INDEX(Pacientes!$C:$C,MATCH($A208,Pacientes!$B:$B,0)),"")</f>
      </c>
      <c r="D208" s="6">
        <f>IFERROR(INDEX(Pacientes!$D:$D,MATCH($A208,Pacientes!$B:$B,0)),"")</f>
      </c>
      <c r="E208" s="6">
        <f>IFERROR(INDEX(Pacientes!$E:$E,MATCH($A208,Pacientes!$B:$B,0)),"")</f>
      </c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>
        <f>IFERROR(INDEX(Intervenções!$K$2:$K$300,AGGREGATE(15,6,(ROW(Intervenções!$K$2:$K$300)-ROW(Intervenções!$K$2)+1)/((Intervenções!$B$2:$B$300=A208)*(Intervenções!$A$2:$A$300=F208)*(Intervenções!$K$2:$K$300&lt;&gt;"")),1)),"")</f>
      </c>
      <c r="AC208" s="4">
        <f>IFERROR(INDEX(Intervenções!$K$2:$K$300,AGGREGATE(15,6,(ROW(Intervenções!$K$2:$K$300)-ROW(Intervenções!$K$2)+1)/((Intervenções!$B$2:$B$300=A208)*(Intervenções!$A$2:$A$300=F208)*(Intervenções!$K$2:$K$300&lt;&gt;"")),2)),"")</f>
      </c>
      <c r="AD208" s="4">
        <f>IFERROR(INDEX(Intervenções!$K$2:$K$300,AGGREGATE(15,6,(ROW(Intervenções!$K$2:$K$300)-ROW(Intervenções!$K$2)+1)/((Intervenções!$B$2:$B$300=A208)*(Intervenções!$A$2:$A$300=F208)*(Intervenções!$K$2:$K$300&lt;&gt;"")),3)),"")</f>
      </c>
      <c r="AE208" s="4">
        <f>"RECONCILIAÇÃO MEDICAMENTOSA"&amp;CHAR(10)&amp;IF(G208&lt;&gt;"","Medicamentos de uso prévio: "&amp;G208&amp;".","Sem medicamentos de uso prévio relatados.")&amp;CHAR(10)&amp;IF(H208&lt;&gt;"","Histórico de alergia/RAM: "&amp;H208&amp;".","Nega alergias/RAM conhecidas.")</f>
      </c>
      <c r="AF208" s="4">
        <f>AE208&amp;CHAR(10)&amp;CHAR(10)&amp;"1. Evolução Clínica"&amp;CHAR(10)&amp;TEXTJOIN(" ",TRUE,"Paciente "&amp;I208&amp;", "&amp;IF(J208="","sem DVA","em uso de "&amp;J208)&amp;".",IF(K208&lt;&gt;"","Em "&amp;K208&amp;IF(L208&lt;&gt;""," ("&amp;L208&amp;")","")&amp;IF(M208&lt;&gt;"", ", "&amp;M208,"")&amp;IF(N208&lt;&gt;"", ", sob analgosedação com "&amp;N208,"")&amp;".",""),IF(O208&lt;&gt;"",O208&amp;IF(P208&lt;&gt;"", ", com "&amp;LOWER(P208),"")&amp;IF(Q208&lt;&gt;"", " — "&amp;Q208,"")&amp;".",""),IF(R208="Febre","Apresentou episódio febril nas últimas 24h"&amp;IF(S208&lt;&gt;""," ("&amp;S208&amp;")","")&amp;".",IF(R208="Afebril","Encontra-se afebril.","")),IF(T208&lt;&gt;"",IF(U208="Sim","Apresenta disfunção renal aguda ","Função renal preservada ")&amp;"("&amp;T208&amp;").",""),IF(V208&lt;&gt;"","Em uso do esquema antimicrobiano com "&amp;V208&amp;".",""),IF(TEXTJOIN(", ",TRUE,IF(W208&lt;&gt;"","TEV ("&amp;W208&amp;")",""),IF(X208&lt;&gt;"","LAMG ("&amp;X208&amp;")",""),IF(Y208&lt;&gt;"","úlcera de córnea com "&amp;Y208,""))&lt;&gt;"","Em uso de profilaxia: "&amp;TEXTJOIN(", ",TRUE,IF(W208&lt;&gt;"","TEV ("&amp;W208&amp;")",""),IF(X208&lt;&gt;"","LAMG ("&amp;X208&amp;")",""),IF(Y208&lt;&gt;"","úlcera de córnea com "&amp;Y208,""))&amp;".",""))&amp;CHAR(10)&amp;CHAR(10)&amp;"2. Farmacoterapia"&amp;CHAR(10)&amp;IF(Z208&lt;&gt;"","Corticoide/DART: "&amp;Z208,"Sem corticoide/DART registrado.")&amp;CHAR(10)&amp;CHAR(10)&amp;"3. Conduta Farmacêutica"&amp;CHAR(10)&amp;IF(TEXTJOIN(CHAR(10),TRUE,AB208,AC208,AD208)="","Nenhuma intervenção registrada hoje.",TEXTJOIN(CHAR(10),TRUE,AB208,AC208,AD208))&amp;CHAR(10)&amp;CHAR(10)&amp;"4. Plano Terapêutico"&amp;CHAR(10)&amp;IF(AA208&lt;&gt;"",AA208,"Não definido.")</f>
      </c>
    </row>
    <row r="209" spans="1:32" x14ac:dyDescent="0.25">
      <c r="A209" s="4"/>
      <c r="B209" s="6">
        <f>IFERROR(INDEX(Pacientes!$A:$A,MATCH($A209,Pacientes!$B:$B,0)),"")</f>
      </c>
      <c r="C209" s="6">
        <f>IFERROR(INDEX(Pacientes!$C:$C,MATCH($A209,Pacientes!$B:$B,0)),"")</f>
      </c>
      <c r="D209" s="6">
        <f>IFERROR(INDEX(Pacientes!$D:$D,MATCH($A209,Pacientes!$B:$B,0)),"")</f>
      </c>
      <c r="E209" s="6">
        <f>IFERROR(INDEX(Pacientes!$E:$E,MATCH($A209,Pacientes!$B:$B,0)),"")</f>
      </c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>
        <f>IFERROR(INDEX(Intervenções!$K$2:$K$300,AGGREGATE(15,6,(ROW(Intervenções!$K$2:$K$300)-ROW(Intervenções!$K$2)+1)/((Intervenções!$B$2:$B$300=A209)*(Intervenções!$A$2:$A$300=F209)*(Intervenções!$K$2:$K$300&lt;&gt;"")),1)),"")</f>
      </c>
      <c r="AC209" s="4">
        <f>IFERROR(INDEX(Intervenções!$K$2:$K$300,AGGREGATE(15,6,(ROW(Intervenções!$K$2:$K$300)-ROW(Intervenções!$K$2)+1)/((Intervenções!$B$2:$B$300=A209)*(Intervenções!$A$2:$A$300=F209)*(Intervenções!$K$2:$K$300&lt;&gt;"")),2)),"")</f>
      </c>
      <c r="AD209" s="4">
        <f>IFERROR(INDEX(Intervenções!$K$2:$K$300,AGGREGATE(15,6,(ROW(Intervenções!$K$2:$K$300)-ROW(Intervenções!$K$2)+1)/((Intervenções!$B$2:$B$300=A209)*(Intervenções!$A$2:$A$300=F209)*(Intervenções!$K$2:$K$300&lt;&gt;"")),3)),"")</f>
      </c>
      <c r="AE209" s="4">
        <f>"RECONCILIAÇÃO MEDICAMENTOSA"&amp;CHAR(10)&amp;IF(G209&lt;&gt;"","Medicamentos de uso prévio: "&amp;G209&amp;".","Sem medicamentos de uso prévio relatados.")&amp;CHAR(10)&amp;IF(H209&lt;&gt;"","Histórico de alergia/RAM: "&amp;H209&amp;".","Nega alergias/RAM conhecidas.")</f>
      </c>
      <c r="AF209" s="4">
        <f>AE209&amp;CHAR(10)&amp;CHAR(10)&amp;"1. Evolução Clínica"&amp;CHAR(10)&amp;TEXTJOIN(" ",TRUE,"Paciente "&amp;I209&amp;", "&amp;IF(J209="","sem DVA","em uso de "&amp;J209)&amp;".",IF(K209&lt;&gt;"","Em "&amp;K209&amp;IF(L209&lt;&gt;""," ("&amp;L209&amp;")","")&amp;IF(M209&lt;&gt;"", ", "&amp;M209,"")&amp;IF(N209&lt;&gt;"", ", sob analgosedação com "&amp;N209,"")&amp;".",""),IF(O209&lt;&gt;"",O209&amp;IF(P209&lt;&gt;"", ", com "&amp;LOWER(P209),"")&amp;IF(Q209&lt;&gt;"", " — "&amp;Q209,"")&amp;".",""),IF(R209="Febre","Apresentou episódio febril nas últimas 24h"&amp;IF(S209&lt;&gt;""," ("&amp;S209&amp;")","")&amp;".",IF(R209="Afebril","Encontra-se afebril.","")),IF(T209&lt;&gt;"",IF(U209="Sim","Apresenta disfunção renal aguda ","Função renal preservada ")&amp;"("&amp;T209&amp;").",""),IF(V209&lt;&gt;"","Em uso do esquema antimicrobiano com "&amp;V209&amp;".",""),IF(TEXTJOIN(", ",TRUE,IF(W209&lt;&gt;"","TEV ("&amp;W209&amp;")",""),IF(X209&lt;&gt;"","LAMG ("&amp;X209&amp;")",""),IF(Y209&lt;&gt;"","úlcera de córnea com "&amp;Y209,""))&lt;&gt;"","Em uso de profilaxia: "&amp;TEXTJOIN(", ",TRUE,IF(W209&lt;&gt;"","TEV ("&amp;W209&amp;")",""),IF(X209&lt;&gt;"","LAMG ("&amp;X209&amp;")",""),IF(Y209&lt;&gt;"","úlcera de córnea com "&amp;Y209,""))&amp;".",""))&amp;CHAR(10)&amp;CHAR(10)&amp;"2. Farmacoterapia"&amp;CHAR(10)&amp;IF(Z209&lt;&gt;"","Corticoide/DART: "&amp;Z209,"Sem corticoide/DART registrado.")&amp;CHAR(10)&amp;CHAR(10)&amp;"3. Conduta Farmacêutica"&amp;CHAR(10)&amp;IF(TEXTJOIN(CHAR(10),TRUE,AB209,AC209,AD209)="","Nenhuma intervenção registrada hoje.",TEXTJOIN(CHAR(10),TRUE,AB209,AC209,AD209))&amp;CHAR(10)&amp;CHAR(10)&amp;"4. Plano Terapêutico"&amp;CHAR(10)&amp;IF(AA209&lt;&gt;"",AA209,"Não definido.")</f>
      </c>
    </row>
    <row r="210" spans="1:32" x14ac:dyDescent="0.25">
      <c r="A210" s="4"/>
      <c r="B210" s="6">
        <f>IFERROR(INDEX(Pacientes!$A:$A,MATCH($A210,Pacientes!$B:$B,0)),"")</f>
      </c>
      <c r="C210" s="6">
        <f>IFERROR(INDEX(Pacientes!$C:$C,MATCH($A210,Pacientes!$B:$B,0)),"")</f>
      </c>
      <c r="D210" s="6">
        <f>IFERROR(INDEX(Pacientes!$D:$D,MATCH($A210,Pacientes!$B:$B,0)),"")</f>
      </c>
      <c r="E210" s="6">
        <f>IFERROR(INDEX(Pacientes!$E:$E,MATCH($A210,Pacientes!$B:$B,0)),"")</f>
      </c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>
        <f>IFERROR(INDEX(Intervenções!$K$2:$K$300,AGGREGATE(15,6,(ROW(Intervenções!$K$2:$K$300)-ROW(Intervenções!$K$2)+1)/((Intervenções!$B$2:$B$300=A210)*(Intervenções!$A$2:$A$300=F210)*(Intervenções!$K$2:$K$300&lt;&gt;"")),1)),"")</f>
      </c>
      <c r="AC210" s="4">
        <f>IFERROR(INDEX(Intervenções!$K$2:$K$300,AGGREGATE(15,6,(ROW(Intervenções!$K$2:$K$300)-ROW(Intervenções!$K$2)+1)/((Intervenções!$B$2:$B$300=A210)*(Intervenções!$A$2:$A$300=F210)*(Intervenções!$K$2:$K$300&lt;&gt;"")),2)),"")</f>
      </c>
      <c r="AD210" s="4">
        <f>IFERROR(INDEX(Intervenções!$K$2:$K$300,AGGREGATE(15,6,(ROW(Intervenções!$K$2:$K$300)-ROW(Intervenções!$K$2)+1)/((Intervenções!$B$2:$B$300=A210)*(Intervenções!$A$2:$A$300=F210)*(Intervenções!$K$2:$K$300&lt;&gt;"")),3)),"")</f>
      </c>
      <c r="AE210" s="4">
        <f>"RECONCILIAÇÃO MEDICAMENTOSA"&amp;CHAR(10)&amp;IF(G210&lt;&gt;"","Medicamentos de uso prévio: "&amp;G210&amp;".","Sem medicamentos de uso prévio relatados.")&amp;CHAR(10)&amp;IF(H210&lt;&gt;"","Histórico de alergia/RAM: "&amp;H210&amp;".","Nega alergias/RAM conhecidas.")</f>
      </c>
      <c r="AF210" s="4">
        <f>AE210&amp;CHAR(10)&amp;CHAR(10)&amp;"1. Evolução Clínica"&amp;CHAR(10)&amp;TEXTJOIN(" ",TRUE,"Paciente "&amp;I210&amp;", "&amp;IF(J210="","sem DVA","em uso de "&amp;J210)&amp;".",IF(K210&lt;&gt;"","Em "&amp;K210&amp;IF(L210&lt;&gt;""," ("&amp;L210&amp;")","")&amp;IF(M210&lt;&gt;"", ", "&amp;M210,"")&amp;IF(N210&lt;&gt;"", ", sob analgosedação com "&amp;N210,"")&amp;".",""),IF(O210&lt;&gt;"",O210&amp;IF(P210&lt;&gt;"", ", com "&amp;LOWER(P210),"")&amp;IF(Q210&lt;&gt;"", " — "&amp;Q210,"")&amp;".",""),IF(R210="Febre","Apresentou episódio febril nas últimas 24h"&amp;IF(S210&lt;&gt;""," ("&amp;S210&amp;")","")&amp;".",IF(R210="Afebril","Encontra-se afebril.","")),IF(T210&lt;&gt;"",IF(U210="Sim","Apresenta disfunção renal aguda ","Função renal preservada ")&amp;"("&amp;T210&amp;").",""),IF(V210&lt;&gt;"","Em uso do esquema antimicrobiano com "&amp;V210&amp;".",""),IF(TEXTJOIN(", ",TRUE,IF(W210&lt;&gt;"","TEV ("&amp;W210&amp;")",""),IF(X210&lt;&gt;"","LAMG ("&amp;X210&amp;")",""),IF(Y210&lt;&gt;"","úlcera de córnea com "&amp;Y210,""))&lt;&gt;"","Em uso de profilaxia: "&amp;TEXTJOIN(", ",TRUE,IF(W210&lt;&gt;"","TEV ("&amp;W210&amp;")",""),IF(X210&lt;&gt;"","LAMG ("&amp;X210&amp;")",""),IF(Y210&lt;&gt;"","úlcera de córnea com "&amp;Y210,""))&amp;".",""))&amp;CHAR(10)&amp;CHAR(10)&amp;"2. Farmacoterapia"&amp;CHAR(10)&amp;IF(Z210&lt;&gt;"","Corticoide/DART: "&amp;Z210,"Sem corticoide/DART registrado.")&amp;CHAR(10)&amp;CHAR(10)&amp;"3. Conduta Farmacêutica"&amp;CHAR(10)&amp;IF(TEXTJOIN(CHAR(10),TRUE,AB210,AC210,AD210)="","Nenhuma intervenção registrada hoje.",TEXTJOIN(CHAR(10),TRUE,AB210,AC210,AD210))&amp;CHAR(10)&amp;CHAR(10)&amp;"4. Plano Terapêutico"&amp;CHAR(10)&amp;IF(AA210&lt;&gt;"",AA210,"Não definido.")</f>
      </c>
    </row>
    <row r="211" spans="1:32" x14ac:dyDescent="0.25">
      <c r="A211" s="4"/>
      <c r="B211" s="6">
        <f>IFERROR(INDEX(Pacientes!$A:$A,MATCH($A211,Pacientes!$B:$B,0)),"")</f>
      </c>
      <c r="C211" s="6">
        <f>IFERROR(INDEX(Pacientes!$C:$C,MATCH($A211,Pacientes!$B:$B,0)),"")</f>
      </c>
      <c r="D211" s="6">
        <f>IFERROR(INDEX(Pacientes!$D:$D,MATCH($A211,Pacientes!$B:$B,0)),"")</f>
      </c>
      <c r="E211" s="6">
        <f>IFERROR(INDEX(Pacientes!$E:$E,MATCH($A211,Pacientes!$B:$B,0)),"")</f>
      </c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>
        <f>IFERROR(INDEX(Intervenções!$K$2:$K$300,AGGREGATE(15,6,(ROW(Intervenções!$K$2:$K$300)-ROW(Intervenções!$K$2)+1)/((Intervenções!$B$2:$B$300=A211)*(Intervenções!$A$2:$A$300=F211)*(Intervenções!$K$2:$K$300&lt;&gt;"")),1)),"")</f>
      </c>
      <c r="AC211" s="4">
        <f>IFERROR(INDEX(Intervenções!$K$2:$K$300,AGGREGATE(15,6,(ROW(Intervenções!$K$2:$K$300)-ROW(Intervenções!$K$2)+1)/((Intervenções!$B$2:$B$300=A211)*(Intervenções!$A$2:$A$300=F211)*(Intervenções!$K$2:$K$300&lt;&gt;"")),2)),"")</f>
      </c>
      <c r="AD211" s="4">
        <f>IFERROR(INDEX(Intervenções!$K$2:$K$300,AGGREGATE(15,6,(ROW(Intervenções!$K$2:$K$300)-ROW(Intervenções!$K$2)+1)/((Intervenções!$B$2:$B$300=A211)*(Intervenções!$A$2:$A$300=F211)*(Intervenções!$K$2:$K$300&lt;&gt;"")),3)),"")</f>
      </c>
      <c r="AE211" s="4">
        <f>"RECONCILIAÇÃO MEDICAMENTOSA"&amp;CHAR(10)&amp;IF(G211&lt;&gt;"","Medicamentos de uso prévio: "&amp;G211&amp;".","Sem medicamentos de uso prévio relatados.")&amp;CHAR(10)&amp;IF(H211&lt;&gt;"","Histórico de alergia/RAM: "&amp;H211&amp;".","Nega alergias/RAM conhecidas.")</f>
      </c>
      <c r="AF211" s="4">
        <f>AE211&amp;CHAR(10)&amp;CHAR(10)&amp;"1. Evolução Clínica"&amp;CHAR(10)&amp;TEXTJOIN(" ",TRUE,"Paciente "&amp;I211&amp;", "&amp;IF(J211="","sem DVA","em uso de "&amp;J211)&amp;".",IF(K211&lt;&gt;"","Em "&amp;K211&amp;IF(L211&lt;&gt;""," ("&amp;L211&amp;")","")&amp;IF(M211&lt;&gt;"", ", "&amp;M211,"")&amp;IF(N211&lt;&gt;"", ", sob analgosedação com "&amp;N211,"")&amp;".",""),IF(O211&lt;&gt;"",O211&amp;IF(P211&lt;&gt;"", ", com "&amp;LOWER(P211),"")&amp;IF(Q211&lt;&gt;"", " — "&amp;Q211,"")&amp;".",""),IF(R211="Febre","Apresentou episódio febril nas últimas 24h"&amp;IF(S211&lt;&gt;""," ("&amp;S211&amp;")","")&amp;".",IF(R211="Afebril","Encontra-se afebril.","")),IF(T211&lt;&gt;"",IF(U211="Sim","Apresenta disfunção renal aguda ","Função renal preservada ")&amp;"("&amp;T211&amp;").",""),IF(V211&lt;&gt;"","Em uso do esquema antimicrobiano com "&amp;V211&amp;".",""),IF(TEXTJOIN(", ",TRUE,IF(W211&lt;&gt;"","TEV ("&amp;W211&amp;")",""),IF(X211&lt;&gt;"","LAMG ("&amp;X211&amp;")",""),IF(Y211&lt;&gt;"","úlcera de córnea com "&amp;Y211,""))&lt;&gt;"","Em uso de profilaxia: "&amp;TEXTJOIN(", ",TRUE,IF(W211&lt;&gt;"","TEV ("&amp;W211&amp;")",""),IF(X211&lt;&gt;"","LAMG ("&amp;X211&amp;")",""),IF(Y211&lt;&gt;"","úlcera de córnea com "&amp;Y211,""))&amp;".",""))&amp;CHAR(10)&amp;CHAR(10)&amp;"2. Farmacoterapia"&amp;CHAR(10)&amp;IF(Z211&lt;&gt;"","Corticoide/DART: "&amp;Z211,"Sem corticoide/DART registrado.")&amp;CHAR(10)&amp;CHAR(10)&amp;"3. Conduta Farmacêutica"&amp;CHAR(10)&amp;IF(TEXTJOIN(CHAR(10),TRUE,AB211,AC211,AD211)="","Nenhuma intervenção registrada hoje.",TEXTJOIN(CHAR(10),TRUE,AB211,AC211,AD211))&amp;CHAR(10)&amp;CHAR(10)&amp;"4. Plano Terapêutico"&amp;CHAR(10)&amp;IF(AA211&lt;&gt;"",AA211,"Não definido.")</f>
      </c>
    </row>
    <row r="212" spans="1:32" x14ac:dyDescent="0.25">
      <c r="A212" s="4"/>
      <c r="B212" s="6">
        <f>IFERROR(INDEX(Pacientes!$A:$A,MATCH($A212,Pacientes!$B:$B,0)),"")</f>
      </c>
      <c r="C212" s="6">
        <f>IFERROR(INDEX(Pacientes!$C:$C,MATCH($A212,Pacientes!$B:$B,0)),"")</f>
      </c>
      <c r="D212" s="6">
        <f>IFERROR(INDEX(Pacientes!$D:$D,MATCH($A212,Pacientes!$B:$B,0)),"")</f>
      </c>
      <c r="E212" s="6">
        <f>IFERROR(INDEX(Pacientes!$E:$E,MATCH($A212,Pacientes!$B:$B,0)),"")</f>
      </c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>
        <f>IFERROR(INDEX(Intervenções!$K$2:$K$300,AGGREGATE(15,6,(ROW(Intervenções!$K$2:$K$300)-ROW(Intervenções!$K$2)+1)/((Intervenções!$B$2:$B$300=A212)*(Intervenções!$A$2:$A$300=F212)*(Intervenções!$K$2:$K$300&lt;&gt;"")),1)),"")</f>
      </c>
      <c r="AC212" s="4">
        <f>IFERROR(INDEX(Intervenções!$K$2:$K$300,AGGREGATE(15,6,(ROW(Intervenções!$K$2:$K$300)-ROW(Intervenções!$K$2)+1)/((Intervenções!$B$2:$B$300=A212)*(Intervenções!$A$2:$A$300=F212)*(Intervenções!$K$2:$K$300&lt;&gt;"")),2)),"")</f>
      </c>
      <c r="AD212" s="4">
        <f>IFERROR(INDEX(Intervenções!$K$2:$K$300,AGGREGATE(15,6,(ROW(Intervenções!$K$2:$K$300)-ROW(Intervenções!$K$2)+1)/((Intervenções!$B$2:$B$300=A212)*(Intervenções!$A$2:$A$300=F212)*(Intervenções!$K$2:$K$300&lt;&gt;"")),3)),"")</f>
      </c>
      <c r="AE212" s="4">
        <f>"RECONCILIAÇÃO MEDICAMENTOSA"&amp;CHAR(10)&amp;IF(G212&lt;&gt;"","Medicamentos de uso prévio: "&amp;G212&amp;".","Sem medicamentos de uso prévio relatados.")&amp;CHAR(10)&amp;IF(H212&lt;&gt;"","Histórico de alergia/RAM: "&amp;H212&amp;".","Nega alergias/RAM conhecidas.")</f>
      </c>
      <c r="AF212" s="4">
        <f>AE212&amp;CHAR(10)&amp;CHAR(10)&amp;"1. Evolução Clínica"&amp;CHAR(10)&amp;TEXTJOIN(" ",TRUE,"Paciente "&amp;I212&amp;", "&amp;IF(J212="","sem DVA","em uso de "&amp;J212)&amp;".",IF(K212&lt;&gt;"","Em "&amp;K212&amp;IF(L212&lt;&gt;""," ("&amp;L212&amp;")","")&amp;IF(M212&lt;&gt;"", ", "&amp;M212,"")&amp;IF(N212&lt;&gt;"", ", sob analgosedação com "&amp;N212,"")&amp;".",""),IF(O212&lt;&gt;"",O212&amp;IF(P212&lt;&gt;"", ", com "&amp;LOWER(P212),"")&amp;IF(Q212&lt;&gt;"", " — "&amp;Q212,"")&amp;".",""),IF(R212="Febre","Apresentou episódio febril nas últimas 24h"&amp;IF(S212&lt;&gt;""," ("&amp;S212&amp;")","")&amp;".",IF(R212="Afebril","Encontra-se afebril.","")),IF(T212&lt;&gt;"",IF(U212="Sim","Apresenta disfunção renal aguda ","Função renal preservada ")&amp;"("&amp;T212&amp;").",""),IF(V212&lt;&gt;"","Em uso do esquema antimicrobiano com "&amp;V212&amp;".",""),IF(TEXTJOIN(", ",TRUE,IF(W212&lt;&gt;"","TEV ("&amp;W212&amp;")",""),IF(X212&lt;&gt;"","LAMG ("&amp;X212&amp;")",""),IF(Y212&lt;&gt;"","úlcera de córnea com "&amp;Y212,""))&lt;&gt;"","Em uso de profilaxia: "&amp;TEXTJOIN(", ",TRUE,IF(W212&lt;&gt;"","TEV ("&amp;W212&amp;")",""),IF(X212&lt;&gt;"","LAMG ("&amp;X212&amp;")",""),IF(Y212&lt;&gt;"","úlcera de córnea com "&amp;Y212,""))&amp;".",""))&amp;CHAR(10)&amp;CHAR(10)&amp;"2. Farmacoterapia"&amp;CHAR(10)&amp;IF(Z212&lt;&gt;"","Corticoide/DART: "&amp;Z212,"Sem corticoide/DART registrado.")&amp;CHAR(10)&amp;CHAR(10)&amp;"3. Conduta Farmacêutica"&amp;CHAR(10)&amp;IF(TEXTJOIN(CHAR(10),TRUE,AB212,AC212,AD212)="","Nenhuma intervenção registrada hoje.",TEXTJOIN(CHAR(10),TRUE,AB212,AC212,AD212))&amp;CHAR(10)&amp;CHAR(10)&amp;"4. Plano Terapêutico"&amp;CHAR(10)&amp;IF(AA212&lt;&gt;"",AA212,"Não definido.")</f>
      </c>
    </row>
    <row r="213" spans="1:32" x14ac:dyDescent="0.25">
      <c r="A213" s="4"/>
      <c r="B213" s="6">
        <f>IFERROR(INDEX(Pacientes!$A:$A,MATCH($A213,Pacientes!$B:$B,0)),"")</f>
      </c>
      <c r="C213" s="6">
        <f>IFERROR(INDEX(Pacientes!$C:$C,MATCH($A213,Pacientes!$B:$B,0)),"")</f>
      </c>
      <c r="D213" s="6">
        <f>IFERROR(INDEX(Pacientes!$D:$D,MATCH($A213,Pacientes!$B:$B,0)),"")</f>
      </c>
      <c r="E213" s="6">
        <f>IFERROR(INDEX(Pacientes!$E:$E,MATCH($A213,Pacientes!$B:$B,0)),"")</f>
      </c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>
        <f>IFERROR(INDEX(Intervenções!$K$2:$K$300,AGGREGATE(15,6,(ROW(Intervenções!$K$2:$K$300)-ROW(Intervenções!$K$2)+1)/((Intervenções!$B$2:$B$300=A213)*(Intervenções!$A$2:$A$300=F213)*(Intervenções!$K$2:$K$300&lt;&gt;"")),1)),"")</f>
      </c>
      <c r="AC213" s="4">
        <f>IFERROR(INDEX(Intervenções!$K$2:$K$300,AGGREGATE(15,6,(ROW(Intervenções!$K$2:$K$300)-ROW(Intervenções!$K$2)+1)/((Intervenções!$B$2:$B$300=A213)*(Intervenções!$A$2:$A$300=F213)*(Intervenções!$K$2:$K$300&lt;&gt;"")),2)),"")</f>
      </c>
      <c r="AD213" s="4">
        <f>IFERROR(INDEX(Intervenções!$K$2:$K$300,AGGREGATE(15,6,(ROW(Intervenções!$K$2:$K$300)-ROW(Intervenções!$K$2)+1)/((Intervenções!$B$2:$B$300=A213)*(Intervenções!$A$2:$A$300=F213)*(Intervenções!$K$2:$K$300&lt;&gt;"")),3)),"")</f>
      </c>
      <c r="AE213" s="4">
        <f>"RECONCILIAÇÃO MEDICAMENTOSA"&amp;CHAR(10)&amp;IF(G213&lt;&gt;"","Medicamentos de uso prévio: "&amp;G213&amp;".","Sem medicamentos de uso prévio relatados.")&amp;CHAR(10)&amp;IF(H213&lt;&gt;"","Histórico de alergia/RAM: "&amp;H213&amp;".","Nega alergias/RAM conhecidas.")</f>
      </c>
      <c r="AF213" s="4">
        <f>AE213&amp;CHAR(10)&amp;CHAR(10)&amp;"1. Evolução Clínica"&amp;CHAR(10)&amp;TEXTJOIN(" ",TRUE,"Paciente "&amp;I213&amp;", "&amp;IF(J213="","sem DVA","em uso de "&amp;J213)&amp;".",IF(K213&lt;&gt;"","Em "&amp;K213&amp;IF(L213&lt;&gt;""," ("&amp;L213&amp;")","")&amp;IF(M213&lt;&gt;"", ", "&amp;M213,"")&amp;IF(N213&lt;&gt;"", ", sob analgosedação com "&amp;N213,"")&amp;".",""),IF(O213&lt;&gt;"",O213&amp;IF(P213&lt;&gt;"", ", com "&amp;LOWER(P213),"")&amp;IF(Q213&lt;&gt;"", " — "&amp;Q213,"")&amp;".",""),IF(R213="Febre","Apresentou episódio febril nas últimas 24h"&amp;IF(S213&lt;&gt;""," ("&amp;S213&amp;")","")&amp;".",IF(R213="Afebril","Encontra-se afebril.","")),IF(T213&lt;&gt;"",IF(U213="Sim","Apresenta disfunção renal aguda ","Função renal preservada ")&amp;"("&amp;T213&amp;").",""),IF(V213&lt;&gt;"","Em uso do esquema antimicrobiano com "&amp;V213&amp;".",""),IF(TEXTJOIN(", ",TRUE,IF(W213&lt;&gt;"","TEV ("&amp;W213&amp;")",""),IF(X213&lt;&gt;"","LAMG ("&amp;X213&amp;")",""),IF(Y213&lt;&gt;"","úlcera de córnea com "&amp;Y213,""))&lt;&gt;"","Em uso de profilaxia: "&amp;TEXTJOIN(", ",TRUE,IF(W213&lt;&gt;"","TEV ("&amp;W213&amp;")",""),IF(X213&lt;&gt;"","LAMG ("&amp;X213&amp;")",""),IF(Y213&lt;&gt;"","úlcera de córnea com "&amp;Y213,""))&amp;".",""))&amp;CHAR(10)&amp;CHAR(10)&amp;"2. Farmacoterapia"&amp;CHAR(10)&amp;IF(Z213&lt;&gt;"","Corticoide/DART: "&amp;Z213,"Sem corticoide/DART registrado.")&amp;CHAR(10)&amp;CHAR(10)&amp;"3. Conduta Farmacêutica"&amp;CHAR(10)&amp;IF(TEXTJOIN(CHAR(10),TRUE,AB213,AC213,AD213)="","Nenhuma intervenção registrada hoje.",TEXTJOIN(CHAR(10),TRUE,AB213,AC213,AD213))&amp;CHAR(10)&amp;CHAR(10)&amp;"4. Plano Terapêutico"&amp;CHAR(10)&amp;IF(AA213&lt;&gt;"",AA213,"Não definido.")</f>
      </c>
    </row>
    <row r="214" spans="1:32" x14ac:dyDescent="0.25">
      <c r="A214" s="4"/>
      <c r="B214" s="6">
        <f>IFERROR(INDEX(Pacientes!$A:$A,MATCH($A214,Pacientes!$B:$B,0)),"")</f>
      </c>
      <c r="C214" s="6">
        <f>IFERROR(INDEX(Pacientes!$C:$C,MATCH($A214,Pacientes!$B:$B,0)),"")</f>
      </c>
      <c r="D214" s="6">
        <f>IFERROR(INDEX(Pacientes!$D:$D,MATCH($A214,Pacientes!$B:$B,0)),"")</f>
      </c>
      <c r="E214" s="6">
        <f>IFERROR(INDEX(Pacientes!$E:$E,MATCH($A214,Pacientes!$B:$B,0)),"")</f>
      </c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>
        <f>IFERROR(INDEX(Intervenções!$K$2:$K$300,AGGREGATE(15,6,(ROW(Intervenções!$K$2:$K$300)-ROW(Intervenções!$K$2)+1)/((Intervenções!$B$2:$B$300=A214)*(Intervenções!$A$2:$A$300=F214)*(Intervenções!$K$2:$K$300&lt;&gt;"")),1)),"")</f>
      </c>
      <c r="AC214" s="4">
        <f>IFERROR(INDEX(Intervenções!$K$2:$K$300,AGGREGATE(15,6,(ROW(Intervenções!$K$2:$K$300)-ROW(Intervenções!$K$2)+1)/((Intervenções!$B$2:$B$300=A214)*(Intervenções!$A$2:$A$300=F214)*(Intervenções!$K$2:$K$300&lt;&gt;"")),2)),"")</f>
      </c>
      <c r="AD214" s="4">
        <f>IFERROR(INDEX(Intervenções!$K$2:$K$300,AGGREGATE(15,6,(ROW(Intervenções!$K$2:$K$300)-ROW(Intervenções!$K$2)+1)/((Intervenções!$B$2:$B$300=A214)*(Intervenções!$A$2:$A$300=F214)*(Intervenções!$K$2:$K$300&lt;&gt;"")),3)),"")</f>
      </c>
      <c r="AE214" s="4">
        <f>"RECONCILIAÇÃO MEDICAMENTOSA"&amp;CHAR(10)&amp;IF(G214&lt;&gt;"","Medicamentos de uso prévio: "&amp;G214&amp;".","Sem medicamentos de uso prévio relatados.")&amp;CHAR(10)&amp;IF(H214&lt;&gt;"","Histórico de alergia/RAM: "&amp;H214&amp;".","Nega alergias/RAM conhecidas.")</f>
      </c>
      <c r="AF214" s="4">
        <f>AE214&amp;CHAR(10)&amp;CHAR(10)&amp;"1. Evolução Clínica"&amp;CHAR(10)&amp;TEXTJOIN(" ",TRUE,"Paciente "&amp;I214&amp;", "&amp;IF(J214="","sem DVA","em uso de "&amp;J214)&amp;".",IF(K214&lt;&gt;"","Em "&amp;K214&amp;IF(L214&lt;&gt;""," ("&amp;L214&amp;")","")&amp;IF(M214&lt;&gt;"", ", "&amp;M214,"")&amp;IF(N214&lt;&gt;"", ", sob analgosedação com "&amp;N214,"")&amp;".",""),IF(O214&lt;&gt;"",O214&amp;IF(P214&lt;&gt;"", ", com "&amp;LOWER(P214),"")&amp;IF(Q214&lt;&gt;"", " — "&amp;Q214,"")&amp;".",""),IF(R214="Febre","Apresentou episódio febril nas últimas 24h"&amp;IF(S214&lt;&gt;""," ("&amp;S214&amp;")","")&amp;".",IF(R214="Afebril","Encontra-se afebril.","")),IF(T214&lt;&gt;"",IF(U214="Sim","Apresenta disfunção renal aguda ","Função renal preservada ")&amp;"("&amp;T214&amp;").",""),IF(V214&lt;&gt;"","Em uso do esquema antimicrobiano com "&amp;V214&amp;".",""),IF(TEXTJOIN(", ",TRUE,IF(W214&lt;&gt;"","TEV ("&amp;W214&amp;")",""),IF(X214&lt;&gt;"","LAMG ("&amp;X214&amp;")",""),IF(Y214&lt;&gt;"","úlcera de córnea com "&amp;Y214,""))&lt;&gt;"","Em uso de profilaxia: "&amp;TEXTJOIN(", ",TRUE,IF(W214&lt;&gt;"","TEV ("&amp;W214&amp;")",""),IF(X214&lt;&gt;"","LAMG ("&amp;X214&amp;")",""),IF(Y214&lt;&gt;"","úlcera de córnea com "&amp;Y214,""))&amp;".",""))&amp;CHAR(10)&amp;CHAR(10)&amp;"2. Farmacoterapia"&amp;CHAR(10)&amp;IF(Z214&lt;&gt;"","Corticoide/DART: "&amp;Z214,"Sem corticoide/DART registrado.")&amp;CHAR(10)&amp;CHAR(10)&amp;"3. Conduta Farmacêutica"&amp;CHAR(10)&amp;IF(TEXTJOIN(CHAR(10),TRUE,AB214,AC214,AD214)="","Nenhuma intervenção registrada hoje.",TEXTJOIN(CHAR(10),TRUE,AB214,AC214,AD214))&amp;CHAR(10)&amp;CHAR(10)&amp;"4. Plano Terapêutico"&amp;CHAR(10)&amp;IF(AA214&lt;&gt;"",AA214,"Não definido.")</f>
      </c>
    </row>
    <row r="215" spans="1:32" x14ac:dyDescent="0.25">
      <c r="A215" s="4"/>
      <c r="B215" s="6">
        <f>IFERROR(INDEX(Pacientes!$A:$A,MATCH($A215,Pacientes!$B:$B,0)),"")</f>
      </c>
      <c r="C215" s="6">
        <f>IFERROR(INDEX(Pacientes!$C:$C,MATCH($A215,Pacientes!$B:$B,0)),"")</f>
      </c>
      <c r="D215" s="6">
        <f>IFERROR(INDEX(Pacientes!$D:$D,MATCH($A215,Pacientes!$B:$B,0)),"")</f>
      </c>
      <c r="E215" s="6">
        <f>IFERROR(INDEX(Pacientes!$E:$E,MATCH($A215,Pacientes!$B:$B,0)),"")</f>
      </c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>
        <f>IFERROR(INDEX(Intervenções!$K$2:$K$300,AGGREGATE(15,6,(ROW(Intervenções!$K$2:$K$300)-ROW(Intervenções!$K$2)+1)/((Intervenções!$B$2:$B$300=A215)*(Intervenções!$A$2:$A$300=F215)*(Intervenções!$K$2:$K$300&lt;&gt;"")),1)),"")</f>
      </c>
      <c r="AC215" s="4">
        <f>IFERROR(INDEX(Intervenções!$K$2:$K$300,AGGREGATE(15,6,(ROW(Intervenções!$K$2:$K$300)-ROW(Intervenções!$K$2)+1)/((Intervenções!$B$2:$B$300=A215)*(Intervenções!$A$2:$A$300=F215)*(Intervenções!$K$2:$K$300&lt;&gt;"")),2)),"")</f>
      </c>
      <c r="AD215" s="4">
        <f>IFERROR(INDEX(Intervenções!$K$2:$K$300,AGGREGATE(15,6,(ROW(Intervenções!$K$2:$K$300)-ROW(Intervenções!$K$2)+1)/((Intervenções!$B$2:$B$300=A215)*(Intervenções!$A$2:$A$300=F215)*(Intervenções!$K$2:$K$300&lt;&gt;"")),3)),"")</f>
      </c>
      <c r="AE215" s="4">
        <f>"RECONCILIAÇÃO MEDICAMENTOSA"&amp;CHAR(10)&amp;IF(G215&lt;&gt;"","Medicamentos de uso prévio: "&amp;G215&amp;".","Sem medicamentos de uso prévio relatados.")&amp;CHAR(10)&amp;IF(H215&lt;&gt;"","Histórico de alergia/RAM: "&amp;H215&amp;".","Nega alergias/RAM conhecidas.")</f>
      </c>
      <c r="AF215" s="4">
        <f>AE215&amp;CHAR(10)&amp;CHAR(10)&amp;"1. Evolução Clínica"&amp;CHAR(10)&amp;TEXTJOIN(" ",TRUE,"Paciente "&amp;I215&amp;", "&amp;IF(J215="","sem DVA","em uso de "&amp;J215)&amp;".",IF(K215&lt;&gt;"","Em "&amp;K215&amp;IF(L215&lt;&gt;""," ("&amp;L215&amp;")","")&amp;IF(M215&lt;&gt;"", ", "&amp;M215,"")&amp;IF(N215&lt;&gt;"", ", sob analgosedação com "&amp;N215,"")&amp;".",""),IF(O215&lt;&gt;"",O215&amp;IF(P215&lt;&gt;"", ", com "&amp;LOWER(P215),"")&amp;IF(Q215&lt;&gt;"", " — "&amp;Q215,"")&amp;".",""),IF(R215="Febre","Apresentou episódio febril nas últimas 24h"&amp;IF(S215&lt;&gt;""," ("&amp;S215&amp;")","")&amp;".",IF(R215="Afebril","Encontra-se afebril.","")),IF(T215&lt;&gt;"",IF(U215="Sim","Apresenta disfunção renal aguda ","Função renal preservada ")&amp;"("&amp;T215&amp;").",""),IF(V215&lt;&gt;"","Em uso do esquema antimicrobiano com "&amp;V215&amp;".",""),IF(TEXTJOIN(", ",TRUE,IF(W215&lt;&gt;"","TEV ("&amp;W215&amp;")",""),IF(X215&lt;&gt;"","LAMG ("&amp;X215&amp;")",""),IF(Y215&lt;&gt;"","úlcera de córnea com "&amp;Y215,""))&lt;&gt;"","Em uso de profilaxia: "&amp;TEXTJOIN(", ",TRUE,IF(W215&lt;&gt;"","TEV ("&amp;W215&amp;")",""),IF(X215&lt;&gt;"","LAMG ("&amp;X215&amp;")",""),IF(Y215&lt;&gt;"","úlcera de córnea com "&amp;Y215,""))&amp;".",""))&amp;CHAR(10)&amp;CHAR(10)&amp;"2. Farmacoterapia"&amp;CHAR(10)&amp;IF(Z215&lt;&gt;"","Corticoide/DART: "&amp;Z215,"Sem corticoide/DART registrado.")&amp;CHAR(10)&amp;CHAR(10)&amp;"3. Conduta Farmacêutica"&amp;CHAR(10)&amp;IF(TEXTJOIN(CHAR(10),TRUE,AB215,AC215,AD215)="","Nenhuma intervenção registrada hoje.",TEXTJOIN(CHAR(10),TRUE,AB215,AC215,AD215))&amp;CHAR(10)&amp;CHAR(10)&amp;"4. Plano Terapêutico"&amp;CHAR(10)&amp;IF(AA215&lt;&gt;"",AA215,"Não definido.")</f>
      </c>
    </row>
    <row r="216" spans="1:32" x14ac:dyDescent="0.25">
      <c r="A216" s="4"/>
      <c r="B216" s="6">
        <f>IFERROR(INDEX(Pacientes!$A:$A,MATCH($A216,Pacientes!$B:$B,0)),"")</f>
      </c>
      <c r="C216" s="6">
        <f>IFERROR(INDEX(Pacientes!$C:$C,MATCH($A216,Pacientes!$B:$B,0)),"")</f>
      </c>
      <c r="D216" s="6">
        <f>IFERROR(INDEX(Pacientes!$D:$D,MATCH($A216,Pacientes!$B:$B,0)),"")</f>
      </c>
      <c r="E216" s="6">
        <f>IFERROR(INDEX(Pacientes!$E:$E,MATCH($A216,Pacientes!$B:$B,0)),"")</f>
      </c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>
        <f>IFERROR(INDEX(Intervenções!$K$2:$K$300,AGGREGATE(15,6,(ROW(Intervenções!$K$2:$K$300)-ROW(Intervenções!$K$2)+1)/((Intervenções!$B$2:$B$300=A216)*(Intervenções!$A$2:$A$300=F216)*(Intervenções!$K$2:$K$300&lt;&gt;"")),1)),"")</f>
      </c>
      <c r="AC216" s="4">
        <f>IFERROR(INDEX(Intervenções!$K$2:$K$300,AGGREGATE(15,6,(ROW(Intervenções!$K$2:$K$300)-ROW(Intervenções!$K$2)+1)/((Intervenções!$B$2:$B$300=A216)*(Intervenções!$A$2:$A$300=F216)*(Intervenções!$K$2:$K$300&lt;&gt;"")),2)),"")</f>
      </c>
      <c r="AD216" s="4">
        <f>IFERROR(INDEX(Intervenções!$K$2:$K$300,AGGREGATE(15,6,(ROW(Intervenções!$K$2:$K$300)-ROW(Intervenções!$K$2)+1)/((Intervenções!$B$2:$B$300=A216)*(Intervenções!$A$2:$A$300=F216)*(Intervenções!$K$2:$K$300&lt;&gt;"")),3)),"")</f>
      </c>
      <c r="AE216" s="4">
        <f>"RECONCILIAÇÃO MEDICAMENTOSA"&amp;CHAR(10)&amp;IF(G216&lt;&gt;"","Medicamentos de uso prévio: "&amp;G216&amp;".","Sem medicamentos de uso prévio relatados.")&amp;CHAR(10)&amp;IF(H216&lt;&gt;"","Histórico de alergia/RAM: "&amp;H216&amp;".","Nega alergias/RAM conhecidas.")</f>
      </c>
      <c r="AF216" s="4">
        <f>AE216&amp;CHAR(10)&amp;CHAR(10)&amp;"1. Evolução Clínica"&amp;CHAR(10)&amp;TEXTJOIN(" ",TRUE,"Paciente "&amp;I216&amp;", "&amp;IF(J216="","sem DVA","em uso de "&amp;J216)&amp;".",IF(K216&lt;&gt;"","Em "&amp;K216&amp;IF(L216&lt;&gt;""," ("&amp;L216&amp;")","")&amp;IF(M216&lt;&gt;"", ", "&amp;M216,"")&amp;IF(N216&lt;&gt;"", ", sob analgosedação com "&amp;N216,"")&amp;".",""),IF(O216&lt;&gt;"",O216&amp;IF(P216&lt;&gt;"", ", com "&amp;LOWER(P216),"")&amp;IF(Q216&lt;&gt;"", " — "&amp;Q216,"")&amp;".",""),IF(R216="Febre","Apresentou episódio febril nas últimas 24h"&amp;IF(S216&lt;&gt;""," ("&amp;S216&amp;")","")&amp;".",IF(R216="Afebril","Encontra-se afebril.","")),IF(T216&lt;&gt;"",IF(U216="Sim","Apresenta disfunção renal aguda ","Função renal preservada ")&amp;"("&amp;T216&amp;").",""),IF(V216&lt;&gt;"","Em uso do esquema antimicrobiano com "&amp;V216&amp;".",""),IF(TEXTJOIN(", ",TRUE,IF(W216&lt;&gt;"","TEV ("&amp;W216&amp;")",""),IF(X216&lt;&gt;"","LAMG ("&amp;X216&amp;")",""),IF(Y216&lt;&gt;"","úlcera de córnea com "&amp;Y216,""))&lt;&gt;"","Em uso de profilaxia: "&amp;TEXTJOIN(", ",TRUE,IF(W216&lt;&gt;"","TEV ("&amp;W216&amp;")",""),IF(X216&lt;&gt;"","LAMG ("&amp;X216&amp;")",""),IF(Y216&lt;&gt;"","úlcera de córnea com "&amp;Y216,""))&amp;".",""))&amp;CHAR(10)&amp;CHAR(10)&amp;"2. Farmacoterapia"&amp;CHAR(10)&amp;IF(Z216&lt;&gt;"","Corticoide/DART: "&amp;Z216,"Sem corticoide/DART registrado.")&amp;CHAR(10)&amp;CHAR(10)&amp;"3. Conduta Farmacêutica"&amp;CHAR(10)&amp;IF(TEXTJOIN(CHAR(10),TRUE,AB216,AC216,AD216)="","Nenhuma intervenção registrada hoje.",TEXTJOIN(CHAR(10),TRUE,AB216,AC216,AD216))&amp;CHAR(10)&amp;CHAR(10)&amp;"4. Plano Terapêutico"&amp;CHAR(10)&amp;IF(AA216&lt;&gt;"",AA216,"Não definido.")</f>
      </c>
    </row>
    <row r="217" spans="1:32" x14ac:dyDescent="0.25">
      <c r="A217" s="4"/>
      <c r="B217" s="6">
        <f>IFERROR(INDEX(Pacientes!$A:$A,MATCH($A217,Pacientes!$B:$B,0)),"")</f>
      </c>
      <c r="C217" s="6">
        <f>IFERROR(INDEX(Pacientes!$C:$C,MATCH($A217,Pacientes!$B:$B,0)),"")</f>
      </c>
      <c r="D217" s="6">
        <f>IFERROR(INDEX(Pacientes!$D:$D,MATCH($A217,Pacientes!$B:$B,0)),"")</f>
      </c>
      <c r="E217" s="6">
        <f>IFERROR(INDEX(Pacientes!$E:$E,MATCH($A217,Pacientes!$B:$B,0)),"")</f>
      </c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>
        <f>IFERROR(INDEX(Intervenções!$K$2:$K$300,AGGREGATE(15,6,(ROW(Intervenções!$K$2:$K$300)-ROW(Intervenções!$K$2)+1)/((Intervenções!$B$2:$B$300=A217)*(Intervenções!$A$2:$A$300=F217)*(Intervenções!$K$2:$K$300&lt;&gt;"")),1)),"")</f>
      </c>
      <c r="AC217" s="4">
        <f>IFERROR(INDEX(Intervenções!$K$2:$K$300,AGGREGATE(15,6,(ROW(Intervenções!$K$2:$K$300)-ROW(Intervenções!$K$2)+1)/((Intervenções!$B$2:$B$300=A217)*(Intervenções!$A$2:$A$300=F217)*(Intervenções!$K$2:$K$300&lt;&gt;"")),2)),"")</f>
      </c>
      <c r="AD217" s="4">
        <f>IFERROR(INDEX(Intervenções!$K$2:$K$300,AGGREGATE(15,6,(ROW(Intervenções!$K$2:$K$300)-ROW(Intervenções!$K$2)+1)/((Intervenções!$B$2:$B$300=A217)*(Intervenções!$A$2:$A$300=F217)*(Intervenções!$K$2:$K$300&lt;&gt;"")),3)),"")</f>
      </c>
      <c r="AE217" s="4">
        <f>"RECONCILIAÇÃO MEDICAMENTOSA"&amp;CHAR(10)&amp;IF(G217&lt;&gt;"","Medicamentos de uso prévio: "&amp;G217&amp;".","Sem medicamentos de uso prévio relatados.")&amp;CHAR(10)&amp;IF(H217&lt;&gt;"","Histórico de alergia/RAM: "&amp;H217&amp;".","Nega alergias/RAM conhecidas.")</f>
      </c>
      <c r="AF217" s="4">
        <f>AE217&amp;CHAR(10)&amp;CHAR(10)&amp;"1. Evolução Clínica"&amp;CHAR(10)&amp;TEXTJOIN(" ",TRUE,"Paciente "&amp;I217&amp;", "&amp;IF(J217="","sem DVA","em uso de "&amp;J217)&amp;".",IF(K217&lt;&gt;"","Em "&amp;K217&amp;IF(L217&lt;&gt;""," ("&amp;L217&amp;")","")&amp;IF(M217&lt;&gt;"", ", "&amp;M217,"")&amp;IF(N217&lt;&gt;"", ", sob analgosedação com "&amp;N217,"")&amp;".",""),IF(O217&lt;&gt;"",O217&amp;IF(P217&lt;&gt;"", ", com "&amp;LOWER(P217),"")&amp;IF(Q217&lt;&gt;"", " — "&amp;Q217,"")&amp;".",""),IF(R217="Febre","Apresentou episódio febril nas últimas 24h"&amp;IF(S217&lt;&gt;""," ("&amp;S217&amp;")","")&amp;".",IF(R217="Afebril","Encontra-se afebril.","")),IF(T217&lt;&gt;"",IF(U217="Sim","Apresenta disfunção renal aguda ","Função renal preservada ")&amp;"("&amp;T217&amp;").",""),IF(V217&lt;&gt;"","Em uso do esquema antimicrobiano com "&amp;V217&amp;".",""),IF(TEXTJOIN(", ",TRUE,IF(W217&lt;&gt;"","TEV ("&amp;W217&amp;")",""),IF(X217&lt;&gt;"","LAMG ("&amp;X217&amp;")",""),IF(Y217&lt;&gt;"","úlcera de córnea com "&amp;Y217,""))&lt;&gt;"","Em uso de profilaxia: "&amp;TEXTJOIN(", ",TRUE,IF(W217&lt;&gt;"","TEV ("&amp;W217&amp;")",""),IF(X217&lt;&gt;"","LAMG ("&amp;X217&amp;")",""),IF(Y217&lt;&gt;"","úlcera de córnea com "&amp;Y217,""))&amp;".",""))&amp;CHAR(10)&amp;CHAR(10)&amp;"2. Farmacoterapia"&amp;CHAR(10)&amp;IF(Z217&lt;&gt;"","Corticoide/DART: "&amp;Z217,"Sem corticoide/DART registrado.")&amp;CHAR(10)&amp;CHAR(10)&amp;"3. Conduta Farmacêutica"&amp;CHAR(10)&amp;IF(TEXTJOIN(CHAR(10),TRUE,AB217,AC217,AD217)="","Nenhuma intervenção registrada hoje.",TEXTJOIN(CHAR(10),TRUE,AB217,AC217,AD217))&amp;CHAR(10)&amp;CHAR(10)&amp;"4. Plano Terapêutico"&amp;CHAR(10)&amp;IF(AA217&lt;&gt;"",AA217,"Não definido.")</f>
      </c>
    </row>
    <row r="218" spans="1:32" x14ac:dyDescent="0.25">
      <c r="A218" s="4"/>
      <c r="B218" s="6">
        <f>IFERROR(INDEX(Pacientes!$A:$A,MATCH($A218,Pacientes!$B:$B,0)),"")</f>
      </c>
      <c r="C218" s="6">
        <f>IFERROR(INDEX(Pacientes!$C:$C,MATCH($A218,Pacientes!$B:$B,0)),"")</f>
      </c>
      <c r="D218" s="6">
        <f>IFERROR(INDEX(Pacientes!$D:$D,MATCH($A218,Pacientes!$B:$B,0)),"")</f>
      </c>
      <c r="E218" s="6">
        <f>IFERROR(INDEX(Pacientes!$E:$E,MATCH($A218,Pacientes!$B:$B,0)),"")</f>
      </c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>
        <f>IFERROR(INDEX(Intervenções!$K$2:$K$300,AGGREGATE(15,6,(ROW(Intervenções!$K$2:$K$300)-ROW(Intervenções!$K$2)+1)/((Intervenções!$B$2:$B$300=A218)*(Intervenções!$A$2:$A$300=F218)*(Intervenções!$K$2:$K$300&lt;&gt;"")),1)),"")</f>
      </c>
      <c r="AC218" s="4">
        <f>IFERROR(INDEX(Intervenções!$K$2:$K$300,AGGREGATE(15,6,(ROW(Intervenções!$K$2:$K$300)-ROW(Intervenções!$K$2)+1)/((Intervenções!$B$2:$B$300=A218)*(Intervenções!$A$2:$A$300=F218)*(Intervenções!$K$2:$K$300&lt;&gt;"")),2)),"")</f>
      </c>
      <c r="AD218" s="4">
        <f>IFERROR(INDEX(Intervenções!$K$2:$K$300,AGGREGATE(15,6,(ROW(Intervenções!$K$2:$K$300)-ROW(Intervenções!$K$2)+1)/((Intervenções!$B$2:$B$300=A218)*(Intervenções!$A$2:$A$300=F218)*(Intervenções!$K$2:$K$300&lt;&gt;"")),3)),"")</f>
      </c>
      <c r="AE218" s="4">
        <f>"RECONCILIAÇÃO MEDICAMENTOSA"&amp;CHAR(10)&amp;IF(G218&lt;&gt;"","Medicamentos de uso prévio: "&amp;G218&amp;".","Sem medicamentos de uso prévio relatados.")&amp;CHAR(10)&amp;IF(H218&lt;&gt;"","Histórico de alergia/RAM: "&amp;H218&amp;".","Nega alergias/RAM conhecidas.")</f>
      </c>
      <c r="AF218" s="4">
        <f>AE218&amp;CHAR(10)&amp;CHAR(10)&amp;"1. Evolução Clínica"&amp;CHAR(10)&amp;TEXTJOIN(" ",TRUE,"Paciente "&amp;I218&amp;", "&amp;IF(J218="","sem DVA","em uso de "&amp;J218)&amp;".",IF(K218&lt;&gt;"","Em "&amp;K218&amp;IF(L218&lt;&gt;""," ("&amp;L218&amp;")","")&amp;IF(M218&lt;&gt;"", ", "&amp;M218,"")&amp;IF(N218&lt;&gt;"", ", sob analgosedação com "&amp;N218,"")&amp;".",""),IF(O218&lt;&gt;"",O218&amp;IF(P218&lt;&gt;"", ", com "&amp;LOWER(P218),"")&amp;IF(Q218&lt;&gt;"", " — "&amp;Q218,"")&amp;".",""),IF(R218="Febre","Apresentou episódio febril nas últimas 24h"&amp;IF(S218&lt;&gt;""," ("&amp;S218&amp;")","")&amp;".",IF(R218="Afebril","Encontra-se afebril.","")),IF(T218&lt;&gt;"",IF(U218="Sim","Apresenta disfunção renal aguda ","Função renal preservada ")&amp;"("&amp;T218&amp;").",""),IF(V218&lt;&gt;"","Em uso do esquema antimicrobiano com "&amp;V218&amp;".",""),IF(TEXTJOIN(", ",TRUE,IF(W218&lt;&gt;"","TEV ("&amp;W218&amp;")",""),IF(X218&lt;&gt;"","LAMG ("&amp;X218&amp;")",""),IF(Y218&lt;&gt;"","úlcera de córnea com "&amp;Y218,""))&lt;&gt;"","Em uso de profilaxia: "&amp;TEXTJOIN(", ",TRUE,IF(W218&lt;&gt;"","TEV ("&amp;W218&amp;")",""),IF(X218&lt;&gt;"","LAMG ("&amp;X218&amp;")",""),IF(Y218&lt;&gt;"","úlcera de córnea com "&amp;Y218,""))&amp;".",""))&amp;CHAR(10)&amp;CHAR(10)&amp;"2. Farmacoterapia"&amp;CHAR(10)&amp;IF(Z218&lt;&gt;"","Corticoide/DART: "&amp;Z218,"Sem corticoide/DART registrado.")&amp;CHAR(10)&amp;CHAR(10)&amp;"3. Conduta Farmacêutica"&amp;CHAR(10)&amp;IF(TEXTJOIN(CHAR(10),TRUE,AB218,AC218,AD218)="","Nenhuma intervenção registrada hoje.",TEXTJOIN(CHAR(10),TRUE,AB218,AC218,AD218))&amp;CHAR(10)&amp;CHAR(10)&amp;"4. Plano Terapêutico"&amp;CHAR(10)&amp;IF(AA218&lt;&gt;"",AA218,"Não definido.")</f>
      </c>
    </row>
    <row r="219" spans="1:32" x14ac:dyDescent="0.25">
      <c r="A219" s="4"/>
      <c r="B219" s="6">
        <f>IFERROR(INDEX(Pacientes!$A:$A,MATCH($A219,Pacientes!$B:$B,0)),"")</f>
      </c>
      <c r="C219" s="6">
        <f>IFERROR(INDEX(Pacientes!$C:$C,MATCH($A219,Pacientes!$B:$B,0)),"")</f>
      </c>
      <c r="D219" s="6">
        <f>IFERROR(INDEX(Pacientes!$D:$D,MATCH($A219,Pacientes!$B:$B,0)),"")</f>
      </c>
      <c r="E219" s="6">
        <f>IFERROR(INDEX(Pacientes!$E:$E,MATCH($A219,Pacientes!$B:$B,0)),"")</f>
      </c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>
        <f>IFERROR(INDEX(Intervenções!$K$2:$K$300,AGGREGATE(15,6,(ROW(Intervenções!$K$2:$K$300)-ROW(Intervenções!$K$2)+1)/((Intervenções!$B$2:$B$300=A219)*(Intervenções!$A$2:$A$300=F219)*(Intervenções!$K$2:$K$300&lt;&gt;"")),1)),"")</f>
      </c>
      <c r="AC219" s="4">
        <f>IFERROR(INDEX(Intervenções!$K$2:$K$300,AGGREGATE(15,6,(ROW(Intervenções!$K$2:$K$300)-ROW(Intervenções!$K$2)+1)/((Intervenções!$B$2:$B$300=A219)*(Intervenções!$A$2:$A$300=F219)*(Intervenções!$K$2:$K$300&lt;&gt;"")),2)),"")</f>
      </c>
      <c r="AD219" s="4">
        <f>IFERROR(INDEX(Intervenções!$K$2:$K$300,AGGREGATE(15,6,(ROW(Intervenções!$K$2:$K$300)-ROW(Intervenções!$K$2)+1)/((Intervenções!$B$2:$B$300=A219)*(Intervenções!$A$2:$A$300=F219)*(Intervenções!$K$2:$K$300&lt;&gt;"")),3)),"")</f>
      </c>
      <c r="AE219" s="4">
        <f>"RECONCILIAÇÃO MEDICAMENTOSA"&amp;CHAR(10)&amp;IF(G219&lt;&gt;"","Medicamentos de uso prévio: "&amp;G219&amp;".","Sem medicamentos de uso prévio relatados.")&amp;CHAR(10)&amp;IF(H219&lt;&gt;"","Histórico de alergia/RAM: "&amp;H219&amp;".","Nega alergias/RAM conhecidas.")</f>
      </c>
      <c r="AF219" s="4">
        <f>AE219&amp;CHAR(10)&amp;CHAR(10)&amp;"1. Evolução Clínica"&amp;CHAR(10)&amp;TEXTJOIN(" ",TRUE,"Paciente "&amp;I219&amp;", "&amp;IF(J219="","sem DVA","em uso de "&amp;J219)&amp;".",IF(K219&lt;&gt;"","Em "&amp;K219&amp;IF(L219&lt;&gt;""," ("&amp;L219&amp;")","")&amp;IF(M219&lt;&gt;"", ", "&amp;M219,"")&amp;IF(N219&lt;&gt;"", ", sob analgosedação com "&amp;N219,"")&amp;".",""),IF(O219&lt;&gt;"",O219&amp;IF(P219&lt;&gt;"", ", com "&amp;LOWER(P219),"")&amp;IF(Q219&lt;&gt;"", " — "&amp;Q219,"")&amp;".",""),IF(R219="Febre","Apresentou episódio febril nas últimas 24h"&amp;IF(S219&lt;&gt;""," ("&amp;S219&amp;")","")&amp;".",IF(R219="Afebril","Encontra-se afebril.","")),IF(T219&lt;&gt;"",IF(U219="Sim","Apresenta disfunção renal aguda ","Função renal preservada ")&amp;"("&amp;T219&amp;").",""),IF(V219&lt;&gt;"","Em uso do esquema antimicrobiano com "&amp;V219&amp;".",""),IF(TEXTJOIN(", ",TRUE,IF(W219&lt;&gt;"","TEV ("&amp;W219&amp;")",""),IF(X219&lt;&gt;"","LAMG ("&amp;X219&amp;")",""),IF(Y219&lt;&gt;"","úlcera de córnea com "&amp;Y219,""))&lt;&gt;"","Em uso de profilaxia: "&amp;TEXTJOIN(", ",TRUE,IF(W219&lt;&gt;"","TEV ("&amp;W219&amp;")",""),IF(X219&lt;&gt;"","LAMG ("&amp;X219&amp;")",""),IF(Y219&lt;&gt;"","úlcera de córnea com "&amp;Y219,""))&amp;".",""))&amp;CHAR(10)&amp;CHAR(10)&amp;"2. Farmacoterapia"&amp;CHAR(10)&amp;IF(Z219&lt;&gt;"","Corticoide/DART: "&amp;Z219,"Sem corticoide/DART registrado.")&amp;CHAR(10)&amp;CHAR(10)&amp;"3. Conduta Farmacêutica"&amp;CHAR(10)&amp;IF(TEXTJOIN(CHAR(10),TRUE,AB219,AC219,AD219)="","Nenhuma intervenção registrada hoje.",TEXTJOIN(CHAR(10),TRUE,AB219,AC219,AD219))&amp;CHAR(10)&amp;CHAR(10)&amp;"4. Plano Terapêutico"&amp;CHAR(10)&amp;IF(AA219&lt;&gt;"",AA219,"Não definido.")</f>
      </c>
    </row>
    <row r="220" spans="1:32" x14ac:dyDescent="0.25">
      <c r="A220" s="4"/>
      <c r="B220" s="6">
        <f>IFERROR(INDEX(Pacientes!$A:$A,MATCH($A220,Pacientes!$B:$B,0)),"")</f>
      </c>
      <c r="C220" s="6">
        <f>IFERROR(INDEX(Pacientes!$C:$C,MATCH($A220,Pacientes!$B:$B,0)),"")</f>
      </c>
      <c r="D220" s="6">
        <f>IFERROR(INDEX(Pacientes!$D:$D,MATCH($A220,Pacientes!$B:$B,0)),"")</f>
      </c>
      <c r="E220" s="6">
        <f>IFERROR(INDEX(Pacientes!$E:$E,MATCH($A220,Pacientes!$B:$B,0)),"")</f>
      </c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>
        <f>IFERROR(INDEX(Intervenções!$K$2:$K$300,AGGREGATE(15,6,(ROW(Intervenções!$K$2:$K$300)-ROW(Intervenções!$K$2)+1)/((Intervenções!$B$2:$B$300=A220)*(Intervenções!$A$2:$A$300=F220)*(Intervenções!$K$2:$K$300&lt;&gt;"")),1)),"")</f>
      </c>
      <c r="AC220" s="4">
        <f>IFERROR(INDEX(Intervenções!$K$2:$K$300,AGGREGATE(15,6,(ROW(Intervenções!$K$2:$K$300)-ROW(Intervenções!$K$2)+1)/((Intervenções!$B$2:$B$300=A220)*(Intervenções!$A$2:$A$300=F220)*(Intervenções!$K$2:$K$300&lt;&gt;"")),2)),"")</f>
      </c>
      <c r="AD220" s="4">
        <f>IFERROR(INDEX(Intervenções!$K$2:$K$300,AGGREGATE(15,6,(ROW(Intervenções!$K$2:$K$300)-ROW(Intervenções!$K$2)+1)/((Intervenções!$B$2:$B$300=A220)*(Intervenções!$A$2:$A$300=F220)*(Intervenções!$K$2:$K$300&lt;&gt;"")),3)),"")</f>
      </c>
      <c r="AE220" s="4">
        <f>"RECONCILIAÇÃO MEDICAMENTOSA"&amp;CHAR(10)&amp;IF(G220&lt;&gt;"","Medicamentos de uso prévio: "&amp;G220&amp;".","Sem medicamentos de uso prévio relatados.")&amp;CHAR(10)&amp;IF(H220&lt;&gt;"","Histórico de alergia/RAM: "&amp;H220&amp;".","Nega alergias/RAM conhecidas.")</f>
      </c>
      <c r="AF220" s="4">
        <f>AE220&amp;CHAR(10)&amp;CHAR(10)&amp;"1. Evolução Clínica"&amp;CHAR(10)&amp;TEXTJOIN(" ",TRUE,"Paciente "&amp;I220&amp;", "&amp;IF(J220="","sem DVA","em uso de "&amp;J220)&amp;".",IF(K220&lt;&gt;"","Em "&amp;K220&amp;IF(L220&lt;&gt;""," ("&amp;L220&amp;")","")&amp;IF(M220&lt;&gt;"", ", "&amp;M220,"")&amp;IF(N220&lt;&gt;"", ", sob analgosedação com "&amp;N220,"")&amp;".",""),IF(O220&lt;&gt;"",O220&amp;IF(P220&lt;&gt;"", ", com "&amp;LOWER(P220),"")&amp;IF(Q220&lt;&gt;"", " — "&amp;Q220,"")&amp;".",""),IF(R220="Febre","Apresentou episódio febril nas últimas 24h"&amp;IF(S220&lt;&gt;""," ("&amp;S220&amp;")","")&amp;".",IF(R220="Afebril","Encontra-se afebril.","")),IF(T220&lt;&gt;"",IF(U220="Sim","Apresenta disfunção renal aguda ","Função renal preservada ")&amp;"("&amp;T220&amp;").",""),IF(V220&lt;&gt;"","Em uso do esquema antimicrobiano com "&amp;V220&amp;".",""),IF(TEXTJOIN(", ",TRUE,IF(W220&lt;&gt;"","TEV ("&amp;W220&amp;")",""),IF(X220&lt;&gt;"","LAMG ("&amp;X220&amp;")",""),IF(Y220&lt;&gt;"","úlcera de córnea com "&amp;Y220,""))&lt;&gt;"","Em uso de profilaxia: "&amp;TEXTJOIN(", ",TRUE,IF(W220&lt;&gt;"","TEV ("&amp;W220&amp;")",""),IF(X220&lt;&gt;"","LAMG ("&amp;X220&amp;")",""),IF(Y220&lt;&gt;"","úlcera de córnea com "&amp;Y220,""))&amp;".",""))&amp;CHAR(10)&amp;CHAR(10)&amp;"2. Farmacoterapia"&amp;CHAR(10)&amp;IF(Z220&lt;&gt;"","Corticoide/DART: "&amp;Z220,"Sem corticoide/DART registrado.")&amp;CHAR(10)&amp;CHAR(10)&amp;"3. Conduta Farmacêutica"&amp;CHAR(10)&amp;IF(TEXTJOIN(CHAR(10),TRUE,AB220,AC220,AD220)="","Nenhuma intervenção registrada hoje.",TEXTJOIN(CHAR(10),TRUE,AB220,AC220,AD220))&amp;CHAR(10)&amp;CHAR(10)&amp;"4. Plano Terapêutico"&amp;CHAR(10)&amp;IF(AA220&lt;&gt;"",AA220,"Não definido.")</f>
      </c>
    </row>
    <row r="221" spans="1:32" x14ac:dyDescent="0.25">
      <c r="A221" s="4"/>
      <c r="B221" s="6">
        <f>IFERROR(INDEX(Pacientes!$A:$A,MATCH($A221,Pacientes!$B:$B,0)),"")</f>
      </c>
      <c r="C221" s="6">
        <f>IFERROR(INDEX(Pacientes!$C:$C,MATCH($A221,Pacientes!$B:$B,0)),"")</f>
      </c>
      <c r="D221" s="6">
        <f>IFERROR(INDEX(Pacientes!$D:$D,MATCH($A221,Pacientes!$B:$B,0)),"")</f>
      </c>
      <c r="E221" s="6">
        <f>IFERROR(INDEX(Pacientes!$E:$E,MATCH($A221,Pacientes!$B:$B,0)),"")</f>
      </c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>
        <f>IFERROR(INDEX(Intervenções!$K$2:$K$300,AGGREGATE(15,6,(ROW(Intervenções!$K$2:$K$300)-ROW(Intervenções!$K$2)+1)/((Intervenções!$B$2:$B$300=A221)*(Intervenções!$A$2:$A$300=F221)*(Intervenções!$K$2:$K$300&lt;&gt;"")),1)),"")</f>
      </c>
      <c r="AC221" s="4">
        <f>IFERROR(INDEX(Intervenções!$K$2:$K$300,AGGREGATE(15,6,(ROW(Intervenções!$K$2:$K$300)-ROW(Intervenções!$K$2)+1)/((Intervenções!$B$2:$B$300=A221)*(Intervenções!$A$2:$A$300=F221)*(Intervenções!$K$2:$K$300&lt;&gt;"")),2)),"")</f>
      </c>
      <c r="AD221" s="4">
        <f>IFERROR(INDEX(Intervenções!$K$2:$K$300,AGGREGATE(15,6,(ROW(Intervenções!$K$2:$K$300)-ROW(Intervenções!$K$2)+1)/((Intervenções!$B$2:$B$300=A221)*(Intervenções!$A$2:$A$300=F221)*(Intervenções!$K$2:$K$300&lt;&gt;"")),3)),"")</f>
      </c>
      <c r="AE221" s="4">
        <f>"RECONCILIAÇÃO MEDICAMENTOSA"&amp;CHAR(10)&amp;IF(G221&lt;&gt;"","Medicamentos de uso prévio: "&amp;G221&amp;".","Sem medicamentos de uso prévio relatados.")&amp;CHAR(10)&amp;IF(H221&lt;&gt;"","Histórico de alergia/RAM: "&amp;H221&amp;".","Nega alergias/RAM conhecidas.")</f>
      </c>
      <c r="AF221" s="4">
        <f>AE221&amp;CHAR(10)&amp;CHAR(10)&amp;"1. Evolução Clínica"&amp;CHAR(10)&amp;TEXTJOIN(" ",TRUE,"Paciente "&amp;I221&amp;", "&amp;IF(J221="","sem DVA","em uso de "&amp;J221)&amp;".",IF(K221&lt;&gt;"","Em "&amp;K221&amp;IF(L221&lt;&gt;""," ("&amp;L221&amp;")","")&amp;IF(M221&lt;&gt;"", ", "&amp;M221,"")&amp;IF(N221&lt;&gt;"", ", sob analgosedação com "&amp;N221,"")&amp;".",""),IF(O221&lt;&gt;"",O221&amp;IF(P221&lt;&gt;"", ", com "&amp;LOWER(P221),"")&amp;IF(Q221&lt;&gt;"", " — "&amp;Q221,"")&amp;".",""),IF(R221="Febre","Apresentou episódio febril nas últimas 24h"&amp;IF(S221&lt;&gt;""," ("&amp;S221&amp;")","")&amp;".",IF(R221="Afebril","Encontra-se afebril.","")),IF(T221&lt;&gt;"",IF(U221="Sim","Apresenta disfunção renal aguda ","Função renal preservada ")&amp;"("&amp;T221&amp;").",""),IF(V221&lt;&gt;"","Em uso do esquema antimicrobiano com "&amp;V221&amp;".",""),IF(TEXTJOIN(", ",TRUE,IF(W221&lt;&gt;"","TEV ("&amp;W221&amp;")",""),IF(X221&lt;&gt;"","LAMG ("&amp;X221&amp;")",""),IF(Y221&lt;&gt;"","úlcera de córnea com "&amp;Y221,""))&lt;&gt;"","Em uso de profilaxia: "&amp;TEXTJOIN(", ",TRUE,IF(W221&lt;&gt;"","TEV ("&amp;W221&amp;")",""),IF(X221&lt;&gt;"","LAMG ("&amp;X221&amp;")",""),IF(Y221&lt;&gt;"","úlcera de córnea com "&amp;Y221,""))&amp;".",""))&amp;CHAR(10)&amp;CHAR(10)&amp;"2. Farmacoterapia"&amp;CHAR(10)&amp;IF(Z221&lt;&gt;"","Corticoide/DART: "&amp;Z221,"Sem corticoide/DART registrado.")&amp;CHAR(10)&amp;CHAR(10)&amp;"3. Conduta Farmacêutica"&amp;CHAR(10)&amp;IF(TEXTJOIN(CHAR(10),TRUE,AB221,AC221,AD221)="","Nenhuma intervenção registrada hoje.",TEXTJOIN(CHAR(10),TRUE,AB221,AC221,AD221))&amp;CHAR(10)&amp;CHAR(10)&amp;"4. Plano Terapêutico"&amp;CHAR(10)&amp;IF(AA221&lt;&gt;"",AA221,"Não definido.")</f>
      </c>
    </row>
    <row r="222" spans="1:32" x14ac:dyDescent="0.25">
      <c r="A222" s="4"/>
      <c r="B222" s="6">
        <f>IFERROR(INDEX(Pacientes!$A:$A,MATCH($A222,Pacientes!$B:$B,0)),"")</f>
      </c>
      <c r="C222" s="6">
        <f>IFERROR(INDEX(Pacientes!$C:$C,MATCH($A222,Pacientes!$B:$B,0)),"")</f>
      </c>
      <c r="D222" s="6">
        <f>IFERROR(INDEX(Pacientes!$D:$D,MATCH($A222,Pacientes!$B:$B,0)),"")</f>
      </c>
      <c r="E222" s="6">
        <f>IFERROR(INDEX(Pacientes!$E:$E,MATCH($A222,Pacientes!$B:$B,0)),"")</f>
      </c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>
        <f>IFERROR(INDEX(Intervenções!$K$2:$K$300,AGGREGATE(15,6,(ROW(Intervenções!$K$2:$K$300)-ROW(Intervenções!$K$2)+1)/((Intervenções!$B$2:$B$300=A222)*(Intervenções!$A$2:$A$300=F222)*(Intervenções!$K$2:$K$300&lt;&gt;"")),1)),"")</f>
      </c>
      <c r="AC222" s="4">
        <f>IFERROR(INDEX(Intervenções!$K$2:$K$300,AGGREGATE(15,6,(ROW(Intervenções!$K$2:$K$300)-ROW(Intervenções!$K$2)+1)/((Intervenções!$B$2:$B$300=A222)*(Intervenções!$A$2:$A$300=F222)*(Intervenções!$K$2:$K$300&lt;&gt;"")),2)),"")</f>
      </c>
      <c r="AD222" s="4">
        <f>IFERROR(INDEX(Intervenções!$K$2:$K$300,AGGREGATE(15,6,(ROW(Intervenções!$K$2:$K$300)-ROW(Intervenções!$K$2)+1)/((Intervenções!$B$2:$B$300=A222)*(Intervenções!$A$2:$A$300=F222)*(Intervenções!$K$2:$K$300&lt;&gt;"")),3)),"")</f>
      </c>
      <c r="AE222" s="4">
        <f>"RECONCILIAÇÃO MEDICAMENTOSA"&amp;CHAR(10)&amp;IF(G222&lt;&gt;"","Medicamentos de uso prévio: "&amp;G222&amp;".","Sem medicamentos de uso prévio relatados.")&amp;CHAR(10)&amp;IF(H222&lt;&gt;"","Histórico de alergia/RAM: "&amp;H222&amp;".","Nega alergias/RAM conhecidas.")</f>
      </c>
      <c r="AF222" s="4">
        <f>AE222&amp;CHAR(10)&amp;CHAR(10)&amp;"1. Evolução Clínica"&amp;CHAR(10)&amp;TEXTJOIN(" ",TRUE,"Paciente "&amp;I222&amp;", "&amp;IF(J222="","sem DVA","em uso de "&amp;J222)&amp;".",IF(K222&lt;&gt;"","Em "&amp;K222&amp;IF(L222&lt;&gt;""," ("&amp;L222&amp;")","")&amp;IF(M222&lt;&gt;"", ", "&amp;M222,"")&amp;IF(N222&lt;&gt;"", ", sob analgosedação com "&amp;N222,"")&amp;".",""),IF(O222&lt;&gt;"",O222&amp;IF(P222&lt;&gt;"", ", com "&amp;LOWER(P222),"")&amp;IF(Q222&lt;&gt;"", " — "&amp;Q222,"")&amp;".",""),IF(R222="Febre","Apresentou episódio febril nas últimas 24h"&amp;IF(S222&lt;&gt;""," ("&amp;S222&amp;")","")&amp;".",IF(R222="Afebril","Encontra-se afebril.","")),IF(T222&lt;&gt;"",IF(U222="Sim","Apresenta disfunção renal aguda ","Função renal preservada ")&amp;"("&amp;T222&amp;").",""),IF(V222&lt;&gt;"","Em uso do esquema antimicrobiano com "&amp;V222&amp;".",""),IF(TEXTJOIN(", ",TRUE,IF(W222&lt;&gt;"","TEV ("&amp;W222&amp;")",""),IF(X222&lt;&gt;"","LAMG ("&amp;X222&amp;")",""),IF(Y222&lt;&gt;"","úlcera de córnea com "&amp;Y222,""))&lt;&gt;"","Em uso de profilaxia: "&amp;TEXTJOIN(", ",TRUE,IF(W222&lt;&gt;"","TEV ("&amp;W222&amp;")",""),IF(X222&lt;&gt;"","LAMG ("&amp;X222&amp;")",""),IF(Y222&lt;&gt;"","úlcera de córnea com "&amp;Y222,""))&amp;".",""))&amp;CHAR(10)&amp;CHAR(10)&amp;"2. Farmacoterapia"&amp;CHAR(10)&amp;IF(Z222&lt;&gt;"","Corticoide/DART: "&amp;Z222,"Sem corticoide/DART registrado.")&amp;CHAR(10)&amp;CHAR(10)&amp;"3. Conduta Farmacêutica"&amp;CHAR(10)&amp;IF(TEXTJOIN(CHAR(10),TRUE,AB222,AC222,AD222)="","Nenhuma intervenção registrada hoje.",TEXTJOIN(CHAR(10),TRUE,AB222,AC222,AD222))&amp;CHAR(10)&amp;CHAR(10)&amp;"4. Plano Terapêutico"&amp;CHAR(10)&amp;IF(AA222&lt;&gt;"",AA222,"Não definido.")</f>
      </c>
    </row>
    <row r="223" spans="1:32" x14ac:dyDescent="0.25">
      <c r="A223" s="4"/>
      <c r="B223" s="6">
        <f>IFERROR(INDEX(Pacientes!$A:$A,MATCH($A223,Pacientes!$B:$B,0)),"")</f>
      </c>
      <c r="C223" s="6">
        <f>IFERROR(INDEX(Pacientes!$C:$C,MATCH($A223,Pacientes!$B:$B,0)),"")</f>
      </c>
      <c r="D223" s="6">
        <f>IFERROR(INDEX(Pacientes!$D:$D,MATCH($A223,Pacientes!$B:$B,0)),"")</f>
      </c>
      <c r="E223" s="6">
        <f>IFERROR(INDEX(Pacientes!$E:$E,MATCH($A223,Pacientes!$B:$B,0)),"")</f>
      </c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>
        <f>IFERROR(INDEX(Intervenções!$K$2:$K$300,AGGREGATE(15,6,(ROW(Intervenções!$K$2:$K$300)-ROW(Intervenções!$K$2)+1)/((Intervenções!$B$2:$B$300=A223)*(Intervenções!$A$2:$A$300=F223)*(Intervenções!$K$2:$K$300&lt;&gt;"")),1)),"")</f>
      </c>
      <c r="AC223" s="4">
        <f>IFERROR(INDEX(Intervenções!$K$2:$K$300,AGGREGATE(15,6,(ROW(Intervenções!$K$2:$K$300)-ROW(Intervenções!$K$2)+1)/((Intervenções!$B$2:$B$300=A223)*(Intervenções!$A$2:$A$300=F223)*(Intervenções!$K$2:$K$300&lt;&gt;"")),2)),"")</f>
      </c>
      <c r="AD223" s="4">
        <f>IFERROR(INDEX(Intervenções!$K$2:$K$300,AGGREGATE(15,6,(ROW(Intervenções!$K$2:$K$300)-ROW(Intervenções!$K$2)+1)/((Intervenções!$B$2:$B$300=A223)*(Intervenções!$A$2:$A$300=F223)*(Intervenções!$K$2:$K$300&lt;&gt;"")),3)),"")</f>
      </c>
      <c r="AE223" s="4">
        <f>"RECONCILIAÇÃO MEDICAMENTOSA"&amp;CHAR(10)&amp;IF(G223&lt;&gt;"","Medicamentos de uso prévio: "&amp;G223&amp;".","Sem medicamentos de uso prévio relatados.")&amp;CHAR(10)&amp;IF(H223&lt;&gt;"","Histórico de alergia/RAM: "&amp;H223&amp;".","Nega alergias/RAM conhecidas.")</f>
      </c>
      <c r="AF223" s="4">
        <f>AE223&amp;CHAR(10)&amp;CHAR(10)&amp;"1. Evolução Clínica"&amp;CHAR(10)&amp;TEXTJOIN(" ",TRUE,"Paciente "&amp;I223&amp;", "&amp;IF(J223="","sem DVA","em uso de "&amp;J223)&amp;".",IF(K223&lt;&gt;"","Em "&amp;K223&amp;IF(L223&lt;&gt;""," ("&amp;L223&amp;")","")&amp;IF(M223&lt;&gt;"", ", "&amp;M223,"")&amp;IF(N223&lt;&gt;"", ", sob analgosedação com "&amp;N223,"")&amp;".",""),IF(O223&lt;&gt;"",O223&amp;IF(P223&lt;&gt;"", ", com "&amp;LOWER(P223),"")&amp;IF(Q223&lt;&gt;"", " — "&amp;Q223,"")&amp;".",""),IF(R223="Febre","Apresentou episódio febril nas últimas 24h"&amp;IF(S223&lt;&gt;""," ("&amp;S223&amp;")","")&amp;".",IF(R223="Afebril","Encontra-se afebril.","")),IF(T223&lt;&gt;"",IF(U223="Sim","Apresenta disfunção renal aguda ","Função renal preservada ")&amp;"("&amp;T223&amp;").",""),IF(V223&lt;&gt;"","Em uso do esquema antimicrobiano com "&amp;V223&amp;".",""),IF(TEXTJOIN(", ",TRUE,IF(W223&lt;&gt;"","TEV ("&amp;W223&amp;")",""),IF(X223&lt;&gt;"","LAMG ("&amp;X223&amp;")",""),IF(Y223&lt;&gt;"","úlcera de córnea com "&amp;Y223,""))&lt;&gt;"","Em uso de profilaxia: "&amp;TEXTJOIN(", ",TRUE,IF(W223&lt;&gt;"","TEV ("&amp;W223&amp;")",""),IF(X223&lt;&gt;"","LAMG ("&amp;X223&amp;")",""),IF(Y223&lt;&gt;"","úlcera de córnea com "&amp;Y223,""))&amp;".",""))&amp;CHAR(10)&amp;CHAR(10)&amp;"2. Farmacoterapia"&amp;CHAR(10)&amp;IF(Z223&lt;&gt;"","Corticoide/DART: "&amp;Z223,"Sem corticoide/DART registrado.")&amp;CHAR(10)&amp;CHAR(10)&amp;"3. Conduta Farmacêutica"&amp;CHAR(10)&amp;IF(TEXTJOIN(CHAR(10),TRUE,AB223,AC223,AD223)="","Nenhuma intervenção registrada hoje.",TEXTJOIN(CHAR(10),TRUE,AB223,AC223,AD223))&amp;CHAR(10)&amp;CHAR(10)&amp;"4. Plano Terapêutico"&amp;CHAR(10)&amp;IF(AA223&lt;&gt;"",AA223,"Não definido.")</f>
      </c>
    </row>
    <row r="224" spans="1:32" x14ac:dyDescent="0.25">
      <c r="A224" s="4"/>
      <c r="B224" s="6">
        <f>IFERROR(INDEX(Pacientes!$A:$A,MATCH($A224,Pacientes!$B:$B,0)),"")</f>
      </c>
      <c r="C224" s="6">
        <f>IFERROR(INDEX(Pacientes!$C:$C,MATCH($A224,Pacientes!$B:$B,0)),"")</f>
      </c>
      <c r="D224" s="6">
        <f>IFERROR(INDEX(Pacientes!$D:$D,MATCH($A224,Pacientes!$B:$B,0)),"")</f>
      </c>
      <c r="E224" s="6">
        <f>IFERROR(INDEX(Pacientes!$E:$E,MATCH($A224,Pacientes!$B:$B,0)),"")</f>
      </c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>
        <f>IFERROR(INDEX(Intervenções!$K$2:$K$300,AGGREGATE(15,6,(ROW(Intervenções!$K$2:$K$300)-ROW(Intervenções!$K$2)+1)/((Intervenções!$B$2:$B$300=A224)*(Intervenções!$A$2:$A$300=F224)*(Intervenções!$K$2:$K$300&lt;&gt;"")),1)),"")</f>
      </c>
      <c r="AC224" s="4">
        <f>IFERROR(INDEX(Intervenções!$K$2:$K$300,AGGREGATE(15,6,(ROW(Intervenções!$K$2:$K$300)-ROW(Intervenções!$K$2)+1)/((Intervenções!$B$2:$B$300=A224)*(Intervenções!$A$2:$A$300=F224)*(Intervenções!$K$2:$K$300&lt;&gt;"")),2)),"")</f>
      </c>
      <c r="AD224" s="4">
        <f>IFERROR(INDEX(Intervenções!$K$2:$K$300,AGGREGATE(15,6,(ROW(Intervenções!$K$2:$K$300)-ROW(Intervenções!$K$2)+1)/((Intervenções!$B$2:$B$300=A224)*(Intervenções!$A$2:$A$300=F224)*(Intervenções!$K$2:$K$300&lt;&gt;"")),3)),"")</f>
      </c>
      <c r="AE224" s="4">
        <f>"RECONCILIAÇÃO MEDICAMENTOSA"&amp;CHAR(10)&amp;IF(G224&lt;&gt;"","Medicamentos de uso prévio: "&amp;G224&amp;".","Sem medicamentos de uso prévio relatados.")&amp;CHAR(10)&amp;IF(H224&lt;&gt;"","Histórico de alergia/RAM: "&amp;H224&amp;".","Nega alergias/RAM conhecidas.")</f>
      </c>
      <c r="AF224" s="4">
        <f>AE224&amp;CHAR(10)&amp;CHAR(10)&amp;"1. Evolução Clínica"&amp;CHAR(10)&amp;TEXTJOIN(" ",TRUE,"Paciente "&amp;I224&amp;", "&amp;IF(J224="","sem DVA","em uso de "&amp;J224)&amp;".",IF(K224&lt;&gt;"","Em "&amp;K224&amp;IF(L224&lt;&gt;""," ("&amp;L224&amp;")","")&amp;IF(M224&lt;&gt;"", ", "&amp;M224,"")&amp;IF(N224&lt;&gt;"", ", sob analgosedação com "&amp;N224,"")&amp;".",""),IF(O224&lt;&gt;"",O224&amp;IF(P224&lt;&gt;"", ", com "&amp;LOWER(P224),"")&amp;IF(Q224&lt;&gt;"", " — "&amp;Q224,"")&amp;".",""),IF(R224="Febre","Apresentou episódio febril nas últimas 24h"&amp;IF(S224&lt;&gt;""," ("&amp;S224&amp;")","")&amp;".",IF(R224="Afebril","Encontra-se afebril.","")),IF(T224&lt;&gt;"",IF(U224="Sim","Apresenta disfunção renal aguda ","Função renal preservada ")&amp;"("&amp;T224&amp;").",""),IF(V224&lt;&gt;"","Em uso do esquema antimicrobiano com "&amp;V224&amp;".",""),IF(TEXTJOIN(", ",TRUE,IF(W224&lt;&gt;"","TEV ("&amp;W224&amp;")",""),IF(X224&lt;&gt;"","LAMG ("&amp;X224&amp;")",""),IF(Y224&lt;&gt;"","úlcera de córnea com "&amp;Y224,""))&lt;&gt;"","Em uso de profilaxia: "&amp;TEXTJOIN(", ",TRUE,IF(W224&lt;&gt;"","TEV ("&amp;W224&amp;")",""),IF(X224&lt;&gt;"","LAMG ("&amp;X224&amp;")",""),IF(Y224&lt;&gt;"","úlcera de córnea com "&amp;Y224,""))&amp;".",""))&amp;CHAR(10)&amp;CHAR(10)&amp;"2. Farmacoterapia"&amp;CHAR(10)&amp;IF(Z224&lt;&gt;"","Corticoide/DART: "&amp;Z224,"Sem corticoide/DART registrado.")&amp;CHAR(10)&amp;CHAR(10)&amp;"3. Conduta Farmacêutica"&amp;CHAR(10)&amp;IF(TEXTJOIN(CHAR(10),TRUE,AB224,AC224,AD224)="","Nenhuma intervenção registrada hoje.",TEXTJOIN(CHAR(10),TRUE,AB224,AC224,AD224))&amp;CHAR(10)&amp;CHAR(10)&amp;"4. Plano Terapêutico"&amp;CHAR(10)&amp;IF(AA224&lt;&gt;"",AA224,"Não definido.")</f>
      </c>
    </row>
    <row r="225" spans="1:32" x14ac:dyDescent="0.25">
      <c r="A225" s="4"/>
      <c r="B225" s="6">
        <f>IFERROR(INDEX(Pacientes!$A:$A,MATCH($A225,Pacientes!$B:$B,0)),"")</f>
      </c>
      <c r="C225" s="6">
        <f>IFERROR(INDEX(Pacientes!$C:$C,MATCH($A225,Pacientes!$B:$B,0)),"")</f>
      </c>
      <c r="D225" s="6">
        <f>IFERROR(INDEX(Pacientes!$D:$D,MATCH($A225,Pacientes!$B:$B,0)),"")</f>
      </c>
      <c r="E225" s="6">
        <f>IFERROR(INDEX(Pacientes!$E:$E,MATCH($A225,Pacientes!$B:$B,0)),"")</f>
      </c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>
        <f>IFERROR(INDEX(Intervenções!$K$2:$K$300,AGGREGATE(15,6,(ROW(Intervenções!$K$2:$K$300)-ROW(Intervenções!$K$2)+1)/((Intervenções!$B$2:$B$300=A225)*(Intervenções!$A$2:$A$300=F225)*(Intervenções!$K$2:$K$300&lt;&gt;"")),1)),"")</f>
      </c>
      <c r="AC225" s="4">
        <f>IFERROR(INDEX(Intervenções!$K$2:$K$300,AGGREGATE(15,6,(ROW(Intervenções!$K$2:$K$300)-ROW(Intervenções!$K$2)+1)/((Intervenções!$B$2:$B$300=A225)*(Intervenções!$A$2:$A$300=F225)*(Intervenções!$K$2:$K$300&lt;&gt;"")),2)),"")</f>
      </c>
      <c r="AD225" s="4">
        <f>IFERROR(INDEX(Intervenções!$K$2:$K$300,AGGREGATE(15,6,(ROW(Intervenções!$K$2:$K$300)-ROW(Intervenções!$K$2)+1)/((Intervenções!$B$2:$B$300=A225)*(Intervenções!$A$2:$A$300=F225)*(Intervenções!$K$2:$K$300&lt;&gt;"")),3)),"")</f>
      </c>
      <c r="AE225" s="4">
        <f>"RECONCILIAÇÃO MEDICAMENTOSA"&amp;CHAR(10)&amp;IF(G225&lt;&gt;"","Medicamentos de uso prévio: "&amp;G225&amp;".","Sem medicamentos de uso prévio relatados.")&amp;CHAR(10)&amp;IF(H225&lt;&gt;"","Histórico de alergia/RAM: "&amp;H225&amp;".","Nega alergias/RAM conhecidas.")</f>
      </c>
      <c r="AF225" s="4">
        <f>AE225&amp;CHAR(10)&amp;CHAR(10)&amp;"1. Evolução Clínica"&amp;CHAR(10)&amp;TEXTJOIN(" ",TRUE,"Paciente "&amp;I225&amp;", "&amp;IF(J225="","sem DVA","em uso de "&amp;J225)&amp;".",IF(K225&lt;&gt;"","Em "&amp;K225&amp;IF(L225&lt;&gt;""," ("&amp;L225&amp;")","")&amp;IF(M225&lt;&gt;"", ", "&amp;M225,"")&amp;IF(N225&lt;&gt;"", ", sob analgosedação com "&amp;N225,"")&amp;".",""),IF(O225&lt;&gt;"",O225&amp;IF(P225&lt;&gt;"", ", com "&amp;LOWER(P225),"")&amp;IF(Q225&lt;&gt;"", " — "&amp;Q225,"")&amp;".",""),IF(R225="Febre","Apresentou episódio febril nas últimas 24h"&amp;IF(S225&lt;&gt;""," ("&amp;S225&amp;")","")&amp;".",IF(R225="Afebril","Encontra-se afebril.","")),IF(T225&lt;&gt;"",IF(U225="Sim","Apresenta disfunção renal aguda ","Função renal preservada ")&amp;"("&amp;T225&amp;").",""),IF(V225&lt;&gt;"","Em uso do esquema antimicrobiano com "&amp;V225&amp;".",""),IF(TEXTJOIN(", ",TRUE,IF(W225&lt;&gt;"","TEV ("&amp;W225&amp;")",""),IF(X225&lt;&gt;"","LAMG ("&amp;X225&amp;")",""),IF(Y225&lt;&gt;"","úlcera de córnea com "&amp;Y225,""))&lt;&gt;"","Em uso de profilaxia: "&amp;TEXTJOIN(", ",TRUE,IF(W225&lt;&gt;"","TEV ("&amp;W225&amp;")",""),IF(X225&lt;&gt;"","LAMG ("&amp;X225&amp;")",""),IF(Y225&lt;&gt;"","úlcera de córnea com "&amp;Y225,""))&amp;".",""))&amp;CHAR(10)&amp;CHAR(10)&amp;"2. Farmacoterapia"&amp;CHAR(10)&amp;IF(Z225&lt;&gt;"","Corticoide/DART: "&amp;Z225,"Sem corticoide/DART registrado.")&amp;CHAR(10)&amp;CHAR(10)&amp;"3. Conduta Farmacêutica"&amp;CHAR(10)&amp;IF(TEXTJOIN(CHAR(10),TRUE,AB225,AC225,AD225)="","Nenhuma intervenção registrada hoje.",TEXTJOIN(CHAR(10),TRUE,AB225,AC225,AD225))&amp;CHAR(10)&amp;CHAR(10)&amp;"4. Plano Terapêutico"&amp;CHAR(10)&amp;IF(AA225&lt;&gt;"",AA225,"Não definido.")</f>
      </c>
    </row>
    <row r="226" spans="1:32" x14ac:dyDescent="0.25">
      <c r="A226" s="4"/>
      <c r="B226" s="6">
        <f>IFERROR(INDEX(Pacientes!$A:$A,MATCH($A226,Pacientes!$B:$B,0)),"")</f>
      </c>
      <c r="C226" s="6">
        <f>IFERROR(INDEX(Pacientes!$C:$C,MATCH($A226,Pacientes!$B:$B,0)),"")</f>
      </c>
      <c r="D226" s="6">
        <f>IFERROR(INDEX(Pacientes!$D:$D,MATCH($A226,Pacientes!$B:$B,0)),"")</f>
      </c>
      <c r="E226" s="6">
        <f>IFERROR(INDEX(Pacientes!$E:$E,MATCH($A226,Pacientes!$B:$B,0)),"")</f>
      </c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>
        <f>IFERROR(INDEX(Intervenções!$K$2:$K$300,AGGREGATE(15,6,(ROW(Intervenções!$K$2:$K$300)-ROW(Intervenções!$K$2)+1)/((Intervenções!$B$2:$B$300=A226)*(Intervenções!$A$2:$A$300=F226)*(Intervenções!$K$2:$K$300&lt;&gt;"")),1)),"")</f>
      </c>
      <c r="AC226" s="4">
        <f>IFERROR(INDEX(Intervenções!$K$2:$K$300,AGGREGATE(15,6,(ROW(Intervenções!$K$2:$K$300)-ROW(Intervenções!$K$2)+1)/((Intervenções!$B$2:$B$300=A226)*(Intervenções!$A$2:$A$300=F226)*(Intervenções!$K$2:$K$300&lt;&gt;"")),2)),"")</f>
      </c>
      <c r="AD226" s="4">
        <f>IFERROR(INDEX(Intervenções!$K$2:$K$300,AGGREGATE(15,6,(ROW(Intervenções!$K$2:$K$300)-ROW(Intervenções!$K$2)+1)/((Intervenções!$B$2:$B$300=A226)*(Intervenções!$A$2:$A$300=F226)*(Intervenções!$K$2:$K$300&lt;&gt;"")),3)),"")</f>
      </c>
      <c r="AE226" s="4">
        <f>"RECONCILIAÇÃO MEDICAMENTOSA"&amp;CHAR(10)&amp;IF(G226&lt;&gt;"","Medicamentos de uso prévio: "&amp;G226&amp;".","Sem medicamentos de uso prévio relatados.")&amp;CHAR(10)&amp;IF(H226&lt;&gt;"","Histórico de alergia/RAM: "&amp;H226&amp;".","Nega alergias/RAM conhecidas.")</f>
      </c>
      <c r="AF226" s="4">
        <f>AE226&amp;CHAR(10)&amp;CHAR(10)&amp;"1. Evolução Clínica"&amp;CHAR(10)&amp;TEXTJOIN(" ",TRUE,"Paciente "&amp;I226&amp;", "&amp;IF(J226="","sem DVA","em uso de "&amp;J226)&amp;".",IF(K226&lt;&gt;"","Em "&amp;K226&amp;IF(L226&lt;&gt;""," ("&amp;L226&amp;")","")&amp;IF(M226&lt;&gt;"", ", "&amp;M226,"")&amp;IF(N226&lt;&gt;"", ", sob analgosedação com "&amp;N226,"")&amp;".",""),IF(O226&lt;&gt;"",O226&amp;IF(P226&lt;&gt;"", ", com "&amp;LOWER(P226),"")&amp;IF(Q226&lt;&gt;"", " — "&amp;Q226,"")&amp;".",""),IF(R226="Febre","Apresentou episódio febril nas últimas 24h"&amp;IF(S226&lt;&gt;""," ("&amp;S226&amp;")","")&amp;".",IF(R226="Afebril","Encontra-se afebril.","")),IF(T226&lt;&gt;"",IF(U226="Sim","Apresenta disfunção renal aguda ","Função renal preservada ")&amp;"("&amp;T226&amp;").",""),IF(V226&lt;&gt;"","Em uso do esquema antimicrobiano com "&amp;V226&amp;".",""),IF(TEXTJOIN(", ",TRUE,IF(W226&lt;&gt;"","TEV ("&amp;W226&amp;")",""),IF(X226&lt;&gt;"","LAMG ("&amp;X226&amp;")",""),IF(Y226&lt;&gt;"","úlcera de córnea com "&amp;Y226,""))&lt;&gt;"","Em uso de profilaxia: "&amp;TEXTJOIN(", ",TRUE,IF(W226&lt;&gt;"","TEV ("&amp;W226&amp;")",""),IF(X226&lt;&gt;"","LAMG ("&amp;X226&amp;")",""),IF(Y226&lt;&gt;"","úlcera de córnea com "&amp;Y226,""))&amp;".",""))&amp;CHAR(10)&amp;CHAR(10)&amp;"2. Farmacoterapia"&amp;CHAR(10)&amp;IF(Z226&lt;&gt;"","Corticoide/DART: "&amp;Z226,"Sem corticoide/DART registrado.")&amp;CHAR(10)&amp;CHAR(10)&amp;"3. Conduta Farmacêutica"&amp;CHAR(10)&amp;IF(TEXTJOIN(CHAR(10),TRUE,AB226,AC226,AD226)="","Nenhuma intervenção registrada hoje.",TEXTJOIN(CHAR(10),TRUE,AB226,AC226,AD226))&amp;CHAR(10)&amp;CHAR(10)&amp;"4. Plano Terapêutico"&amp;CHAR(10)&amp;IF(AA226&lt;&gt;"",AA226,"Não definido.")</f>
      </c>
    </row>
    <row r="227" spans="1:32" x14ac:dyDescent="0.25">
      <c r="A227" s="4"/>
      <c r="B227" s="6">
        <f>IFERROR(INDEX(Pacientes!$A:$A,MATCH($A227,Pacientes!$B:$B,0)),"")</f>
      </c>
      <c r="C227" s="6">
        <f>IFERROR(INDEX(Pacientes!$C:$C,MATCH($A227,Pacientes!$B:$B,0)),"")</f>
      </c>
      <c r="D227" s="6">
        <f>IFERROR(INDEX(Pacientes!$D:$D,MATCH($A227,Pacientes!$B:$B,0)),"")</f>
      </c>
      <c r="E227" s="6">
        <f>IFERROR(INDEX(Pacientes!$E:$E,MATCH($A227,Pacientes!$B:$B,0)),"")</f>
      </c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>
        <f>IFERROR(INDEX(Intervenções!$K$2:$K$300,AGGREGATE(15,6,(ROW(Intervenções!$K$2:$K$300)-ROW(Intervenções!$K$2)+1)/((Intervenções!$B$2:$B$300=A227)*(Intervenções!$A$2:$A$300=F227)*(Intervenções!$K$2:$K$300&lt;&gt;"")),1)),"")</f>
      </c>
      <c r="AC227" s="4">
        <f>IFERROR(INDEX(Intervenções!$K$2:$K$300,AGGREGATE(15,6,(ROW(Intervenções!$K$2:$K$300)-ROW(Intervenções!$K$2)+1)/((Intervenções!$B$2:$B$300=A227)*(Intervenções!$A$2:$A$300=F227)*(Intervenções!$K$2:$K$300&lt;&gt;"")),2)),"")</f>
      </c>
      <c r="AD227" s="4">
        <f>IFERROR(INDEX(Intervenções!$K$2:$K$300,AGGREGATE(15,6,(ROW(Intervenções!$K$2:$K$300)-ROW(Intervenções!$K$2)+1)/((Intervenções!$B$2:$B$300=A227)*(Intervenções!$A$2:$A$300=F227)*(Intervenções!$K$2:$K$300&lt;&gt;"")),3)),"")</f>
      </c>
      <c r="AE227" s="4">
        <f>"RECONCILIAÇÃO MEDICAMENTOSA"&amp;CHAR(10)&amp;IF(G227&lt;&gt;"","Medicamentos de uso prévio: "&amp;G227&amp;".","Sem medicamentos de uso prévio relatados.")&amp;CHAR(10)&amp;IF(H227&lt;&gt;"","Histórico de alergia/RAM: "&amp;H227&amp;".","Nega alergias/RAM conhecidas.")</f>
      </c>
      <c r="AF227" s="4">
        <f>AE227&amp;CHAR(10)&amp;CHAR(10)&amp;"1. Evolução Clínica"&amp;CHAR(10)&amp;TEXTJOIN(" ",TRUE,"Paciente "&amp;I227&amp;", "&amp;IF(J227="","sem DVA","em uso de "&amp;J227)&amp;".",IF(K227&lt;&gt;"","Em "&amp;K227&amp;IF(L227&lt;&gt;""," ("&amp;L227&amp;")","")&amp;IF(M227&lt;&gt;"", ", "&amp;M227,"")&amp;IF(N227&lt;&gt;"", ", sob analgosedação com "&amp;N227,"")&amp;".",""),IF(O227&lt;&gt;"",O227&amp;IF(P227&lt;&gt;"", ", com "&amp;LOWER(P227),"")&amp;IF(Q227&lt;&gt;"", " — "&amp;Q227,"")&amp;".",""),IF(R227="Febre","Apresentou episódio febril nas últimas 24h"&amp;IF(S227&lt;&gt;""," ("&amp;S227&amp;")","")&amp;".",IF(R227="Afebril","Encontra-se afebril.","")),IF(T227&lt;&gt;"",IF(U227="Sim","Apresenta disfunção renal aguda ","Função renal preservada ")&amp;"("&amp;T227&amp;").",""),IF(V227&lt;&gt;"","Em uso do esquema antimicrobiano com "&amp;V227&amp;".",""),IF(TEXTJOIN(", ",TRUE,IF(W227&lt;&gt;"","TEV ("&amp;W227&amp;")",""),IF(X227&lt;&gt;"","LAMG ("&amp;X227&amp;")",""),IF(Y227&lt;&gt;"","úlcera de córnea com "&amp;Y227,""))&lt;&gt;"","Em uso de profilaxia: "&amp;TEXTJOIN(", ",TRUE,IF(W227&lt;&gt;"","TEV ("&amp;W227&amp;")",""),IF(X227&lt;&gt;"","LAMG ("&amp;X227&amp;")",""),IF(Y227&lt;&gt;"","úlcera de córnea com "&amp;Y227,""))&amp;".",""))&amp;CHAR(10)&amp;CHAR(10)&amp;"2. Farmacoterapia"&amp;CHAR(10)&amp;IF(Z227&lt;&gt;"","Corticoide/DART: "&amp;Z227,"Sem corticoide/DART registrado.")&amp;CHAR(10)&amp;CHAR(10)&amp;"3. Conduta Farmacêutica"&amp;CHAR(10)&amp;IF(TEXTJOIN(CHAR(10),TRUE,AB227,AC227,AD227)="","Nenhuma intervenção registrada hoje.",TEXTJOIN(CHAR(10),TRUE,AB227,AC227,AD227))&amp;CHAR(10)&amp;CHAR(10)&amp;"4. Plano Terapêutico"&amp;CHAR(10)&amp;IF(AA227&lt;&gt;"",AA227,"Não definido.")</f>
      </c>
    </row>
    <row r="228" spans="1:32" x14ac:dyDescent="0.25">
      <c r="A228" s="4"/>
      <c r="B228" s="6">
        <f>IFERROR(INDEX(Pacientes!$A:$A,MATCH($A228,Pacientes!$B:$B,0)),"")</f>
      </c>
      <c r="C228" s="6">
        <f>IFERROR(INDEX(Pacientes!$C:$C,MATCH($A228,Pacientes!$B:$B,0)),"")</f>
      </c>
      <c r="D228" s="6">
        <f>IFERROR(INDEX(Pacientes!$D:$D,MATCH($A228,Pacientes!$B:$B,0)),"")</f>
      </c>
      <c r="E228" s="6">
        <f>IFERROR(INDEX(Pacientes!$E:$E,MATCH($A228,Pacientes!$B:$B,0)),"")</f>
      </c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>
        <f>IFERROR(INDEX(Intervenções!$K$2:$K$300,AGGREGATE(15,6,(ROW(Intervenções!$K$2:$K$300)-ROW(Intervenções!$K$2)+1)/((Intervenções!$B$2:$B$300=A228)*(Intervenções!$A$2:$A$300=F228)*(Intervenções!$K$2:$K$300&lt;&gt;"")),1)),"")</f>
      </c>
      <c r="AC228" s="4">
        <f>IFERROR(INDEX(Intervenções!$K$2:$K$300,AGGREGATE(15,6,(ROW(Intervenções!$K$2:$K$300)-ROW(Intervenções!$K$2)+1)/((Intervenções!$B$2:$B$300=A228)*(Intervenções!$A$2:$A$300=F228)*(Intervenções!$K$2:$K$300&lt;&gt;"")),2)),"")</f>
      </c>
      <c r="AD228" s="4">
        <f>IFERROR(INDEX(Intervenções!$K$2:$K$300,AGGREGATE(15,6,(ROW(Intervenções!$K$2:$K$300)-ROW(Intervenções!$K$2)+1)/((Intervenções!$B$2:$B$300=A228)*(Intervenções!$A$2:$A$300=F228)*(Intervenções!$K$2:$K$300&lt;&gt;"")),3)),"")</f>
      </c>
      <c r="AE228" s="4">
        <f>"RECONCILIAÇÃO MEDICAMENTOSA"&amp;CHAR(10)&amp;IF(G228&lt;&gt;"","Medicamentos de uso prévio: "&amp;G228&amp;".","Sem medicamentos de uso prévio relatados.")&amp;CHAR(10)&amp;IF(H228&lt;&gt;"","Histórico de alergia/RAM: "&amp;H228&amp;".","Nega alergias/RAM conhecidas.")</f>
      </c>
      <c r="AF228" s="4">
        <f>AE228&amp;CHAR(10)&amp;CHAR(10)&amp;"1. Evolução Clínica"&amp;CHAR(10)&amp;TEXTJOIN(" ",TRUE,"Paciente "&amp;I228&amp;", "&amp;IF(J228="","sem DVA","em uso de "&amp;J228)&amp;".",IF(K228&lt;&gt;"","Em "&amp;K228&amp;IF(L228&lt;&gt;""," ("&amp;L228&amp;")","")&amp;IF(M228&lt;&gt;"", ", "&amp;M228,"")&amp;IF(N228&lt;&gt;"", ", sob analgosedação com "&amp;N228,"")&amp;".",""),IF(O228&lt;&gt;"",O228&amp;IF(P228&lt;&gt;"", ", com "&amp;LOWER(P228),"")&amp;IF(Q228&lt;&gt;"", " — "&amp;Q228,"")&amp;".",""),IF(R228="Febre","Apresentou episódio febril nas últimas 24h"&amp;IF(S228&lt;&gt;""," ("&amp;S228&amp;")","")&amp;".",IF(R228="Afebril","Encontra-se afebril.","")),IF(T228&lt;&gt;"",IF(U228="Sim","Apresenta disfunção renal aguda ","Função renal preservada ")&amp;"("&amp;T228&amp;").",""),IF(V228&lt;&gt;"","Em uso do esquema antimicrobiano com "&amp;V228&amp;".",""),IF(TEXTJOIN(", ",TRUE,IF(W228&lt;&gt;"","TEV ("&amp;W228&amp;")",""),IF(X228&lt;&gt;"","LAMG ("&amp;X228&amp;")",""),IF(Y228&lt;&gt;"","úlcera de córnea com "&amp;Y228,""))&lt;&gt;"","Em uso de profilaxia: "&amp;TEXTJOIN(", ",TRUE,IF(W228&lt;&gt;"","TEV ("&amp;W228&amp;")",""),IF(X228&lt;&gt;"","LAMG ("&amp;X228&amp;")",""),IF(Y228&lt;&gt;"","úlcera de córnea com "&amp;Y228,""))&amp;".",""))&amp;CHAR(10)&amp;CHAR(10)&amp;"2. Farmacoterapia"&amp;CHAR(10)&amp;IF(Z228&lt;&gt;"","Corticoide/DART: "&amp;Z228,"Sem corticoide/DART registrado.")&amp;CHAR(10)&amp;CHAR(10)&amp;"3. Conduta Farmacêutica"&amp;CHAR(10)&amp;IF(TEXTJOIN(CHAR(10),TRUE,AB228,AC228,AD228)="","Nenhuma intervenção registrada hoje.",TEXTJOIN(CHAR(10),TRUE,AB228,AC228,AD228))&amp;CHAR(10)&amp;CHAR(10)&amp;"4. Plano Terapêutico"&amp;CHAR(10)&amp;IF(AA228&lt;&gt;"",AA228,"Não definido.")</f>
      </c>
    </row>
    <row r="229" spans="1:32" x14ac:dyDescent="0.25">
      <c r="A229" s="4"/>
      <c r="B229" s="6">
        <f>IFERROR(INDEX(Pacientes!$A:$A,MATCH($A229,Pacientes!$B:$B,0)),"")</f>
      </c>
      <c r="C229" s="6">
        <f>IFERROR(INDEX(Pacientes!$C:$C,MATCH($A229,Pacientes!$B:$B,0)),"")</f>
      </c>
      <c r="D229" s="6">
        <f>IFERROR(INDEX(Pacientes!$D:$D,MATCH($A229,Pacientes!$B:$B,0)),"")</f>
      </c>
      <c r="E229" s="6">
        <f>IFERROR(INDEX(Pacientes!$E:$E,MATCH($A229,Pacientes!$B:$B,0)),"")</f>
      </c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>
        <f>IFERROR(INDEX(Intervenções!$K$2:$K$300,AGGREGATE(15,6,(ROW(Intervenções!$K$2:$K$300)-ROW(Intervenções!$K$2)+1)/((Intervenções!$B$2:$B$300=A229)*(Intervenções!$A$2:$A$300=F229)*(Intervenções!$K$2:$K$300&lt;&gt;"")),1)),"")</f>
      </c>
      <c r="AC229" s="4">
        <f>IFERROR(INDEX(Intervenções!$K$2:$K$300,AGGREGATE(15,6,(ROW(Intervenções!$K$2:$K$300)-ROW(Intervenções!$K$2)+1)/((Intervenções!$B$2:$B$300=A229)*(Intervenções!$A$2:$A$300=F229)*(Intervenções!$K$2:$K$300&lt;&gt;"")),2)),"")</f>
      </c>
      <c r="AD229" s="4">
        <f>IFERROR(INDEX(Intervenções!$K$2:$K$300,AGGREGATE(15,6,(ROW(Intervenções!$K$2:$K$300)-ROW(Intervenções!$K$2)+1)/((Intervenções!$B$2:$B$300=A229)*(Intervenções!$A$2:$A$300=F229)*(Intervenções!$K$2:$K$300&lt;&gt;"")),3)),"")</f>
      </c>
      <c r="AE229" s="4">
        <f>"RECONCILIAÇÃO MEDICAMENTOSA"&amp;CHAR(10)&amp;IF(G229&lt;&gt;"","Medicamentos de uso prévio: "&amp;G229&amp;".","Sem medicamentos de uso prévio relatados.")&amp;CHAR(10)&amp;IF(H229&lt;&gt;"","Histórico de alergia/RAM: "&amp;H229&amp;".","Nega alergias/RAM conhecidas.")</f>
      </c>
      <c r="AF229" s="4">
        <f>AE229&amp;CHAR(10)&amp;CHAR(10)&amp;"1. Evolução Clínica"&amp;CHAR(10)&amp;TEXTJOIN(" ",TRUE,"Paciente "&amp;I229&amp;", "&amp;IF(J229="","sem DVA","em uso de "&amp;J229)&amp;".",IF(K229&lt;&gt;"","Em "&amp;K229&amp;IF(L229&lt;&gt;""," ("&amp;L229&amp;")","")&amp;IF(M229&lt;&gt;"", ", "&amp;M229,"")&amp;IF(N229&lt;&gt;"", ", sob analgosedação com "&amp;N229,"")&amp;".",""),IF(O229&lt;&gt;"",O229&amp;IF(P229&lt;&gt;"", ", com "&amp;LOWER(P229),"")&amp;IF(Q229&lt;&gt;"", " — "&amp;Q229,"")&amp;".",""),IF(R229="Febre","Apresentou episódio febril nas últimas 24h"&amp;IF(S229&lt;&gt;""," ("&amp;S229&amp;")","")&amp;".",IF(R229="Afebril","Encontra-se afebril.","")),IF(T229&lt;&gt;"",IF(U229="Sim","Apresenta disfunção renal aguda ","Função renal preservada ")&amp;"("&amp;T229&amp;").",""),IF(V229&lt;&gt;"","Em uso do esquema antimicrobiano com "&amp;V229&amp;".",""),IF(TEXTJOIN(", ",TRUE,IF(W229&lt;&gt;"","TEV ("&amp;W229&amp;")",""),IF(X229&lt;&gt;"","LAMG ("&amp;X229&amp;")",""),IF(Y229&lt;&gt;"","úlcera de córnea com "&amp;Y229,""))&lt;&gt;"","Em uso de profilaxia: "&amp;TEXTJOIN(", ",TRUE,IF(W229&lt;&gt;"","TEV ("&amp;W229&amp;")",""),IF(X229&lt;&gt;"","LAMG ("&amp;X229&amp;")",""),IF(Y229&lt;&gt;"","úlcera de córnea com "&amp;Y229,""))&amp;".",""))&amp;CHAR(10)&amp;CHAR(10)&amp;"2. Farmacoterapia"&amp;CHAR(10)&amp;IF(Z229&lt;&gt;"","Corticoide/DART: "&amp;Z229,"Sem corticoide/DART registrado.")&amp;CHAR(10)&amp;CHAR(10)&amp;"3. Conduta Farmacêutica"&amp;CHAR(10)&amp;IF(TEXTJOIN(CHAR(10),TRUE,AB229,AC229,AD229)="","Nenhuma intervenção registrada hoje.",TEXTJOIN(CHAR(10),TRUE,AB229,AC229,AD229))&amp;CHAR(10)&amp;CHAR(10)&amp;"4. Plano Terapêutico"&amp;CHAR(10)&amp;IF(AA229&lt;&gt;"",AA229,"Não definido.")</f>
      </c>
    </row>
    <row r="230" spans="1:32" x14ac:dyDescent="0.25">
      <c r="A230" s="4"/>
      <c r="B230" s="6">
        <f>IFERROR(INDEX(Pacientes!$A:$A,MATCH($A230,Pacientes!$B:$B,0)),"")</f>
      </c>
      <c r="C230" s="6">
        <f>IFERROR(INDEX(Pacientes!$C:$C,MATCH($A230,Pacientes!$B:$B,0)),"")</f>
      </c>
      <c r="D230" s="6">
        <f>IFERROR(INDEX(Pacientes!$D:$D,MATCH($A230,Pacientes!$B:$B,0)),"")</f>
      </c>
      <c r="E230" s="6">
        <f>IFERROR(INDEX(Pacientes!$E:$E,MATCH($A230,Pacientes!$B:$B,0)),"")</f>
      </c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>
        <f>IFERROR(INDEX(Intervenções!$K$2:$K$300,AGGREGATE(15,6,(ROW(Intervenções!$K$2:$K$300)-ROW(Intervenções!$K$2)+1)/((Intervenções!$B$2:$B$300=A230)*(Intervenções!$A$2:$A$300=F230)*(Intervenções!$K$2:$K$300&lt;&gt;"")),1)),"")</f>
      </c>
      <c r="AC230" s="4">
        <f>IFERROR(INDEX(Intervenções!$K$2:$K$300,AGGREGATE(15,6,(ROW(Intervenções!$K$2:$K$300)-ROW(Intervenções!$K$2)+1)/((Intervenções!$B$2:$B$300=A230)*(Intervenções!$A$2:$A$300=F230)*(Intervenções!$K$2:$K$300&lt;&gt;"")),2)),"")</f>
      </c>
      <c r="AD230" s="4">
        <f>IFERROR(INDEX(Intervenções!$K$2:$K$300,AGGREGATE(15,6,(ROW(Intervenções!$K$2:$K$300)-ROW(Intervenções!$K$2)+1)/((Intervenções!$B$2:$B$300=A230)*(Intervenções!$A$2:$A$300=F230)*(Intervenções!$K$2:$K$300&lt;&gt;"")),3)),"")</f>
      </c>
      <c r="AE230" s="4">
        <f>"RECONCILIAÇÃO MEDICAMENTOSA"&amp;CHAR(10)&amp;IF(G230&lt;&gt;"","Medicamentos de uso prévio: "&amp;G230&amp;".","Sem medicamentos de uso prévio relatados.")&amp;CHAR(10)&amp;IF(H230&lt;&gt;"","Histórico de alergia/RAM: "&amp;H230&amp;".","Nega alergias/RAM conhecidas.")</f>
      </c>
      <c r="AF230" s="4">
        <f>AE230&amp;CHAR(10)&amp;CHAR(10)&amp;"1. Evolução Clínica"&amp;CHAR(10)&amp;TEXTJOIN(" ",TRUE,"Paciente "&amp;I230&amp;", "&amp;IF(J230="","sem DVA","em uso de "&amp;J230)&amp;".",IF(K230&lt;&gt;"","Em "&amp;K230&amp;IF(L230&lt;&gt;""," ("&amp;L230&amp;")","")&amp;IF(M230&lt;&gt;"", ", "&amp;M230,"")&amp;IF(N230&lt;&gt;"", ", sob analgosedação com "&amp;N230,"")&amp;".",""),IF(O230&lt;&gt;"",O230&amp;IF(P230&lt;&gt;"", ", com "&amp;LOWER(P230),"")&amp;IF(Q230&lt;&gt;"", " — "&amp;Q230,"")&amp;".",""),IF(R230="Febre","Apresentou episódio febril nas últimas 24h"&amp;IF(S230&lt;&gt;""," ("&amp;S230&amp;")","")&amp;".",IF(R230="Afebril","Encontra-se afebril.","")),IF(T230&lt;&gt;"",IF(U230="Sim","Apresenta disfunção renal aguda ","Função renal preservada ")&amp;"("&amp;T230&amp;").",""),IF(V230&lt;&gt;"","Em uso do esquema antimicrobiano com "&amp;V230&amp;".",""),IF(TEXTJOIN(", ",TRUE,IF(W230&lt;&gt;"","TEV ("&amp;W230&amp;")",""),IF(X230&lt;&gt;"","LAMG ("&amp;X230&amp;")",""),IF(Y230&lt;&gt;"","úlcera de córnea com "&amp;Y230,""))&lt;&gt;"","Em uso de profilaxia: "&amp;TEXTJOIN(", ",TRUE,IF(W230&lt;&gt;"","TEV ("&amp;W230&amp;")",""),IF(X230&lt;&gt;"","LAMG ("&amp;X230&amp;")",""),IF(Y230&lt;&gt;"","úlcera de córnea com "&amp;Y230,""))&amp;".",""))&amp;CHAR(10)&amp;CHAR(10)&amp;"2. Farmacoterapia"&amp;CHAR(10)&amp;IF(Z230&lt;&gt;"","Corticoide/DART: "&amp;Z230,"Sem corticoide/DART registrado.")&amp;CHAR(10)&amp;CHAR(10)&amp;"3. Conduta Farmacêutica"&amp;CHAR(10)&amp;IF(TEXTJOIN(CHAR(10),TRUE,AB230,AC230,AD230)="","Nenhuma intervenção registrada hoje.",TEXTJOIN(CHAR(10),TRUE,AB230,AC230,AD230))&amp;CHAR(10)&amp;CHAR(10)&amp;"4. Plano Terapêutico"&amp;CHAR(10)&amp;IF(AA230&lt;&gt;"",AA230,"Não definido.")</f>
      </c>
    </row>
    <row r="231" spans="1:32" x14ac:dyDescent="0.25">
      <c r="A231" s="4"/>
      <c r="B231" s="6">
        <f>IFERROR(INDEX(Pacientes!$A:$A,MATCH($A231,Pacientes!$B:$B,0)),"")</f>
      </c>
      <c r="C231" s="6">
        <f>IFERROR(INDEX(Pacientes!$C:$C,MATCH($A231,Pacientes!$B:$B,0)),"")</f>
      </c>
      <c r="D231" s="6">
        <f>IFERROR(INDEX(Pacientes!$D:$D,MATCH($A231,Pacientes!$B:$B,0)),"")</f>
      </c>
      <c r="E231" s="6">
        <f>IFERROR(INDEX(Pacientes!$E:$E,MATCH($A231,Pacientes!$B:$B,0)),"")</f>
      </c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>
        <f>IFERROR(INDEX(Intervenções!$K$2:$K$300,AGGREGATE(15,6,(ROW(Intervenções!$K$2:$K$300)-ROW(Intervenções!$K$2)+1)/((Intervenções!$B$2:$B$300=A231)*(Intervenções!$A$2:$A$300=F231)*(Intervenções!$K$2:$K$300&lt;&gt;"")),1)),"")</f>
      </c>
      <c r="AC231" s="4">
        <f>IFERROR(INDEX(Intervenções!$K$2:$K$300,AGGREGATE(15,6,(ROW(Intervenções!$K$2:$K$300)-ROW(Intervenções!$K$2)+1)/((Intervenções!$B$2:$B$300=A231)*(Intervenções!$A$2:$A$300=F231)*(Intervenções!$K$2:$K$300&lt;&gt;"")),2)),"")</f>
      </c>
      <c r="AD231" s="4">
        <f>IFERROR(INDEX(Intervenções!$K$2:$K$300,AGGREGATE(15,6,(ROW(Intervenções!$K$2:$K$300)-ROW(Intervenções!$K$2)+1)/((Intervenções!$B$2:$B$300=A231)*(Intervenções!$A$2:$A$300=F231)*(Intervenções!$K$2:$K$300&lt;&gt;"")),3)),"")</f>
      </c>
      <c r="AE231" s="4">
        <f>"RECONCILIAÇÃO MEDICAMENTOSA"&amp;CHAR(10)&amp;IF(G231&lt;&gt;"","Medicamentos de uso prévio: "&amp;G231&amp;".","Sem medicamentos de uso prévio relatados.")&amp;CHAR(10)&amp;IF(H231&lt;&gt;"","Histórico de alergia/RAM: "&amp;H231&amp;".","Nega alergias/RAM conhecidas.")</f>
      </c>
      <c r="AF231" s="4">
        <f>AE231&amp;CHAR(10)&amp;CHAR(10)&amp;"1. Evolução Clínica"&amp;CHAR(10)&amp;TEXTJOIN(" ",TRUE,"Paciente "&amp;I231&amp;", "&amp;IF(J231="","sem DVA","em uso de "&amp;J231)&amp;".",IF(K231&lt;&gt;"","Em "&amp;K231&amp;IF(L231&lt;&gt;""," ("&amp;L231&amp;")","")&amp;IF(M231&lt;&gt;"", ", "&amp;M231,"")&amp;IF(N231&lt;&gt;"", ", sob analgosedação com "&amp;N231,"")&amp;".",""),IF(O231&lt;&gt;"",O231&amp;IF(P231&lt;&gt;"", ", com "&amp;LOWER(P231),"")&amp;IF(Q231&lt;&gt;"", " — "&amp;Q231,"")&amp;".",""),IF(R231="Febre","Apresentou episódio febril nas últimas 24h"&amp;IF(S231&lt;&gt;""," ("&amp;S231&amp;")","")&amp;".",IF(R231="Afebril","Encontra-se afebril.","")),IF(T231&lt;&gt;"",IF(U231="Sim","Apresenta disfunção renal aguda ","Função renal preservada ")&amp;"("&amp;T231&amp;").",""),IF(V231&lt;&gt;"","Em uso do esquema antimicrobiano com "&amp;V231&amp;".",""),IF(TEXTJOIN(", ",TRUE,IF(W231&lt;&gt;"","TEV ("&amp;W231&amp;")",""),IF(X231&lt;&gt;"","LAMG ("&amp;X231&amp;")",""),IF(Y231&lt;&gt;"","úlcera de córnea com "&amp;Y231,""))&lt;&gt;"","Em uso de profilaxia: "&amp;TEXTJOIN(", ",TRUE,IF(W231&lt;&gt;"","TEV ("&amp;W231&amp;")",""),IF(X231&lt;&gt;"","LAMG ("&amp;X231&amp;")",""),IF(Y231&lt;&gt;"","úlcera de córnea com "&amp;Y231,""))&amp;".",""))&amp;CHAR(10)&amp;CHAR(10)&amp;"2. Farmacoterapia"&amp;CHAR(10)&amp;IF(Z231&lt;&gt;"","Corticoide/DART: "&amp;Z231,"Sem corticoide/DART registrado.")&amp;CHAR(10)&amp;CHAR(10)&amp;"3. Conduta Farmacêutica"&amp;CHAR(10)&amp;IF(TEXTJOIN(CHAR(10),TRUE,AB231,AC231,AD231)="","Nenhuma intervenção registrada hoje.",TEXTJOIN(CHAR(10),TRUE,AB231,AC231,AD231))&amp;CHAR(10)&amp;CHAR(10)&amp;"4. Plano Terapêutico"&amp;CHAR(10)&amp;IF(AA231&lt;&gt;"",AA231,"Não definido.")</f>
      </c>
    </row>
    <row r="232" spans="1:32" x14ac:dyDescent="0.25">
      <c r="A232" s="4"/>
      <c r="B232" s="6">
        <f>IFERROR(INDEX(Pacientes!$A:$A,MATCH($A232,Pacientes!$B:$B,0)),"")</f>
      </c>
      <c r="C232" s="6">
        <f>IFERROR(INDEX(Pacientes!$C:$C,MATCH($A232,Pacientes!$B:$B,0)),"")</f>
      </c>
      <c r="D232" s="6">
        <f>IFERROR(INDEX(Pacientes!$D:$D,MATCH($A232,Pacientes!$B:$B,0)),"")</f>
      </c>
      <c r="E232" s="6">
        <f>IFERROR(INDEX(Pacientes!$E:$E,MATCH($A232,Pacientes!$B:$B,0)),"")</f>
      </c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>
        <f>IFERROR(INDEX(Intervenções!$K$2:$K$300,AGGREGATE(15,6,(ROW(Intervenções!$K$2:$K$300)-ROW(Intervenções!$K$2)+1)/((Intervenções!$B$2:$B$300=A232)*(Intervenções!$A$2:$A$300=F232)*(Intervenções!$K$2:$K$300&lt;&gt;"")),1)),"")</f>
      </c>
      <c r="AC232" s="4">
        <f>IFERROR(INDEX(Intervenções!$K$2:$K$300,AGGREGATE(15,6,(ROW(Intervenções!$K$2:$K$300)-ROW(Intervenções!$K$2)+1)/((Intervenções!$B$2:$B$300=A232)*(Intervenções!$A$2:$A$300=F232)*(Intervenções!$K$2:$K$300&lt;&gt;"")),2)),"")</f>
      </c>
      <c r="AD232" s="4">
        <f>IFERROR(INDEX(Intervenções!$K$2:$K$300,AGGREGATE(15,6,(ROW(Intervenções!$K$2:$K$300)-ROW(Intervenções!$K$2)+1)/((Intervenções!$B$2:$B$300=A232)*(Intervenções!$A$2:$A$300=F232)*(Intervenções!$K$2:$K$300&lt;&gt;"")),3)),"")</f>
      </c>
      <c r="AE232" s="4">
        <f>"RECONCILIAÇÃO MEDICAMENTOSA"&amp;CHAR(10)&amp;IF(G232&lt;&gt;"","Medicamentos de uso prévio: "&amp;G232&amp;".","Sem medicamentos de uso prévio relatados.")&amp;CHAR(10)&amp;IF(H232&lt;&gt;"","Histórico de alergia/RAM: "&amp;H232&amp;".","Nega alergias/RAM conhecidas.")</f>
      </c>
      <c r="AF232" s="4">
        <f>AE232&amp;CHAR(10)&amp;CHAR(10)&amp;"1. Evolução Clínica"&amp;CHAR(10)&amp;TEXTJOIN(" ",TRUE,"Paciente "&amp;I232&amp;", "&amp;IF(J232="","sem DVA","em uso de "&amp;J232)&amp;".",IF(K232&lt;&gt;"","Em "&amp;K232&amp;IF(L232&lt;&gt;""," ("&amp;L232&amp;")","")&amp;IF(M232&lt;&gt;"", ", "&amp;M232,"")&amp;IF(N232&lt;&gt;"", ", sob analgosedação com "&amp;N232,"")&amp;".",""),IF(O232&lt;&gt;"",O232&amp;IF(P232&lt;&gt;"", ", com "&amp;LOWER(P232),"")&amp;IF(Q232&lt;&gt;"", " — "&amp;Q232,"")&amp;".",""),IF(R232="Febre","Apresentou episódio febril nas últimas 24h"&amp;IF(S232&lt;&gt;""," ("&amp;S232&amp;")","")&amp;".",IF(R232="Afebril","Encontra-se afebril.","")),IF(T232&lt;&gt;"",IF(U232="Sim","Apresenta disfunção renal aguda ","Função renal preservada ")&amp;"("&amp;T232&amp;").",""),IF(V232&lt;&gt;"","Em uso do esquema antimicrobiano com "&amp;V232&amp;".",""),IF(TEXTJOIN(", ",TRUE,IF(W232&lt;&gt;"","TEV ("&amp;W232&amp;")",""),IF(X232&lt;&gt;"","LAMG ("&amp;X232&amp;")",""),IF(Y232&lt;&gt;"","úlcera de córnea com "&amp;Y232,""))&lt;&gt;"","Em uso de profilaxia: "&amp;TEXTJOIN(", ",TRUE,IF(W232&lt;&gt;"","TEV ("&amp;W232&amp;")",""),IF(X232&lt;&gt;"","LAMG ("&amp;X232&amp;")",""),IF(Y232&lt;&gt;"","úlcera de córnea com "&amp;Y232,""))&amp;".",""))&amp;CHAR(10)&amp;CHAR(10)&amp;"2. Farmacoterapia"&amp;CHAR(10)&amp;IF(Z232&lt;&gt;"","Corticoide/DART: "&amp;Z232,"Sem corticoide/DART registrado.")&amp;CHAR(10)&amp;CHAR(10)&amp;"3. Conduta Farmacêutica"&amp;CHAR(10)&amp;IF(TEXTJOIN(CHAR(10),TRUE,AB232,AC232,AD232)="","Nenhuma intervenção registrada hoje.",TEXTJOIN(CHAR(10),TRUE,AB232,AC232,AD232))&amp;CHAR(10)&amp;CHAR(10)&amp;"4. Plano Terapêutico"&amp;CHAR(10)&amp;IF(AA232&lt;&gt;"",AA232,"Não definido.")</f>
      </c>
    </row>
    <row r="233" spans="1:32" x14ac:dyDescent="0.25">
      <c r="A233" s="4"/>
      <c r="B233" s="6">
        <f>IFERROR(INDEX(Pacientes!$A:$A,MATCH($A233,Pacientes!$B:$B,0)),"")</f>
      </c>
      <c r="C233" s="6">
        <f>IFERROR(INDEX(Pacientes!$C:$C,MATCH($A233,Pacientes!$B:$B,0)),"")</f>
      </c>
      <c r="D233" s="6">
        <f>IFERROR(INDEX(Pacientes!$D:$D,MATCH($A233,Pacientes!$B:$B,0)),"")</f>
      </c>
      <c r="E233" s="6">
        <f>IFERROR(INDEX(Pacientes!$E:$E,MATCH($A233,Pacientes!$B:$B,0)),"")</f>
      </c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>
        <f>IFERROR(INDEX(Intervenções!$K$2:$K$300,AGGREGATE(15,6,(ROW(Intervenções!$K$2:$K$300)-ROW(Intervenções!$K$2)+1)/((Intervenções!$B$2:$B$300=A233)*(Intervenções!$A$2:$A$300=F233)*(Intervenções!$K$2:$K$300&lt;&gt;"")),1)),"")</f>
      </c>
      <c r="AC233" s="4">
        <f>IFERROR(INDEX(Intervenções!$K$2:$K$300,AGGREGATE(15,6,(ROW(Intervenções!$K$2:$K$300)-ROW(Intervenções!$K$2)+1)/((Intervenções!$B$2:$B$300=A233)*(Intervenções!$A$2:$A$300=F233)*(Intervenções!$K$2:$K$300&lt;&gt;"")),2)),"")</f>
      </c>
      <c r="AD233" s="4">
        <f>IFERROR(INDEX(Intervenções!$K$2:$K$300,AGGREGATE(15,6,(ROW(Intervenções!$K$2:$K$300)-ROW(Intervenções!$K$2)+1)/((Intervenções!$B$2:$B$300=A233)*(Intervenções!$A$2:$A$300=F233)*(Intervenções!$K$2:$K$300&lt;&gt;"")),3)),"")</f>
      </c>
      <c r="AE233" s="4">
        <f>"RECONCILIAÇÃO MEDICAMENTOSA"&amp;CHAR(10)&amp;IF(G233&lt;&gt;"","Medicamentos de uso prévio: "&amp;G233&amp;".","Sem medicamentos de uso prévio relatados.")&amp;CHAR(10)&amp;IF(H233&lt;&gt;"","Histórico de alergia/RAM: "&amp;H233&amp;".","Nega alergias/RAM conhecidas.")</f>
      </c>
      <c r="AF233" s="4">
        <f>AE233&amp;CHAR(10)&amp;CHAR(10)&amp;"1. Evolução Clínica"&amp;CHAR(10)&amp;TEXTJOIN(" ",TRUE,"Paciente "&amp;I233&amp;", "&amp;IF(J233="","sem DVA","em uso de "&amp;J233)&amp;".",IF(K233&lt;&gt;"","Em "&amp;K233&amp;IF(L233&lt;&gt;""," ("&amp;L233&amp;")","")&amp;IF(M233&lt;&gt;"", ", "&amp;M233,"")&amp;IF(N233&lt;&gt;"", ", sob analgosedação com "&amp;N233,"")&amp;".",""),IF(O233&lt;&gt;"",O233&amp;IF(P233&lt;&gt;"", ", com "&amp;LOWER(P233),"")&amp;IF(Q233&lt;&gt;"", " — "&amp;Q233,"")&amp;".",""),IF(R233="Febre","Apresentou episódio febril nas últimas 24h"&amp;IF(S233&lt;&gt;""," ("&amp;S233&amp;")","")&amp;".",IF(R233="Afebril","Encontra-se afebril.","")),IF(T233&lt;&gt;"",IF(U233="Sim","Apresenta disfunção renal aguda ","Função renal preservada ")&amp;"("&amp;T233&amp;").",""),IF(V233&lt;&gt;"","Em uso do esquema antimicrobiano com "&amp;V233&amp;".",""),IF(TEXTJOIN(", ",TRUE,IF(W233&lt;&gt;"","TEV ("&amp;W233&amp;")",""),IF(X233&lt;&gt;"","LAMG ("&amp;X233&amp;")",""),IF(Y233&lt;&gt;"","úlcera de córnea com "&amp;Y233,""))&lt;&gt;"","Em uso de profilaxia: "&amp;TEXTJOIN(", ",TRUE,IF(W233&lt;&gt;"","TEV ("&amp;W233&amp;")",""),IF(X233&lt;&gt;"","LAMG ("&amp;X233&amp;")",""),IF(Y233&lt;&gt;"","úlcera de córnea com "&amp;Y233,""))&amp;".",""))&amp;CHAR(10)&amp;CHAR(10)&amp;"2. Farmacoterapia"&amp;CHAR(10)&amp;IF(Z233&lt;&gt;"","Corticoide/DART: "&amp;Z233,"Sem corticoide/DART registrado.")&amp;CHAR(10)&amp;CHAR(10)&amp;"3. Conduta Farmacêutica"&amp;CHAR(10)&amp;IF(TEXTJOIN(CHAR(10),TRUE,AB233,AC233,AD233)="","Nenhuma intervenção registrada hoje.",TEXTJOIN(CHAR(10),TRUE,AB233,AC233,AD233))&amp;CHAR(10)&amp;CHAR(10)&amp;"4. Plano Terapêutico"&amp;CHAR(10)&amp;IF(AA233&lt;&gt;"",AA233,"Não definido.")</f>
      </c>
    </row>
    <row r="234" spans="1:32" x14ac:dyDescent="0.25">
      <c r="A234" s="4"/>
      <c r="B234" s="6">
        <f>IFERROR(INDEX(Pacientes!$A:$A,MATCH($A234,Pacientes!$B:$B,0)),"")</f>
      </c>
      <c r="C234" s="6">
        <f>IFERROR(INDEX(Pacientes!$C:$C,MATCH($A234,Pacientes!$B:$B,0)),"")</f>
      </c>
      <c r="D234" s="6">
        <f>IFERROR(INDEX(Pacientes!$D:$D,MATCH($A234,Pacientes!$B:$B,0)),"")</f>
      </c>
      <c r="E234" s="6">
        <f>IFERROR(INDEX(Pacientes!$E:$E,MATCH($A234,Pacientes!$B:$B,0)),"")</f>
      </c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>
        <f>IFERROR(INDEX(Intervenções!$K$2:$K$300,AGGREGATE(15,6,(ROW(Intervenções!$K$2:$K$300)-ROW(Intervenções!$K$2)+1)/((Intervenções!$B$2:$B$300=A234)*(Intervenções!$A$2:$A$300=F234)*(Intervenções!$K$2:$K$300&lt;&gt;"")),1)),"")</f>
      </c>
      <c r="AC234" s="4">
        <f>IFERROR(INDEX(Intervenções!$K$2:$K$300,AGGREGATE(15,6,(ROW(Intervenções!$K$2:$K$300)-ROW(Intervenções!$K$2)+1)/((Intervenções!$B$2:$B$300=A234)*(Intervenções!$A$2:$A$300=F234)*(Intervenções!$K$2:$K$300&lt;&gt;"")),2)),"")</f>
      </c>
      <c r="AD234" s="4">
        <f>IFERROR(INDEX(Intervenções!$K$2:$K$300,AGGREGATE(15,6,(ROW(Intervenções!$K$2:$K$300)-ROW(Intervenções!$K$2)+1)/((Intervenções!$B$2:$B$300=A234)*(Intervenções!$A$2:$A$300=F234)*(Intervenções!$K$2:$K$300&lt;&gt;"")),3)),"")</f>
      </c>
      <c r="AE234" s="4">
        <f>"RECONCILIAÇÃO MEDICAMENTOSA"&amp;CHAR(10)&amp;IF(G234&lt;&gt;"","Medicamentos de uso prévio: "&amp;G234&amp;".","Sem medicamentos de uso prévio relatados.")&amp;CHAR(10)&amp;IF(H234&lt;&gt;"","Histórico de alergia/RAM: "&amp;H234&amp;".","Nega alergias/RAM conhecidas.")</f>
      </c>
      <c r="AF234" s="4">
        <f>AE234&amp;CHAR(10)&amp;CHAR(10)&amp;"1. Evolução Clínica"&amp;CHAR(10)&amp;TEXTJOIN(" ",TRUE,"Paciente "&amp;I234&amp;", "&amp;IF(J234="","sem DVA","em uso de "&amp;J234)&amp;".",IF(K234&lt;&gt;"","Em "&amp;K234&amp;IF(L234&lt;&gt;""," ("&amp;L234&amp;")","")&amp;IF(M234&lt;&gt;"", ", "&amp;M234,"")&amp;IF(N234&lt;&gt;"", ", sob analgosedação com "&amp;N234,"")&amp;".",""),IF(O234&lt;&gt;"",O234&amp;IF(P234&lt;&gt;"", ", com "&amp;LOWER(P234),"")&amp;IF(Q234&lt;&gt;"", " — "&amp;Q234,"")&amp;".",""),IF(R234="Febre","Apresentou episódio febril nas últimas 24h"&amp;IF(S234&lt;&gt;""," ("&amp;S234&amp;")","")&amp;".",IF(R234="Afebril","Encontra-se afebril.","")),IF(T234&lt;&gt;"",IF(U234="Sim","Apresenta disfunção renal aguda ","Função renal preservada ")&amp;"("&amp;T234&amp;").",""),IF(V234&lt;&gt;"","Em uso do esquema antimicrobiano com "&amp;V234&amp;".",""),IF(TEXTJOIN(", ",TRUE,IF(W234&lt;&gt;"","TEV ("&amp;W234&amp;")",""),IF(X234&lt;&gt;"","LAMG ("&amp;X234&amp;")",""),IF(Y234&lt;&gt;"","úlcera de córnea com "&amp;Y234,""))&lt;&gt;"","Em uso de profilaxia: "&amp;TEXTJOIN(", ",TRUE,IF(W234&lt;&gt;"","TEV ("&amp;W234&amp;")",""),IF(X234&lt;&gt;"","LAMG ("&amp;X234&amp;")",""),IF(Y234&lt;&gt;"","úlcera de córnea com "&amp;Y234,""))&amp;".",""))&amp;CHAR(10)&amp;CHAR(10)&amp;"2. Farmacoterapia"&amp;CHAR(10)&amp;IF(Z234&lt;&gt;"","Corticoide/DART: "&amp;Z234,"Sem corticoide/DART registrado.")&amp;CHAR(10)&amp;CHAR(10)&amp;"3. Conduta Farmacêutica"&amp;CHAR(10)&amp;IF(TEXTJOIN(CHAR(10),TRUE,AB234,AC234,AD234)="","Nenhuma intervenção registrada hoje.",TEXTJOIN(CHAR(10),TRUE,AB234,AC234,AD234))&amp;CHAR(10)&amp;CHAR(10)&amp;"4. Plano Terapêutico"&amp;CHAR(10)&amp;IF(AA234&lt;&gt;"",AA234,"Não definido.")</f>
      </c>
    </row>
    <row r="235" spans="1:32" x14ac:dyDescent="0.25">
      <c r="A235" s="4"/>
      <c r="B235" s="6">
        <f>IFERROR(INDEX(Pacientes!$A:$A,MATCH($A235,Pacientes!$B:$B,0)),"")</f>
      </c>
      <c r="C235" s="6">
        <f>IFERROR(INDEX(Pacientes!$C:$C,MATCH($A235,Pacientes!$B:$B,0)),"")</f>
      </c>
      <c r="D235" s="6">
        <f>IFERROR(INDEX(Pacientes!$D:$D,MATCH($A235,Pacientes!$B:$B,0)),"")</f>
      </c>
      <c r="E235" s="6">
        <f>IFERROR(INDEX(Pacientes!$E:$E,MATCH($A235,Pacientes!$B:$B,0)),"")</f>
      </c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>
        <f>IFERROR(INDEX(Intervenções!$K$2:$K$300,AGGREGATE(15,6,(ROW(Intervenções!$K$2:$K$300)-ROW(Intervenções!$K$2)+1)/((Intervenções!$B$2:$B$300=A235)*(Intervenções!$A$2:$A$300=F235)*(Intervenções!$K$2:$K$300&lt;&gt;"")),1)),"")</f>
      </c>
      <c r="AC235" s="4">
        <f>IFERROR(INDEX(Intervenções!$K$2:$K$300,AGGREGATE(15,6,(ROW(Intervenções!$K$2:$K$300)-ROW(Intervenções!$K$2)+1)/((Intervenções!$B$2:$B$300=A235)*(Intervenções!$A$2:$A$300=F235)*(Intervenções!$K$2:$K$300&lt;&gt;"")),2)),"")</f>
      </c>
      <c r="AD235" s="4">
        <f>IFERROR(INDEX(Intervenções!$K$2:$K$300,AGGREGATE(15,6,(ROW(Intervenções!$K$2:$K$300)-ROW(Intervenções!$K$2)+1)/((Intervenções!$B$2:$B$300=A235)*(Intervenções!$A$2:$A$300=F235)*(Intervenções!$K$2:$K$300&lt;&gt;"")),3)),"")</f>
      </c>
      <c r="AE235" s="4">
        <f>"RECONCILIAÇÃO MEDICAMENTOSA"&amp;CHAR(10)&amp;IF(G235&lt;&gt;"","Medicamentos de uso prévio: "&amp;G235&amp;".","Sem medicamentos de uso prévio relatados.")&amp;CHAR(10)&amp;IF(H235&lt;&gt;"","Histórico de alergia/RAM: "&amp;H235&amp;".","Nega alergias/RAM conhecidas.")</f>
      </c>
      <c r="AF235" s="4">
        <f>AE235&amp;CHAR(10)&amp;CHAR(10)&amp;"1. Evolução Clínica"&amp;CHAR(10)&amp;TEXTJOIN(" ",TRUE,"Paciente "&amp;I235&amp;", "&amp;IF(J235="","sem DVA","em uso de "&amp;J235)&amp;".",IF(K235&lt;&gt;"","Em "&amp;K235&amp;IF(L235&lt;&gt;""," ("&amp;L235&amp;")","")&amp;IF(M235&lt;&gt;"", ", "&amp;M235,"")&amp;IF(N235&lt;&gt;"", ", sob analgosedação com "&amp;N235,"")&amp;".",""),IF(O235&lt;&gt;"",O235&amp;IF(P235&lt;&gt;"", ", com "&amp;LOWER(P235),"")&amp;IF(Q235&lt;&gt;"", " — "&amp;Q235,"")&amp;".",""),IF(R235="Febre","Apresentou episódio febril nas últimas 24h"&amp;IF(S235&lt;&gt;""," ("&amp;S235&amp;")","")&amp;".",IF(R235="Afebril","Encontra-se afebril.","")),IF(T235&lt;&gt;"",IF(U235="Sim","Apresenta disfunção renal aguda ","Função renal preservada ")&amp;"("&amp;T235&amp;").",""),IF(V235&lt;&gt;"","Em uso do esquema antimicrobiano com "&amp;V235&amp;".",""),IF(TEXTJOIN(", ",TRUE,IF(W235&lt;&gt;"","TEV ("&amp;W235&amp;")",""),IF(X235&lt;&gt;"","LAMG ("&amp;X235&amp;")",""),IF(Y235&lt;&gt;"","úlcera de córnea com "&amp;Y235,""))&lt;&gt;"","Em uso de profilaxia: "&amp;TEXTJOIN(", ",TRUE,IF(W235&lt;&gt;"","TEV ("&amp;W235&amp;")",""),IF(X235&lt;&gt;"","LAMG ("&amp;X235&amp;")",""),IF(Y235&lt;&gt;"","úlcera de córnea com "&amp;Y235,""))&amp;".",""))&amp;CHAR(10)&amp;CHAR(10)&amp;"2. Farmacoterapia"&amp;CHAR(10)&amp;IF(Z235&lt;&gt;"","Corticoide/DART: "&amp;Z235,"Sem corticoide/DART registrado.")&amp;CHAR(10)&amp;CHAR(10)&amp;"3. Conduta Farmacêutica"&amp;CHAR(10)&amp;IF(TEXTJOIN(CHAR(10),TRUE,AB235,AC235,AD235)="","Nenhuma intervenção registrada hoje.",TEXTJOIN(CHAR(10),TRUE,AB235,AC235,AD235))&amp;CHAR(10)&amp;CHAR(10)&amp;"4. Plano Terapêutico"&amp;CHAR(10)&amp;IF(AA235&lt;&gt;"",AA235,"Não definido.")</f>
      </c>
    </row>
    <row r="236" spans="1:32" x14ac:dyDescent="0.25">
      <c r="A236" s="4"/>
      <c r="B236" s="6">
        <f>IFERROR(INDEX(Pacientes!$A:$A,MATCH($A236,Pacientes!$B:$B,0)),"")</f>
      </c>
      <c r="C236" s="6">
        <f>IFERROR(INDEX(Pacientes!$C:$C,MATCH($A236,Pacientes!$B:$B,0)),"")</f>
      </c>
      <c r="D236" s="6">
        <f>IFERROR(INDEX(Pacientes!$D:$D,MATCH($A236,Pacientes!$B:$B,0)),"")</f>
      </c>
      <c r="E236" s="6">
        <f>IFERROR(INDEX(Pacientes!$E:$E,MATCH($A236,Pacientes!$B:$B,0)),"")</f>
      </c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>
        <f>IFERROR(INDEX(Intervenções!$K$2:$K$300,AGGREGATE(15,6,(ROW(Intervenções!$K$2:$K$300)-ROW(Intervenções!$K$2)+1)/((Intervenções!$B$2:$B$300=A236)*(Intervenções!$A$2:$A$300=F236)*(Intervenções!$K$2:$K$300&lt;&gt;"")),1)),"")</f>
      </c>
      <c r="AC236" s="4">
        <f>IFERROR(INDEX(Intervenções!$K$2:$K$300,AGGREGATE(15,6,(ROW(Intervenções!$K$2:$K$300)-ROW(Intervenções!$K$2)+1)/((Intervenções!$B$2:$B$300=A236)*(Intervenções!$A$2:$A$300=F236)*(Intervenções!$K$2:$K$300&lt;&gt;"")),2)),"")</f>
      </c>
      <c r="AD236" s="4">
        <f>IFERROR(INDEX(Intervenções!$K$2:$K$300,AGGREGATE(15,6,(ROW(Intervenções!$K$2:$K$300)-ROW(Intervenções!$K$2)+1)/((Intervenções!$B$2:$B$300=A236)*(Intervenções!$A$2:$A$300=F236)*(Intervenções!$K$2:$K$300&lt;&gt;"")),3)),"")</f>
      </c>
      <c r="AE236" s="4">
        <f>"RECONCILIAÇÃO MEDICAMENTOSA"&amp;CHAR(10)&amp;IF(G236&lt;&gt;"","Medicamentos de uso prévio: "&amp;G236&amp;".","Sem medicamentos de uso prévio relatados.")&amp;CHAR(10)&amp;IF(H236&lt;&gt;"","Histórico de alergia/RAM: "&amp;H236&amp;".","Nega alergias/RAM conhecidas.")</f>
      </c>
      <c r="AF236" s="4">
        <f>AE236&amp;CHAR(10)&amp;CHAR(10)&amp;"1. Evolução Clínica"&amp;CHAR(10)&amp;TEXTJOIN(" ",TRUE,"Paciente "&amp;I236&amp;", "&amp;IF(J236="","sem DVA","em uso de "&amp;J236)&amp;".",IF(K236&lt;&gt;"","Em "&amp;K236&amp;IF(L236&lt;&gt;""," ("&amp;L236&amp;")","")&amp;IF(M236&lt;&gt;"", ", "&amp;M236,"")&amp;IF(N236&lt;&gt;"", ", sob analgosedação com "&amp;N236,"")&amp;".",""),IF(O236&lt;&gt;"",O236&amp;IF(P236&lt;&gt;"", ", com "&amp;LOWER(P236),"")&amp;IF(Q236&lt;&gt;"", " — "&amp;Q236,"")&amp;".",""),IF(R236="Febre","Apresentou episódio febril nas últimas 24h"&amp;IF(S236&lt;&gt;""," ("&amp;S236&amp;")","")&amp;".",IF(R236="Afebril","Encontra-se afebril.","")),IF(T236&lt;&gt;"",IF(U236="Sim","Apresenta disfunção renal aguda ","Função renal preservada ")&amp;"("&amp;T236&amp;").",""),IF(V236&lt;&gt;"","Em uso do esquema antimicrobiano com "&amp;V236&amp;".",""),IF(TEXTJOIN(", ",TRUE,IF(W236&lt;&gt;"","TEV ("&amp;W236&amp;")",""),IF(X236&lt;&gt;"","LAMG ("&amp;X236&amp;")",""),IF(Y236&lt;&gt;"","úlcera de córnea com "&amp;Y236,""))&lt;&gt;"","Em uso de profilaxia: "&amp;TEXTJOIN(", ",TRUE,IF(W236&lt;&gt;"","TEV ("&amp;W236&amp;")",""),IF(X236&lt;&gt;"","LAMG ("&amp;X236&amp;")",""),IF(Y236&lt;&gt;"","úlcera de córnea com "&amp;Y236,""))&amp;".",""))&amp;CHAR(10)&amp;CHAR(10)&amp;"2. Farmacoterapia"&amp;CHAR(10)&amp;IF(Z236&lt;&gt;"","Corticoide/DART: "&amp;Z236,"Sem corticoide/DART registrado.")&amp;CHAR(10)&amp;CHAR(10)&amp;"3. Conduta Farmacêutica"&amp;CHAR(10)&amp;IF(TEXTJOIN(CHAR(10),TRUE,AB236,AC236,AD236)="","Nenhuma intervenção registrada hoje.",TEXTJOIN(CHAR(10),TRUE,AB236,AC236,AD236))&amp;CHAR(10)&amp;CHAR(10)&amp;"4. Plano Terapêutico"&amp;CHAR(10)&amp;IF(AA236&lt;&gt;"",AA236,"Não definido.")</f>
      </c>
    </row>
    <row r="237" spans="1:32" x14ac:dyDescent="0.25">
      <c r="A237" s="4"/>
      <c r="B237" s="6">
        <f>IFERROR(INDEX(Pacientes!$A:$A,MATCH($A237,Pacientes!$B:$B,0)),"")</f>
      </c>
      <c r="C237" s="6">
        <f>IFERROR(INDEX(Pacientes!$C:$C,MATCH($A237,Pacientes!$B:$B,0)),"")</f>
      </c>
      <c r="D237" s="6">
        <f>IFERROR(INDEX(Pacientes!$D:$D,MATCH($A237,Pacientes!$B:$B,0)),"")</f>
      </c>
      <c r="E237" s="6">
        <f>IFERROR(INDEX(Pacientes!$E:$E,MATCH($A237,Pacientes!$B:$B,0)),"")</f>
      </c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>
        <f>IFERROR(INDEX(Intervenções!$K$2:$K$300,AGGREGATE(15,6,(ROW(Intervenções!$K$2:$K$300)-ROW(Intervenções!$K$2)+1)/((Intervenções!$B$2:$B$300=A237)*(Intervenções!$A$2:$A$300=F237)*(Intervenções!$K$2:$K$300&lt;&gt;"")),1)),"")</f>
      </c>
      <c r="AC237" s="4">
        <f>IFERROR(INDEX(Intervenções!$K$2:$K$300,AGGREGATE(15,6,(ROW(Intervenções!$K$2:$K$300)-ROW(Intervenções!$K$2)+1)/((Intervenções!$B$2:$B$300=A237)*(Intervenções!$A$2:$A$300=F237)*(Intervenções!$K$2:$K$300&lt;&gt;"")),2)),"")</f>
      </c>
      <c r="AD237" s="4">
        <f>IFERROR(INDEX(Intervenções!$K$2:$K$300,AGGREGATE(15,6,(ROW(Intervenções!$K$2:$K$300)-ROW(Intervenções!$K$2)+1)/((Intervenções!$B$2:$B$300=A237)*(Intervenções!$A$2:$A$300=F237)*(Intervenções!$K$2:$K$300&lt;&gt;"")),3)),"")</f>
      </c>
      <c r="AE237" s="4">
        <f>"RECONCILIAÇÃO MEDICAMENTOSA"&amp;CHAR(10)&amp;IF(G237&lt;&gt;"","Medicamentos de uso prévio: "&amp;G237&amp;".","Sem medicamentos de uso prévio relatados.")&amp;CHAR(10)&amp;IF(H237&lt;&gt;"","Histórico de alergia/RAM: "&amp;H237&amp;".","Nega alergias/RAM conhecidas.")</f>
      </c>
      <c r="AF237" s="4">
        <f>AE237&amp;CHAR(10)&amp;CHAR(10)&amp;"1. Evolução Clínica"&amp;CHAR(10)&amp;TEXTJOIN(" ",TRUE,"Paciente "&amp;I237&amp;", "&amp;IF(J237="","sem DVA","em uso de "&amp;J237)&amp;".",IF(K237&lt;&gt;"","Em "&amp;K237&amp;IF(L237&lt;&gt;""," ("&amp;L237&amp;")","")&amp;IF(M237&lt;&gt;"", ", "&amp;M237,"")&amp;IF(N237&lt;&gt;"", ", sob analgosedação com "&amp;N237,"")&amp;".",""),IF(O237&lt;&gt;"",O237&amp;IF(P237&lt;&gt;"", ", com "&amp;LOWER(P237),"")&amp;IF(Q237&lt;&gt;"", " — "&amp;Q237,"")&amp;".",""),IF(R237="Febre","Apresentou episódio febril nas últimas 24h"&amp;IF(S237&lt;&gt;""," ("&amp;S237&amp;")","")&amp;".",IF(R237="Afebril","Encontra-se afebril.","")),IF(T237&lt;&gt;"",IF(U237="Sim","Apresenta disfunção renal aguda ","Função renal preservada ")&amp;"("&amp;T237&amp;").",""),IF(V237&lt;&gt;"","Em uso do esquema antimicrobiano com "&amp;V237&amp;".",""),IF(TEXTJOIN(", ",TRUE,IF(W237&lt;&gt;"","TEV ("&amp;W237&amp;")",""),IF(X237&lt;&gt;"","LAMG ("&amp;X237&amp;")",""),IF(Y237&lt;&gt;"","úlcera de córnea com "&amp;Y237,""))&lt;&gt;"","Em uso de profilaxia: "&amp;TEXTJOIN(", ",TRUE,IF(W237&lt;&gt;"","TEV ("&amp;W237&amp;")",""),IF(X237&lt;&gt;"","LAMG ("&amp;X237&amp;")",""),IF(Y237&lt;&gt;"","úlcera de córnea com "&amp;Y237,""))&amp;".",""))&amp;CHAR(10)&amp;CHAR(10)&amp;"2. Farmacoterapia"&amp;CHAR(10)&amp;IF(Z237&lt;&gt;"","Corticoide/DART: "&amp;Z237,"Sem corticoide/DART registrado.")&amp;CHAR(10)&amp;CHAR(10)&amp;"3. Conduta Farmacêutica"&amp;CHAR(10)&amp;IF(TEXTJOIN(CHAR(10),TRUE,AB237,AC237,AD237)="","Nenhuma intervenção registrada hoje.",TEXTJOIN(CHAR(10),TRUE,AB237,AC237,AD237))&amp;CHAR(10)&amp;CHAR(10)&amp;"4. Plano Terapêutico"&amp;CHAR(10)&amp;IF(AA237&lt;&gt;"",AA237,"Não definido.")</f>
      </c>
    </row>
    <row r="238" spans="1:32" x14ac:dyDescent="0.25">
      <c r="A238" s="4"/>
      <c r="B238" s="6">
        <f>IFERROR(INDEX(Pacientes!$A:$A,MATCH($A238,Pacientes!$B:$B,0)),"")</f>
      </c>
      <c r="C238" s="6">
        <f>IFERROR(INDEX(Pacientes!$C:$C,MATCH($A238,Pacientes!$B:$B,0)),"")</f>
      </c>
      <c r="D238" s="6">
        <f>IFERROR(INDEX(Pacientes!$D:$D,MATCH($A238,Pacientes!$B:$B,0)),"")</f>
      </c>
      <c r="E238" s="6">
        <f>IFERROR(INDEX(Pacientes!$E:$E,MATCH($A238,Pacientes!$B:$B,0)),"")</f>
      </c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>
        <f>IFERROR(INDEX(Intervenções!$K$2:$K$300,AGGREGATE(15,6,(ROW(Intervenções!$K$2:$K$300)-ROW(Intervenções!$K$2)+1)/((Intervenções!$B$2:$B$300=A238)*(Intervenções!$A$2:$A$300=F238)*(Intervenções!$K$2:$K$300&lt;&gt;"")),1)),"")</f>
      </c>
      <c r="AC238" s="4">
        <f>IFERROR(INDEX(Intervenções!$K$2:$K$300,AGGREGATE(15,6,(ROW(Intervenções!$K$2:$K$300)-ROW(Intervenções!$K$2)+1)/((Intervenções!$B$2:$B$300=A238)*(Intervenções!$A$2:$A$300=F238)*(Intervenções!$K$2:$K$300&lt;&gt;"")),2)),"")</f>
      </c>
      <c r="AD238" s="4">
        <f>IFERROR(INDEX(Intervenções!$K$2:$K$300,AGGREGATE(15,6,(ROW(Intervenções!$K$2:$K$300)-ROW(Intervenções!$K$2)+1)/((Intervenções!$B$2:$B$300=A238)*(Intervenções!$A$2:$A$300=F238)*(Intervenções!$K$2:$K$300&lt;&gt;"")),3)),"")</f>
      </c>
      <c r="AE238" s="4">
        <f>"RECONCILIAÇÃO MEDICAMENTOSA"&amp;CHAR(10)&amp;IF(G238&lt;&gt;"","Medicamentos de uso prévio: "&amp;G238&amp;".","Sem medicamentos de uso prévio relatados.")&amp;CHAR(10)&amp;IF(H238&lt;&gt;"","Histórico de alergia/RAM: "&amp;H238&amp;".","Nega alergias/RAM conhecidas.")</f>
      </c>
      <c r="AF238" s="4">
        <f>AE238&amp;CHAR(10)&amp;CHAR(10)&amp;"1. Evolução Clínica"&amp;CHAR(10)&amp;TEXTJOIN(" ",TRUE,"Paciente "&amp;I238&amp;", "&amp;IF(J238="","sem DVA","em uso de "&amp;J238)&amp;".",IF(K238&lt;&gt;"","Em "&amp;K238&amp;IF(L238&lt;&gt;""," ("&amp;L238&amp;")","")&amp;IF(M238&lt;&gt;"", ", "&amp;M238,"")&amp;IF(N238&lt;&gt;"", ", sob analgosedação com "&amp;N238,"")&amp;".",""),IF(O238&lt;&gt;"",O238&amp;IF(P238&lt;&gt;"", ", com "&amp;LOWER(P238),"")&amp;IF(Q238&lt;&gt;"", " — "&amp;Q238,"")&amp;".",""),IF(R238="Febre","Apresentou episódio febril nas últimas 24h"&amp;IF(S238&lt;&gt;""," ("&amp;S238&amp;")","")&amp;".",IF(R238="Afebril","Encontra-se afebril.","")),IF(T238&lt;&gt;"",IF(U238="Sim","Apresenta disfunção renal aguda ","Função renal preservada ")&amp;"("&amp;T238&amp;").",""),IF(V238&lt;&gt;"","Em uso do esquema antimicrobiano com "&amp;V238&amp;".",""),IF(TEXTJOIN(", ",TRUE,IF(W238&lt;&gt;"","TEV ("&amp;W238&amp;")",""),IF(X238&lt;&gt;"","LAMG ("&amp;X238&amp;")",""),IF(Y238&lt;&gt;"","úlcera de córnea com "&amp;Y238,""))&lt;&gt;"","Em uso de profilaxia: "&amp;TEXTJOIN(", ",TRUE,IF(W238&lt;&gt;"","TEV ("&amp;W238&amp;")",""),IF(X238&lt;&gt;"","LAMG ("&amp;X238&amp;")",""),IF(Y238&lt;&gt;"","úlcera de córnea com "&amp;Y238,""))&amp;".",""))&amp;CHAR(10)&amp;CHAR(10)&amp;"2. Farmacoterapia"&amp;CHAR(10)&amp;IF(Z238&lt;&gt;"","Corticoide/DART: "&amp;Z238,"Sem corticoide/DART registrado.")&amp;CHAR(10)&amp;CHAR(10)&amp;"3. Conduta Farmacêutica"&amp;CHAR(10)&amp;IF(TEXTJOIN(CHAR(10),TRUE,AB238,AC238,AD238)="","Nenhuma intervenção registrada hoje.",TEXTJOIN(CHAR(10),TRUE,AB238,AC238,AD238))&amp;CHAR(10)&amp;CHAR(10)&amp;"4. Plano Terapêutico"&amp;CHAR(10)&amp;IF(AA238&lt;&gt;"",AA238,"Não definido.")</f>
      </c>
    </row>
    <row r="239" spans="1:32" x14ac:dyDescent="0.25">
      <c r="A239" s="4"/>
      <c r="B239" s="6">
        <f>IFERROR(INDEX(Pacientes!$A:$A,MATCH($A239,Pacientes!$B:$B,0)),"")</f>
      </c>
      <c r="C239" s="6">
        <f>IFERROR(INDEX(Pacientes!$C:$C,MATCH($A239,Pacientes!$B:$B,0)),"")</f>
      </c>
      <c r="D239" s="6">
        <f>IFERROR(INDEX(Pacientes!$D:$D,MATCH($A239,Pacientes!$B:$B,0)),"")</f>
      </c>
      <c r="E239" s="6">
        <f>IFERROR(INDEX(Pacientes!$E:$E,MATCH($A239,Pacientes!$B:$B,0)),"")</f>
      </c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>
        <f>IFERROR(INDEX(Intervenções!$K$2:$K$300,AGGREGATE(15,6,(ROW(Intervenções!$K$2:$K$300)-ROW(Intervenções!$K$2)+1)/((Intervenções!$B$2:$B$300=A239)*(Intervenções!$A$2:$A$300=F239)*(Intervenções!$K$2:$K$300&lt;&gt;"")),1)),"")</f>
      </c>
      <c r="AC239" s="4">
        <f>IFERROR(INDEX(Intervenções!$K$2:$K$300,AGGREGATE(15,6,(ROW(Intervenções!$K$2:$K$300)-ROW(Intervenções!$K$2)+1)/((Intervenções!$B$2:$B$300=A239)*(Intervenções!$A$2:$A$300=F239)*(Intervenções!$K$2:$K$300&lt;&gt;"")),2)),"")</f>
      </c>
      <c r="AD239" s="4">
        <f>IFERROR(INDEX(Intervenções!$K$2:$K$300,AGGREGATE(15,6,(ROW(Intervenções!$K$2:$K$300)-ROW(Intervenções!$K$2)+1)/((Intervenções!$B$2:$B$300=A239)*(Intervenções!$A$2:$A$300=F239)*(Intervenções!$K$2:$K$300&lt;&gt;"")),3)),"")</f>
      </c>
      <c r="AE239" s="4">
        <f>"RECONCILIAÇÃO MEDICAMENTOSA"&amp;CHAR(10)&amp;IF(G239&lt;&gt;"","Medicamentos de uso prévio: "&amp;G239&amp;".","Sem medicamentos de uso prévio relatados.")&amp;CHAR(10)&amp;IF(H239&lt;&gt;"","Histórico de alergia/RAM: "&amp;H239&amp;".","Nega alergias/RAM conhecidas.")</f>
      </c>
      <c r="AF239" s="4">
        <f>AE239&amp;CHAR(10)&amp;CHAR(10)&amp;"1. Evolução Clínica"&amp;CHAR(10)&amp;TEXTJOIN(" ",TRUE,"Paciente "&amp;I239&amp;", "&amp;IF(J239="","sem DVA","em uso de "&amp;J239)&amp;".",IF(K239&lt;&gt;"","Em "&amp;K239&amp;IF(L239&lt;&gt;""," ("&amp;L239&amp;")","")&amp;IF(M239&lt;&gt;"", ", "&amp;M239,"")&amp;IF(N239&lt;&gt;"", ", sob analgosedação com "&amp;N239,"")&amp;".",""),IF(O239&lt;&gt;"",O239&amp;IF(P239&lt;&gt;"", ", com "&amp;LOWER(P239),"")&amp;IF(Q239&lt;&gt;"", " — "&amp;Q239,"")&amp;".",""),IF(R239="Febre","Apresentou episódio febril nas últimas 24h"&amp;IF(S239&lt;&gt;""," ("&amp;S239&amp;")","")&amp;".",IF(R239="Afebril","Encontra-se afebril.","")),IF(T239&lt;&gt;"",IF(U239="Sim","Apresenta disfunção renal aguda ","Função renal preservada ")&amp;"("&amp;T239&amp;").",""),IF(V239&lt;&gt;"","Em uso do esquema antimicrobiano com "&amp;V239&amp;".",""),IF(TEXTJOIN(", ",TRUE,IF(W239&lt;&gt;"","TEV ("&amp;W239&amp;")",""),IF(X239&lt;&gt;"","LAMG ("&amp;X239&amp;")",""),IF(Y239&lt;&gt;"","úlcera de córnea com "&amp;Y239,""))&lt;&gt;"","Em uso de profilaxia: "&amp;TEXTJOIN(", ",TRUE,IF(W239&lt;&gt;"","TEV ("&amp;W239&amp;")",""),IF(X239&lt;&gt;"","LAMG ("&amp;X239&amp;")",""),IF(Y239&lt;&gt;"","úlcera de córnea com "&amp;Y239,""))&amp;".",""))&amp;CHAR(10)&amp;CHAR(10)&amp;"2. Farmacoterapia"&amp;CHAR(10)&amp;IF(Z239&lt;&gt;"","Corticoide/DART: "&amp;Z239,"Sem corticoide/DART registrado.")&amp;CHAR(10)&amp;CHAR(10)&amp;"3. Conduta Farmacêutica"&amp;CHAR(10)&amp;IF(TEXTJOIN(CHAR(10),TRUE,AB239,AC239,AD239)="","Nenhuma intervenção registrada hoje.",TEXTJOIN(CHAR(10),TRUE,AB239,AC239,AD239))&amp;CHAR(10)&amp;CHAR(10)&amp;"4. Plano Terapêutico"&amp;CHAR(10)&amp;IF(AA239&lt;&gt;"",AA239,"Não definido.")</f>
      </c>
    </row>
    <row r="240" spans="1:32" x14ac:dyDescent="0.25">
      <c r="A240" s="4"/>
      <c r="B240" s="6">
        <f>IFERROR(INDEX(Pacientes!$A:$A,MATCH($A240,Pacientes!$B:$B,0)),"")</f>
      </c>
      <c r="C240" s="6">
        <f>IFERROR(INDEX(Pacientes!$C:$C,MATCH($A240,Pacientes!$B:$B,0)),"")</f>
      </c>
      <c r="D240" s="6">
        <f>IFERROR(INDEX(Pacientes!$D:$D,MATCH($A240,Pacientes!$B:$B,0)),"")</f>
      </c>
      <c r="E240" s="6">
        <f>IFERROR(INDEX(Pacientes!$E:$E,MATCH($A240,Pacientes!$B:$B,0)),"")</f>
      </c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>
        <f>IFERROR(INDEX(Intervenções!$K$2:$K$300,AGGREGATE(15,6,(ROW(Intervenções!$K$2:$K$300)-ROW(Intervenções!$K$2)+1)/((Intervenções!$B$2:$B$300=A240)*(Intervenções!$A$2:$A$300=F240)*(Intervenções!$K$2:$K$300&lt;&gt;"")),1)),"")</f>
      </c>
      <c r="AC240" s="4">
        <f>IFERROR(INDEX(Intervenções!$K$2:$K$300,AGGREGATE(15,6,(ROW(Intervenções!$K$2:$K$300)-ROW(Intervenções!$K$2)+1)/((Intervenções!$B$2:$B$300=A240)*(Intervenções!$A$2:$A$300=F240)*(Intervenções!$K$2:$K$300&lt;&gt;"")),2)),"")</f>
      </c>
      <c r="AD240" s="4">
        <f>IFERROR(INDEX(Intervenções!$K$2:$K$300,AGGREGATE(15,6,(ROW(Intervenções!$K$2:$K$300)-ROW(Intervenções!$K$2)+1)/((Intervenções!$B$2:$B$300=A240)*(Intervenções!$A$2:$A$300=F240)*(Intervenções!$K$2:$K$300&lt;&gt;"")),3)),"")</f>
      </c>
      <c r="AE240" s="4">
        <f>"RECONCILIAÇÃO MEDICAMENTOSA"&amp;CHAR(10)&amp;IF(G240&lt;&gt;"","Medicamentos de uso prévio: "&amp;G240&amp;".","Sem medicamentos de uso prévio relatados.")&amp;CHAR(10)&amp;IF(H240&lt;&gt;"","Histórico de alergia/RAM: "&amp;H240&amp;".","Nega alergias/RAM conhecidas.")</f>
      </c>
      <c r="AF240" s="4">
        <f>AE240&amp;CHAR(10)&amp;CHAR(10)&amp;"1. Evolução Clínica"&amp;CHAR(10)&amp;TEXTJOIN(" ",TRUE,"Paciente "&amp;I240&amp;", "&amp;IF(J240="","sem DVA","em uso de "&amp;J240)&amp;".",IF(K240&lt;&gt;"","Em "&amp;K240&amp;IF(L240&lt;&gt;""," ("&amp;L240&amp;")","")&amp;IF(M240&lt;&gt;"", ", "&amp;M240,"")&amp;IF(N240&lt;&gt;"", ", sob analgosedação com "&amp;N240,"")&amp;".",""),IF(O240&lt;&gt;"",O240&amp;IF(P240&lt;&gt;"", ", com "&amp;LOWER(P240),"")&amp;IF(Q240&lt;&gt;"", " — "&amp;Q240,"")&amp;".",""),IF(R240="Febre","Apresentou episódio febril nas últimas 24h"&amp;IF(S240&lt;&gt;""," ("&amp;S240&amp;")","")&amp;".",IF(R240="Afebril","Encontra-se afebril.","")),IF(T240&lt;&gt;"",IF(U240="Sim","Apresenta disfunção renal aguda ","Função renal preservada ")&amp;"("&amp;T240&amp;").",""),IF(V240&lt;&gt;"","Em uso do esquema antimicrobiano com "&amp;V240&amp;".",""),IF(TEXTJOIN(", ",TRUE,IF(W240&lt;&gt;"","TEV ("&amp;W240&amp;")",""),IF(X240&lt;&gt;"","LAMG ("&amp;X240&amp;")",""),IF(Y240&lt;&gt;"","úlcera de córnea com "&amp;Y240,""))&lt;&gt;"","Em uso de profilaxia: "&amp;TEXTJOIN(", ",TRUE,IF(W240&lt;&gt;"","TEV ("&amp;W240&amp;")",""),IF(X240&lt;&gt;"","LAMG ("&amp;X240&amp;")",""),IF(Y240&lt;&gt;"","úlcera de córnea com "&amp;Y240,""))&amp;".",""))&amp;CHAR(10)&amp;CHAR(10)&amp;"2. Farmacoterapia"&amp;CHAR(10)&amp;IF(Z240&lt;&gt;"","Corticoide/DART: "&amp;Z240,"Sem corticoide/DART registrado.")&amp;CHAR(10)&amp;CHAR(10)&amp;"3. Conduta Farmacêutica"&amp;CHAR(10)&amp;IF(TEXTJOIN(CHAR(10),TRUE,AB240,AC240,AD240)="","Nenhuma intervenção registrada hoje.",TEXTJOIN(CHAR(10),TRUE,AB240,AC240,AD240))&amp;CHAR(10)&amp;CHAR(10)&amp;"4. Plano Terapêutico"&amp;CHAR(10)&amp;IF(AA240&lt;&gt;"",AA240,"Não definido.")</f>
      </c>
    </row>
    <row r="241" spans="1:32" x14ac:dyDescent="0.25">
      <c r="A241" s="4"/>
      <c r="B241" s="6">
        <f>IFERROR(INDEX(Pacientes!$A:$A,MATCH($A241,Pacientes!$B:$B,0)),"")</f>
      </c>
      <c r="C241" s="6">
        <f>IFERROR(INDEX(Pacientes!$C:$C,MATCH($A241,Pacientes!$B:$B,0)),"")</f>
      </c>
      <c r="D241" s="6">
        <f>IFERROR(INDEX(Pacientes!$D:$D,MATCH($A241,Pacientes!$B:$B,0)),"")</f>
      </c>
      <c r="E241" s="6">
        <f>IFERROR(INDEX(Pacientes!$E:$E,MATCH($A241,Pacientes!$B:$B,0)),"")</f>
      </c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>
        <f>IFERROR(INDEX(Intervenções!$K$2:$K$300,AGGREGATE(15,6,(ROW(Intervenções!$K$2:$K$300)-ROW(Intervenções!$K$2)+1)/((Intervenções!$B$2:$B$300=A241)*(Intervenções!$A$2:$A$300=F241)*(Intervenções!$K$2:$K$300&lt;&gt;"")),1)),"")</f>
      </c>
      <c r="AC241" s="4">
        <f>IFERROR(INDEX(Intervenções!$K$2:$K$300,AGGREGATE(15,6,(ROW(Intervenções!$K$2:$K$300)-ROW(Intervenções!$K$2)+1)/((Intervenções!$B$2:$B$300=A241)*(Intervenções!$A$2:$A$300=F241)*(Intervenções!$K$2:$K$300&lt;&gt;"")),2)),"")</f>
      </c>
      <c r="AD241" s="4">
        <f>IFERROR(INDEX(Intervenções!$K$2:$K$300,AGGREGATE(15,6,(ROW(Intervenções!$K$2:$K$300)-ROW(Intervenções!$K$2)+1)/((Intervenções!$B$2:$B$300=A241)*(Intervenções!$A$2:$A$300=F241)*(Intervenções!$K$2:$K$300&lt;&gt;"")),3)),"")</f>
      </c>
      <c r="AE241" s="4">
        <f>"RECONCILIAÇÃO MEDICAMENTOSA"&amp;CHAR(10)&amp;IF(G241&lt;&gt;"","Medicamentos de uso prévio: "&amp;G241&amp;".","Sem medicamentos de uso prévio relatados.")&amp;CHAR(10)&amp;IF(H241&lt;&gt;"","Histórico de alergia/RAM: "&amp;H241&amp;".","Nega alergias/RAM conhecidas.")</f>
      </c>
      <c r="AF241" s="4">
        <f>AE241&amp;CHAR(10)&amp;CHAR(10)&amp;"1. Evolução Clínica"&amp;CHAR(10)&amp;TEXTJOIN(" ",TRUE,"Paciente "&amp;I241&amp;", "&amp;IF(J241="","sem DVA","em uso de "&amp;J241)&amp;".",IF(K241&lt;&gt;"","Em "&amp;K241&amp;IF(L241&lt;&gt;""," ("&amp;L241&amp;")","")&amp;IF(M241&lt;&gt;"", ", "&amp;M241,"")&amp;IF(N241&lt;&gt;"", ", sob analgosedação com "&amp;N241,"")&amp;".",""),IF(O241&lt;&gt;"",O241&amp;IF(P241&lt;&gt;"", ", com "&amp;LOWER(P241),"")&amp;IF(Q241&lt;&gt;"", " — "&amp;Q241,"")&amp;".",""),IF(R241="Febre","Apresentou episódio febril nas últimas 24h"&amp;IF(S241&lt;&gt;""," ("&amp;S241&amp;")","")&amp;".",IF(R241="Afebril","Encontra-se afebril.","")),IF(T241&lt;&gt;"",IF(U241="Sim","Apresenta disfunção renal aguda ","Função renal preservada ")&amp;"("&amp;T241&amp;").",""),IF(V241&lt;&gt;"","Em uso do esquema antimicrobiano com "&amp;V241&amp;".",""),IF(TEXTJOIN(", ",TRUE,IF(W241&lt;&gt;"","TEV ("&amp;W241&amp;")",""),IF(X241&lt;&gt;"","LAMG ("&amp;X241&amp;")",""),IF(Y241&lt;&gt;"","úlcera de córnea com "&amp;Y241,""))&lt;&gt;"","Em uso de profilaxia: "&amp;TEXTJOIN(", ",TRUE,IF(W241&lt;&gt;"","TEV ("&amp;W241&amp;")",""),IF(X241&lt;&gt;"","LAMG ("&amp;X241&amp;")",""),IF(Y241&lt;&gt;"","úlcera de córnea com "&amp;Y241,""))&amp;".",""))&amp;CHAR(10)&amp;CHAR(10)&amp;"2. Farmacoterapia"&amp;CHAR(10)&amp;IF(Z241&lt;&gt;"","Corticoide/DART: "&amp;Z241,"Sem corticoide/DART registrado.")&amp;CHAR(10)&amp;CHAR(10)&amp;"3. Conduta Farmacêutica"&amp;CHAR(10)&amp;IF(TEXTJOIN(CHAR(10),TRUE,AB241,AC241,AD241)="","Nenhuma intervenção registrada hoje.",TEXTJOIN(CHAR(10),TRUE,AB241,AC241,AD241))&amp;CHAR(10)&amp;CHAR(10)&amp;"4. Plano Terapêutico"&amp;CHAR(10)&amp;IF(AA241&lt;&gt;"",AA241,"Não definido.")</f>
      </c>
    </row>
    <row r="242" spans="1:32" x14ac:dyDescent="0.25">
      <c r="A242" s="4"/>
      <c r="B242" s="6">
        <f>IFERROR(INDEX(Pacientes!$A:$A,MATCH($A242,Pacientes!$B:$B,0)),"")</f>
      </c>
      <c r="C242" s="6">
        <f>IFERROR(INDEX(Pacientes!$C:$C,MATCH($A242,Pacientes!$B:$B,0)),"")</f>
      </c>
      <c r="D242" s="6">
        <f>IFERROR(INDEX(Pacientes!$D:$D,MATCH($A242,Pacientes!$B:$B,0)),"")</f>
      </c>
      <c r="E242" s="6">
        <f>IFERROR(INDEX(Pacientes!$E:$E,MATCH($A242,Pacientes!$B:$B,0)),"")</f>
      </c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>
        <f>IFERROR(INDEX(Intervenções!$K$2:$K$300,AGGREGATE(15,6,(ROW(Intervenções!$K$2:$K$300)-ROW(Intervenções!$K$2)+1)/((Intervenções!$B$2:$B$300=A242)*(Intervenções!$A$2:$A$300=F242)*(Intervenções!$K$2:$K$300&lt;&gt;"")),1)),"")</f>
      </c>
      <c r="AC242" s="4">
        <f>IFERROR(INDEX(Intervenções!$K$2:$K$300,AGGREGATE(15,6,(ROW(Intervenções!$K$2:$K$300)-ROW(Intervenções!$K$2)+1)/((Intervenções!$B$2:$B$300=A242)*(Intervenções!$A$2:$A$300=F242)*(Intervenções!$K$2:$K$300&lt;&gt;"")),2)),"")</f>
      </c>
      <c r="AD242" s="4">
        <f>IFERROR(INDEX(Intervenções!$K$2:$K$300,AGGREGATE(15,6,(ROW(Intervenções!$K$2:$K$300)-ROW(Intervenções!$K$2)+1)/((Intervenções!$B$2:$B$300=A242)*(Intervenções!$A$2:$A$300=F242)*(Intervenções!$K$2:$K$300&lt;&gt;"")),3)),"")</f>
      </c>
      <c r="AE242" s="4">
        <f>"RECONCILIAÇÃO MEDICAMENTOSA"&amp;CHAR(10)&amp;IF(G242&lt;&gt;"","Medicamentos de uso prévio: "&amp;G242&amp;".","Sem medicamentos de uso prévio relatados.")&amp;CHAR(10)&amp;IF(H242&lt;&gt;"","Histórico de alergia/RAM: "&amp;H242&amp;".","Nega alergias/RAM conhecidas.")</f>
      </c>
      <c r="AF242" s="4">
        <f>AE242&amp;CHAR(10)&amp;CHAR(10)&amp;"1. Evolução Clínica"&amp;CHAR(10)&amp;TEXTJOIN(" ",TRUE,"Paciente "&amp;I242&amp;", "&amp;IF(J242="","sem DVA","em uso de "&amp;J242)&amp;".",IF(K242&lt;&gt;"","Em "&amp;K242&amp;IF(L242&lt;&gt;""," ("&amp;L242&amp;")","")&amp;IF(M242&lt;&gt;"", ", "&amp;M242,"")&amp;IF(N242&lt;&gt;"", ", sob analgosedação com "&amp;N242,"")&amp;".",""),IF(O242&lt;&gt;"",O242&amp;IF(P242&lt;&gt;"", ", com "&amp;LOWER(P242),"")&amp;IF(Q242&lt;&gt;"", " — "&amp;Q242,"")&amp;".",""),IF(R242="Febre","Apresentou episódio febril nas últimas 24h"&amp;IF(S242&lt;&gt;""," ("&amp;S242&amp;")","")&amp;".",IF(R242="Afebril","Encontra-se afebril.","")),IF(T242&lt;&gt;"",IF(U242="Sim","Apresenta disfunção renal aguda ","Função renal preservada ")&amp;"("&amp;T242&amp;").",""),IF(V242&lt;&gt;"","Em uso do esquema antimicrobiano com "&amp;V242&amp;".",""),IF(TEXTJOIN(", ",TRUE,IF(W242&lt;&gt;"","TEV ("&amp;W242&amp;")",""),IF(X242&lt;&gt;"","LAMG ("&amp;X242&amp;")",""),IF(Y242&lt;&gt;"","úlcera de córnea com "&amp;Y242,""))&lt;&gt;"","Em uso de profilaxia: "&amp;TEXTJOIN(", ",TRUE,IF(W242&lt;&gt;"","TEV ("&amp;W242&amp;")",""),IF(X242&lt;&gt;"","LAMG ("&amp;X242&amp;")",""),IF(Y242&lt;&gt;"","úlcera de córnea com "&amp;Y242,""))&amp;".",""))&amp;CHAR(10)&amp;CHAR(10)&amp;"2. Farmacoterapia"&amp;CHAR(10)&amp;IF(Z242&lt;&gt;"","Corticoide/DART: "&amp;Z242,"Sem corticoide/DART registrado.")&amp;CHAR(10)&amp;CHAR(10)&amp;"3. Conduta Farmacêutica"&amp;CHAR(10)&amp;IF(TEXTJOIN(CHAR(10),TRUE,AB242,AC242,AD242)="","Nenhuma intervenção registrada hoje.",TEXTJOIN(CHAR(10),TRUE,AB242,AC242,AD242))&amp;CHAR(10)&amp;CHAR(10)&amp;"4. Plano Terapêutico"&amp;CHAR(10)&amp;IF(AA242&lt;&gt;"",AA242,"Não definido.")</f>
      </c>
    </row>
    <row r="243" spans="1:32" x14ac:dyDescent="0.25">
      <c r="A243" s="4"/>
      <c r="B243" s="6">
        <f>IFERROR(INDEX(Pacientes!$A:$A,MATCH($A243,Pacientes!$B:$B,0)),"")</f>
      </c>
      <c r="C243" s="6">
        <f>IFERROR(INDEX(Pacientes!$C:$C,MATCH($A243,Pacientes!$B:$B,0)),"")</f>
      </c>
      <c r="D243" s="6">
        <f>IFERROR(INDEX(Pacientes!$D:$D,MATCH($A243,Pacientes!$B:$B,0)),"")</f>
      </c>
      <c r="E243" s="6">
        <f>IFERROR(INDEX(Pacientes!$E:$E,MATCH($A243,Pacientes!$B:$B,0)),"")</f>
      </c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>
        <f>IFERROR(INDEX(Intervenções!$K$2:$K$300,AGGREGATE(15,6,(ROW(Intervenções!$K$2:$K$300)-ROW(Intervenções!$K$2)+1)/((Intervenções!$B$2:$B$300=A243)*(Intervenções!$A$2:$A$300=F243)*(Intervenções!$K$2:$K$300&lt;&gt;"")),1)),"")</f>
      </c>
      <c r="AC243" s="4">
        <f>IFERROR(INDEX(Intervenções!$K$2:$K$300,AGGREGATE(15,6,(ROW(Intervenções!$K$2:$K$300)-ROW(Intervenções!$K$2)+1)/((Intervenções!$B$2:$B$300=A243)*(Intervenções!$A$2:$A$300=F243)*(Intervenções!$K$2:$K$300&lt;&gt;"")),2)),"")</f>
      </c>
      <c r="AD243" s="4">
        <f>IFERROR(INDEX(Intervenções!$K$2:$K$300,AGGREGATE(15,6,(ROW(Intervenções!$K$2:$K$300)-ROW(Intervenções!$K$2)+1)/((Intervenções!$B$2:$B$300=A243)*(Intervenções!$A$2:$A$300=F243)*(Intervenções!$K$2:$K$300&lt;&gt;"")),3)),"")</f>
      </c>
      <c r="AE243" s="4">
        <f>"RECONCILIAÇÃO MEDICAMENTOSA"&amp;CHAR(10)&amp;IF(G243&lt;&gt;"","Medicamentos de uso prévio: "&amp;G243&amp;".","Sem medicamentos de uso prévio relatados.")&amp;CHAR(10)&amp;IF(H243&lt;&gt;"","Histórico de alergia/RAM: "&amp;H243&amp;".","Nega alergias/RAM conhecidas.")</f>
      </c>
      <c r="AF243" s="4">
        <f>AE243&amp;CHAR(10)&amp;CHAR(10)&amp;"1. Evolução Clínica"&amp;CHAR(10)&amp;TEXTJOIN(" ",TRUE,"Paciente "&amp;I243&amp;", "&amp;IF(J243="","sem DVA","em uso de "&amp;J243)&amp;".",IF(K243&lt;&gt;"","Em "&amp;K243&amp;IF(L243&lt;&gt;""," ("&amp;L243&amp;")","")&amp;IF(M243&lt;&gt;"", ", "&amp;M243,"")&amp;IF(N243&lt;&gt;"", ", sob analgosedação com "&amp;N243,"")&amp;".",""),IF(O243&lt;&gt;"",O243&amp;IF(P243&lt;&gt;"", ", com "&amp;LOWER(P243),"")&amp;IF(Q243&lt;&gt;"", " — "&amp;Q243,"")&amp;".",""),IF(R243="Febre","Apresentou episódio febril nas últimas 24h"&amp;IF(S243&lt;&gt;""," ("&amp;S243&amp;")","")&amp;".",IF(R243="Afebril","Encontra-se afebril.","")),IF(T243&lt;&gt;"",IF(U243="Sim","Apresenta disfunção renal aguda ","Função renal preservada ")&amp;"("&amp;T243&amp;").",""),IF(V243&lt;&gt;"","Em uso do esquema antimicrobiano com "&amp;V243&amp;".",""),IF(TEXTJOIN(", ",TRUE,IF(W243&lt;&gt;"","TEV ("&amp;W243&amp;")",""),IF(X243&lt;&gt;"","LAMG ("&amp;X243&amp;")",""),IF(Y243&lt;&gt;"","úlcera de córnea com "&amp;Y243,""))&lt;&gt;"","Em uso de profilaxia: "&amp;TEXTJOIN(", ",TRUE,IF(W243&lt;&gt;"","TEV ("&amp;W243&amp;")",""),IF(X243&lt;&gt;"","LAMG ("&amp;X243&amp;")",""),IF(Y243&lt;&gt;"","úlcera de córnea com "&amp;Y243,""))&amp;".",""))&amp;CHAR(10)&amp;CHAR(10)&amp;"2. Farmacoterapia"&amp;CHAR(10)&amp;IF(Z243&lt;&gt;"","Corticoide/DART: "&amp;Z243,"Sem corticoide/DART registrado.")&amp;CHAR(10)&amp;CHAR(10)&amp;"3. Conduta Farmacêutica"&amp;CHAR(10)&amp;IF(TEXTJOIN(CHAR(10),TRUE,AB243,AC243,AD243)="","Nenhuma intervenção registrada hoje.",TEXTJOIN(CHAR(10),TRUE,AB243,AC243,AD243))&amp;CHAR(10)&amp;CHAR(10)&amp;"4. Plano Terapêutico"&amp;CHAR(10)&amp;IF(AA243&lt;&gt;"",AA243,"Não definido.")</f>
      </c>
    </row>
    <row r="244" spans="1:32" x14ac:dyDescent="0.25">
      <c r="A244" s="4"/>
      <c r="B244" s="6">
        <f>IFERROR(INDEX(Pacientes!$A:$A,MATCH($A244,Pacientes!$B:$B,0)),"")</f>
      </c>
      <c r="C244" s="6">
        <f>IFERROR(INDEX(Pacientes!$C:$C,MATCH($A244,Pacientes!$B:$B,0)),"")</f>
      </c>
      <c r="D244" s="6">
        <f>IFERROR(INDEX(Pacientes!$D:$D,MATCH($A244,Pacientes!$B:$B,0)),"")</f>
      </c>
      <c r="E244" s="6">
        <f>IFERROR(INDEX(Pacientes!$E:$E,MATCH($A244,Pacientes!$B:$B,0)),"")</f>
      </c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>
        <f>IFERROR(INDEX(Intervenções!$K$2:$K$300,AGGREGATE(15,6,(ROW(Intervenções!$K$2:$K$300)-ROW(Intervenções!$K$2)+1)/((Intervenções!$B$2:$B$300=A244)*(Intervenções!$A$2:$A$300=F244)*(Intervenções!$K$2:$K$300&lt;&gt;"")),1)),"")</f>
      </c>
      <c r="AC244" s="4">
        <f>IFERROR(INDEX(Intervenções!$K$2:$K$300,AGGREGATE(15,6,(ROW(Intervenções!$K$2:$K$300)-ROW(Intervenções!$K$2)+1)/((Intervenções!$B$2:$B$300=A244)*(Intervenções!$A$2:$A$300=F244)*(Intervenções!$K$2:$K$300&lt;&gt;"")),2)),"")</f>
      </c>
      <c r="AD244" s="4">
        <f>IFERROR(INDEX(Intervenções!$K$2:$K$300,AGGREGATE(15,6,(ROW(Intervenções!$K$2:$K$300)-ROW(Intervenções!$K$2)+1)/((Intervenções!$B$2:$B$300=A244)*(Intervenções!$A$2:$A$300=F244)*(Intervenções!$K$2:$K$300&lt;&gt;"")),3)),"")</f>
      </c>
      <c r="AE244" s="4">
        <f>"RECONCILIAÇÃO MEDICAMENTOSA"&amp;CHAR(10)&amp;IF(G244&lt;&gt;"","Medicamentos de uso prévio: "&amp;G244&amp;".","Sem medicamentos de uso prévio relatados.")&amp;CHAR(10)&amp;IF(H244&lt;&gt;"","Histórico de alergia/RAM: "&amp;H244&amp;".","Nega alergias/RAM conhecidas.")</f>
      </c>
      <c r="AF244" s="4">
        <f>AE244&amp;CHAR(10)&amp;CHAR(10)&amp;"1. Evolução Clínica"&amp;CHAR(10)&amp;TEXTJOIN(" ",TRUE,"Paciente "&amp;I244&amp;", "&amp;IF(J244="","sem DVA","em uso de "&amp;J244)&amp;".",IF(K244&lt;&gt;"","Em "&amp;K244&amp;IF(L244&lt;&gt;""," ("&amp;L244&amp;")","")&amp;IF(M244&lt;&gt;"", ", "&amp;M244,"")&amp;IF(N244&lt;&gt;"", ", sob analgosedação com "&amp;N244,"")&amp;".",""),IF(O244&lt;&gt;"",O244&amp;IF(P244&lt;&gt;"", ", com "&amp;LOWER(P244),"")&amp;IF(Q244&lt;&gt;"", " — "&amp;Q244,"")&amp;".",""),IF(R244="Febre","Apresentou episódio febril nas últimas 24h"&amp;IF(S244&lt;&gt;""," ("&amp;S244&amp;")","")&amp;".",IF(R244="Afebril","Encontra-se afebril.","")),IF(T244&lt;&gt;"",IF(U244="Sim","Apresenta disfunção renal aguda ","Função renal preservada ")&amp;"("&amp;T244&amp;").",""),IF(V244&lt;&gt;"","Em uso do esquema antimicrobiano com "&amp;V244&amp;".",""),IF(TEXTJOIN(", ",TRUE,IF(W244&lt;&gt;"","TEV ("&amp;W244&amp;")",""),IF(X244&lt;&gt;"","LAMG ("&amp;X244&amp;")",""),IF(Y244&lt;&gt;"","úlcera de córnea com "&amp;Y244,""))&lt;&gt;"","Em uso de profilaxia: "&amp;TEXTJOIN(", ",TRUE,IF(W244&lt;&gt;"","TEV ("&amp;W244&amp;")",""),IF(X244&lt;&gt;"","LAMG ("&amp;X244&amp;")",""),IF(Y244&lt;&gt;"","úlcera de córnea com "&amp;Y244,""))&amp;".",""))&amp;CHAR(10)&amp;CHAR(10)&amp;"2. Farmacoterapia"&amp;CHAR(10)&amp;IF(Z244&lt;&gt;"","Corticoide/DART: "&amp;Z244,"Sem corticoide/DART registrado.")&amp;CHAR(10)&amp;CHAR(10)&amp;"3. Conduta Farmacêutica"&amp;CHAR(10)&amp;IF(TEXTJOIN(CHAR(10),TRUE,AB244,AC244,AD244)="","Nenhuma intervenção registrada hoje.",TEXTJOIN(CHAR(10),TRUE,AB244,AC244,AD244))&amp;CHAR(10)&amp;CHAR(10)&amp;"4. Plano Terapêutico"&amp;CHAR(10)&amp;IF(AA244&lt;&gt;"",AA244,"Não definido.")</f>
      </c>
    </row>
    <row r="245" spans="1:32" x14ac:dyDescent="0.25">
      <c r="A245" s="4"/>
      <c r="B245" s="6">
        <f>IFERROR(INDEX(Pacientes!$A:$A,MATCH($A245,Pacientes!$B:$B,0)),"")</f>
      </c>
      <c r="C245" s="6">
        <f>IFERROR(INDEX(Pacientes!$C:$C,MATCH($A245,Pacientes!$B:$B,0)),"")</f>
      </c>
      <c r="D245" s="6">
        <f>IFERROR(INDEX(Pacientes!$D:$D,MATCH($A245,Pacientes!$B:$B,0)),"")</f>
      </c>
      <c r="E245" s="6">
        <f>IFERROR(INDEX(Pacientes!$E:$E,MATCH($A245,Pacientes!$B:$B,0)),"")</f>
      </c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>
        <f>IFERROR(INDEX(Intervenções!$K$2:$K$300,AGGREGATE(15,6,(ROW(Intervenções!$K$2:$K$300)-ROW(Intervenções!$K$2)+1)/((Intervenções!$B$2:$B$300=A245)*(Intervenções!$A$2:$A$300=F245)*(Intervenções!$K$2:$K$300&lt;&gt;"")),1)),"")</f>
      </c>
      <c r="AC245" s="4">
        <f>IFERROR(INDEX(Intervenções!$K$2:$K$300,AGGREGATE(15,6,(ROW(Intervenções!$K$2:$K$300)-ROW(Intervenções!$K$2)+1)/((Intervenções!$B$2:$B$300=A245)*(Intervenções!$A$2:$A$300=F245)*(Intervenções!$K$2:$K$300&lt;&gt;"")),2)),"")</f>
      </c>
      <c r="AD245" s="4">
        <f>IFERROR(INDEX(Intervenções!$K$2:$K$300,AGGREGATE(15,6,(ROW(Intervenções!$K$2:$K$300)-ROW(Intervenções!$K$2)+1)/((Intervenções!$B$2:$B$300=A245)*(Intervenções!$A$2:$A$300=F245)*(Intervenções!$K$2:$K$300&lt;&gt;"")),3)),"")</f>
      </c>
      <c r="AE245" s="4">
        <f>"RECONCILIAÇÃO MEDICAMENTOSA"&amp;CHAR(10)&amp;IF(G245&lt;&gt;"","Medicamentos de uso prévio: "&amp;G245&amp;".","Sem medicamentos de uso prévio relatados.")&amp;CHAR(10)&amp;IF(H245&lt;&gt;"","Histórico de alergia/RAM: "&amp;H245&amp;".","Nega alergias/RAM conhecidas.")</f>
      </c>
      <c r="AF245" s="4">
        <f>AE245&amp;CHAR(10)&amp;CHAR(10)&amp;"1. Evolução Clínica"&amp;CHAR(10)&amp;TEXTJOIN(" ",TRUE,"Paciente "&amp;I245&amp;", "&amp;IF(J245="","sem DVA","em uso de "&amp;J245)&amp;".",IF(K245&lt;&gt;"","Em "&amp;K245&amp;IF(L245&lt;&gt;""," ("&amp;L245&amp;")","")&amp;IF(M245&lt;&gt;"", ", "&amp;M245,"")&amp;IF(N245&lt;&gt;"", ", sob analgosedação com "&amp;N245,"")&amp;".",""),IF(O245&lt;&gt;"",O245&amp;IF(P245&lt;&gt;"", ", com "&amp;LOWER(P245),"")&amp;IF(Q245&lt;&gt;"", " — "&amp;Q245,"")&amp;".",""),IF(R245="Febre","Apresentou episódio febril nas últimas 24h"&amp;IF(S245&lt;&gt;""," ("&amp;S245&amp;")","")&amp;".",IF(R245="Afebril","Encontra-se afebril.","")),IF(T245&lt;&gt;"",IF(U245="Sim","Apresenta disfunção renal aguda ","Função renal preservada ")&amp;"("&amp;T245&amp;").",""),IF(V245&lt;&gt;"","Em uso do esquema antimicrobiano com "&amp;V245&amp;".",""),IF(TEXTJOIN(", ",TRUE,IF(W245&lt;&gt;"","TEV ("&amp;W245&amp;")",""),IF(X245&lt;&gt;"","LAMG ("&amp;X245&amp;")",""),IF(Y245&lt;&gt;"","úlcera de córnea com "&amp;Y245,""))&lt;&gt;"","Em uso de profilaxia: "&amp;TEXTJOIN(", ",TRUE,IF(W245&lt;&gt;"","TEV ("&amp;W245&amp;")",""),IF(X245&lt;&gt;"","LAMG ("&amp;X245&amp;")",""),IF(Y245&lt;&gt;"","úlcera de córnea com "&amp;Y245,""))&amp;".",""))&amp;CHAR(10)&amp;CHAR(10)&amp;"2. Farmacoterapia"&amp;CHAR(10)&amp;IF(Z245&lt;&gt;"","Corticoide/DART: "&amp;Z245,"Sem corticoide/DART registrado.")&amp;CHAR(10)&amp;CHAR(10)&amp;"3. Conduta Farmacêutica"&amp;CHAR(10)&amp;IF(TEXTJOIN(CHAR(10),TRUE,AB245,AC245,AD245)="","Nenhuma intervenção registrada hoje.",TEXTJOIN(CHAR(10),TRUE,AB245,AC245,AD245))&amp;CHAR(10)&amp;CHAR(10)&amp;"4. Plano Terapêutico"&amp;CHAR(10)&amp;IF(AA245&lt;&gt;"",AA245,"Não definido.")</f>
      </c>
    </row>
    <row r="246" spans="1:32" x14ac:dyDescent="0.25">
      <c r="A246" s="4"/>
      <c r="B246" s="6">
        <f>IFERROR(INDEX(Pacientes!$A:$A,MATCH($A246,Pacientes!$B:$B,0)),"")</f>
      </c>
      <c r="C246" s="6">
        <f>IFERROR(INDEX(Pacientes!$C:$C,MATCH($A246,Pacientes!$B:$B,0)),"")</f>
      </c>
      <c r="D246" s="6">
        <f>IFERROR(INDEX(Pacientes!$D:$D,MATCH($A246,Pacientes!$B:$B,0)),"")</f>
      </c>
      <c r="E246" s="6">
        <f>IFERROR(INDEX(Pacientes!$E:$E,MATCH($A246,Pacientes!$B:$B,0)),"")</f>
      </c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>
        <f>IFERROR(INDEX(Intervenções!$K$2:$K$300,AGGREGATE(15,6,(ROW(Intervenções!$K$2:$K$300)-ROW(Intervenções!$K$2)+1)/((Intervenções!$B$2:$B$300=A246)*(Intervenções!$A$2:$A$300=F246)*(Intervenções!$K$2:$K$300&lt;&gt;"")),1)),"")</f>
      </c>
      <c r="AC246" s="4">
        <f>IFERROR(INDEX(Intervenções!$K$2:$K$300,AGGREGATE(15,6,(ROW(Intervenções!$K$2:$K$300)-ROW(Intervenções!$K$2)+1)/((Intervenções!$B$2:$B$300=A246)*(Intervenções!$A$2:$A$300=F246)*(Intervenções!$K$2:$K$300&lt;&gt;"")),2)),"")</f>
      </c>
      <c r="AD246" s="4">
        <f>IFERROR(INDEX(Intervenções!$K$2:$K$300,AGGREGATE(15,6,(ROW(Intervenções!$K$2:$K$300)-ROW(Intervenções!$K$2)+1)/((Intervenções!$B$2:$B$300=A246)*(Intervenções!$A$2:$A$300=F246)*(Intervenções!$K$2:$K$300&lt;&gt;"")),3)),"")</f>
      </c>
      <c r="AE246" s="4">
        <f>"RECONCILIAÇÃO MEDICAMENTOSA"&amp;CHAR(10)&amp;IF(G246&lt;&gt;"","Medicamentos de uso prévio: "&amp;G246&amp;".","Sem medicamentos de uso prévio relatados.")&amp;CHAR(10)&amp;IF(H246&lt;&gt;"","Histórico de alergia/RAM: "&amp;H246&amp;".","Nega alergias/RAM conhecidas.")</f>
      </c>
      <c r="AF246" s="4">
        <f>AE246&amp;CHAR(10)&amp;CHAR(10)&amp;"1. Evolução Clínica"&amp;CHAR(10)&amp;TEXTJOIN(" ",TRUE,"Paciente "&amp;I246&amp;", "&amp;IF(J246="","sem DVA","em uso de "&amp;J246)&amp;".",IF(K246&lt;&gt;"","Em "&amp;K246&amp;IF(L246&lt;&gt;""," ("&amp;L246&amp;")","")&amp;IF(M246&lt;&gt;"", ", "&amp;M246,"")&amp;IF(N246&lt;&gt;"", ", sob analgosedação com "&amp;N246,"")&amp;".",""),IF(O246&lt;&gt;"",O246&amp;IF(P246&lt;&gt;"", ", com "&amp;LOWER(P246),"")&amp;IF(Q246&lt;&gt;"", " — "&amp;Q246,"")&amp;".",""),IF(R246="Febre","Apresentou episódio febril nas últimas 24h"&amp;IF(S246&lt;&gt;""," ("&amp;S246&amp;")","")&amp;".",IF(R246="Afebril","Encontra-se afebril.","")),IF(T246&lt;&gt;"",IF(U246="Sim","Apresenta disfunção renal aguda ","Função renal preservada ")&amp;"("&amp;T246&amp;").",""),IF(V246&lt;&gt;"","Em uso do esquema antimicrobiano com "&amp;V246&amp;".",""),IF(TEXTJOIN(", ",TRUE,IF(W246&lt;&gt;"","TEV ("&amp;W246&amp;")",""),IF(X246&lt;&gt;"","LAMG ("&amp;X246&amp;")",""),IF(Y246&lt;&gt;"","úlcera de córnea com "&amp;Y246,""))&lt;&gt;"","Em uso de profilaxia: "&amp;TEXTJOIN(", ",TRUE,IF(W246&lt;&gt;"","TEV ("&amp;W246&amp;")",""),IF(X246&lt;&gt;"","LAMG ("&amp;X246&amp;")",""),IF(Y246&lt;&gt;"","úlcera de córnea com "&amp;Y246,""))&amp;".",""))&amp;CHAR(10)&amp;CHAR(10)&amp;"2. Farmacoterapia"&amp;CHAR(10)&amp;IF(Z246&lt;&gt;"","Corticoide/DART: "&amp;Z246,"Sem corticoide/DART registrado.")&amp;CHAR(10)&amp;CHAR(10)&amp;"3. Conduta Farmacêutica"&amp;CHAR(10)&amp;IF(TEXTJOIN(CHAR(10),TRUE,AB246,AC246,AD246)="","Nenhuma intervenção registrada hoje.",TEXTJOIN(CHAR(10),TRUE,AB246,AC246,AD246))&amp;CHAR(10)&amp;CHAR(10)&amp;"4. Plano Terapêutico"&amp;CHAR(10)&amp;IF(AA246&lt;&gt;"",AA246,"Não definido.")</f>
      </c>
    </row>
    <row r="247" spans="1:32" x14ac:dyDescent="0.25">
      <c r="A247" s="4"/>
      <c r="B247" s="6">
        <f>IFERROR(INDEX(Pacientes!$A:$A,MATCH($A247,Pacientes!$B:$B,0)),"")</f>
      </c>
      <c r="C247" s="6">
        <f>IFERROR(INDEX(Pacientes!$C:$C,MATCH($A247,Pacientes!$B:$B,0)),"")</f>
      </c>
      <c r="D247" s="6">
        <f>IFERROR(INDEX(Pacientes!$D:$D,MATCH($A247,Pacientes!$B:$B,0)),"")</f>
      </c>
      <c r="E247" s="6">
        <f>IFERROR(INDEX(Pacientes!$E:$E,MATCH($A247,Pacientes!$B:$B,0)),"")</f>
      </c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>
        <f>IFERROR(INDEX(Intervenções!$K$2:$K$300,AGGREGATE(15,6,(ROW(Intervenções!$K$2:$K$300)-ROW(Intervenções!$K$2)+1)/((Intervenções!$B$2:$B$300=A247)*(Intervenções!$A$2:$A$300=F247)*(Intervenções!$K$2:$K$300&lt;&gt;"")),1)),"")</f>
      </c>
      <c r="AC247" s="4">
        <f>IFERROR(INDEX(Intervenções!$K$2:$K$300,AGGREGATE(15,6,(ROW(Intervenções!$K$2:$K$300)-ROW(Intervenções!$K$2)+1)/((Intervenções!$B$2:$B$300=A247)*(Intervenções!$A$2:$A$300=F247)*(Intervenções!$K$2:$K$300&lt;&gt;"")),2)),"")</f>
      </c>
      <c r="AD247" s="4">
        <f>IFERROR(INDEX(Intervenções!$K$2:$K$300,AGGREGATE(15,6,(ROW(Intervenções!$K$2:$K$300)-ROW(Intervenções!$K$2)+1)/((Intervenções!$B$2:$B$300=A247)*(Intervenções!$A$2:$A$300=F247)*(Intervenções!$K$2:$K$300&lt;&gt;"")),3)),"")</f>
      </c>
      <c r="AE247" s="4">
        <f>"RECONCILIAÇÃO MEDICAMENTOSA"&amp;CHAR(10)&amp;IF(G247&lt;&gt;"","Medicamentos de uso prévio: "&amp;G247&amp;".","Sem medicamentos de uso prévio relatados.")&amp;CHAR(10)&amp;IF(H247&lt;&gt;"","Histórico de alergia/RAM: "&amp;H247&amp;".","Nega alergias/RAM conhecidas.")</f>
      </c>
      <c r="AF247" s="4">
        <f>AE247&amp;CHAR(10)&amp;CHAR(10)&amp;"1. Evolução Clínica"&amp;CHAR(10)&amp;TEXTJOIN(" ",TRUE,"Paciente "&amp;I247&amp;", "&amp;IF(J247="","sem DVA","em uso de "&amp;J247)&amp;".",IF(K247&lt;&gt;"","Em "&amp;K247&amp;IF(L247&lt;&gt;""," ("&amp;L247&amp;")","")&amp;IF(M247&lt;&gt;"", ", "&amp;M247,"")&amp;IF(N247&lt;&gt;"", ", sob analgosedação com "&amp;N247,"")&amp;".",""),IF(O247&lt;&gt;"",O247&amp;IF(P247&lt;&gt;"", ", com "&amp;LOWER(P247),"")&amp;IF(Q247&lt;&gt;"", " — "&amp;Q247,"")&amp;".",""),IF(R247="Febre","Apresentou episódio febril nas últimas 24h"&amp;IF(S247&lt;&gt;""," ("&amp;S247&amp;")","")&amp;".",IF(R247="Afebril","Encontra-se afebril.","")),IF(T247&lt;&gt;"",IF(U247="Sim","Apresenta disfunção renal aguda ","Função renal preservada ")&amp;"("&amp;T247&amp;").",""),IF(V247&lt;&gt;"","Em uso do esquema antimicrobiano com "&amp;V247&amp;".",""),IF(TEXTJOIN(", ",TRUE,IF(W247&lt;&gt;"","TEV ("&amp;W247&amp;")",""),IF(X247&lt;&gt;"","LAMG ("&amp;X247&amp;")",""),IF(Y247&lt;&gt;"","úlcera de córnea com "&amp;Y247,""))&lt;&gt;"","Em uso de profilaxia: "&amp;TEXTJOIN(", ",TRUE,IF(W247&lt;&gt;"","TEV ("&amp;W247&amp;")",""),IF(X247&lt;&gt;"","LAMG ("&amp;X247&amp;")",""),IF(Y247&lt;&gt;"","úlcera de córnea com "&amp;Y247,""))&amp;".",""))&amp;CHAR(10)&amp;CHAR(10)&amp;"2. Farmacoterapia"&amp;CHAR(10)&amp;IF(Z247&lt;&gt;"","Corticoide/DART: "&amp;Z247,"Sem corticoide/DART registrado.")&amp;CHAR(10)&amp;CHAR(10)&amp;"3. Conduta Farmacêutica"&amp;CHAR(10)&amp;IF(TEXTJOIN(CHAR(10),TRUE,AB247,AC247,AD247)="","Nenhuma intervenção registrada hoje.",TEXTJOIN(CHAR(10),TRUE,AB247,AC247,AD247))&amp;CHAR(10)&amp;CHAR(10)&amp;"4. Plano Terapêutico"&amp;CHAR(10)&amp;IF(AA247&lt;&gt;"",AA247,"Não definido.")</f>
      </c>
    </row>
    <row r="248" spans="1:32" x14ac:dyDescent="0.25">
      <c r="A248" s="4"/>
      <c r="B248" s="6">
        <f>IFERROR(INDEX(Pacientes!$A:$A,MATCH($A248,Pacientes!$B:$B,0)),"")</f>
      </c>
      <c r="C248" s="6">
        <f>IFERROR(INDEX(Pacientes!$C:$C,MATCH($A248,Pacientes!$B:$B,0)),"")</f>
      </c>
      <c r="D248" s="6">
        <f>IFERROR(INDEX(Pacientes!$D:$D,MATCH($A248,Pacientes!$B:$B,0)),"")</f>
      </c>
      <c r="E248" s="6">
        <f>IFERROR(INDEX(Pacientes!$E:$E,MATCH($A248,Pacientes!$B:$B,0)),"")</f>
      </c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>
        <f>IFERROR(INDEX(Intervenções!$K$2:$K$300,AGGREGATE(15,6,(ROW(Intervenções!$K$2:$K$300)-ROW(Intervenções!$K$2)+1)/((Intervenções!$B$2:$B$300=A248)*(Intervenções!$A$2:$A$300=F248)*(Intervenções!$K$2:$K$300&lt;&gt;"")),1)),"")</f>
      </c>
      <c r="AC248" s="4">
        <f>IFERROR(INDEX(Intervenções!$K$2:$K$300,AGGREGATE(15,6,(ROW(Intervenções!$K$2:$K$300)-ROW(Intervenções!$K$2)+1)/((Intervenções!$B$2:$B$300=A248)*(Intervenções!$A$2:$A$300=F248)*(Intervenções!$K$2:$K$300&lt;&gt;"")),2)),"")</f>
      </c>
      <c r="AD248" s="4">
        <f>IFERROR(INDEX(Intervenções!$K$2:$K$300,AGGREGATE(15,6,(ROW(Intervenções!$K$2:$K$300)-ROW(Intervenções!$K$2)+1)/((Intervenções!$B$2:$B$300=A248)*(Intervenções!$A$2:$A$300=F248)*(Intervenções!$K$2:$K$300&lt;&gt;"")),3)),"")</f>
      </c>
      <c r="AE248" s="4">
        <f>"RECONCILIAÇÃO MEDICAMENTOSA"&amp;CHAR(10)&amp;IF(G248&lt;&gt;"","Medicamentos de uso prévio: "&amp;G248&amp;".","Sem medicamentos de uso prévio relatados.")&amp;CHAR(10)&amp;IF(H248&lt;&gt;"","Histórico de alergia/RAM: "&amp;H248&amp;".","Nega alergias/RAM conhecidas.")</f>
      </c>
      <c r="AF248" s="4">
        <f>AE248&amp;CHAR(10)&amp;CHAR(10)&amp;"1. Evolução Clínica"&amp;CHAR(10)&amp;TEXTJOIN(" ",TRUE,"Paciente "&amp;I248&amp;", "&amp;IF(J248="","sem DVA","em uso de "&amp;J248)&amp;".",IF(K248&lt;&gt;"","Em "&amp;K248&amp;IF(L248&lt;&gt;""," ("&amp;L248&amp;")","")&amp;IF(M248&lt;&gt;"", ", "&amp;M248,"")&amp;IF(N248&lt;&gt;"", ", sob analgosedação com "&amp;N248,"")&amp;".",""),IF(O248&lt;&gt;"",O248&amp;IF(P248&lt;&gt;"", ", com "&amp;LOWER(P248),"")&amp;IF(Q248&lt;&gt;"", " — "&amp;Q248,"")&amp;".",""),IF(R248="Febre","Apresentou episódio febril nas últimas 24h"&amp;IF(S248&lt;&gt;""," ("&amp;S248&amp;")","")&amp;".",IF(R248="Afebril","Encontra-se afebril.","")),IF(T248&lt;&gt;"",IF(U248="Sim","Apresenta disfunção renal aguda ","Função renal preservada ")&amp;"("&amp;T248&amp;").",""),IF(V248&lt;&gt;"","Em uso do esquema antimicrobiano com "&amp;V248&amp;".",""),IF(TEXTJOIN(", ",TRUE,IF(W248&lt;&gt;"","TEV ("&amp;W248&amp;")",""),IF(X248&lt;&gt;"","LAMG ("&amp;X248&amp;")",""),IF(Y248&lt;&gt;"","úlcera de córnea com "&amp;Y248,""))&lt;&gt;"","Em uso de profilaxia: "&amp;TEXTJOIN(", ",TRUE,IF(W248&lt;&gt;"","TEV ("&amp;W248&amp;")",""),IF(X248&lt;&gt;"","LAMG ("&amp;X248&amp;")",""),IF(Y248&lt;&gt;"","úlcera de córnea com "&amp;Y248,""))&amp;".",""))&amp;CHAR(10)&amp;CHAR(10)&amp;"2. Farmacoterapia"&amp;CHAR(10)&amp;IF(Z248&lt;&gt;"","Corticoide/DART: "&amp;Z248,"Sem corticoide/DART registrado.")&amp;CHAR(10)&amp;CHAR(10)&amp;"3. Conduta Farmacêutica"&amp;CHAR(10)&amp;IF(TEXTJOIN(CHAR(10),TRUE,AB248,AC248,AD248)="","Nenhuma intervenção registrada hoje.",TEXTJOIN(CHAR(10),TRUE,AB248,AC248,AD248))&amp;CHAR(10)&amp;CHAR(10)&amp;"4. Plano Terapêutico"&amp;CHAR(10)&amp;IF(AA248&lt;&gt;"",AA248,"Não definido.")</f>
      </c>
    </row>
    <row r="249" spans="1:32" x14ac:dyDescent="0.25">
      <c r="A249" s="4"/>
      <c r="B249" s="6">
        <f>IFERROR(INDEX(Pacientes!$A:$A,MATCH($A249,Pacientes!$B:$B,0)),"")</f>
      </c>
      <c r="C249" s="6">
        <f>IFERROR(INDEX(Pacientes!$C:$C,MATCH($A249,Pacientes!$B:$B,0)),"")</f>
      </c>
      <c r="D249" s="6">
        <f>IFERROR(INDEX(Pacientes!$D:$D,MATCH($A249,Pacientes!$B:$B,0)),"")</f>
      </c>
      <c r="E249" s="6">
        <f>IFERROR(INDEX(Pacientes!$E:$E,MATCH($A249,Pacientes!$B:$B,0)),"")</f>
      </c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>
        <f>IFERROR(INDEX(Intervenções!$K$2:$K$300,AGGREGATE(15,6,(ROW(Intervenções!$K$2:$K$300)-ROW(Intervenções!$K$2)+1)/((Intervenções!$B$2:$B$300=A249)*(Intervenções!$A$2:$A$300=F249)*(Intervenções!$K$2:$K$300&lt;&gt;"")),1)),"")</f>
      </c>
      <c r="AC249" s="4">
        <f>IFERROR(INDEX(Intervenções!$K$2:$K$300,AGGREGATE(15,6,(ROW(Intervenções!$K$2:$K$300)-ROW(Intervenções!$K$2)+1)/((Intervenções!$B$2:$B$300=A249)*(Intervenções!$A$2:$A$300=F249)*(Intervenções!$K$2:$K$300&lt;&gt;"")),2)),"")</f>
      </c>
      <c r="AD249" s="4">
        <f>IFERROR(INDEX(Intervenções!$K$2:$K$300,AGGREGATE(15,6,(ROW(Intervenções!$K$2:$K$300)-ROW(Intervenções!$K$2)+1)/((Intervenções!$B$2:$B$300=A249)*(Intervenções!$A$2:$A$300=F249)*(Intervenções!$K$2:$K$300&lt;&gt;"")),3)),"")</f>
      </c>
      <c r="AE249" s="4">
        <f>"RECONCILIAÇÃO MEDICAMENTOSA"&amp;CHAR(10)&amp;IF(G249&lt;&gt;"","Medicamentos de uso prévio: "&amp;G249&amp;".","Sem medicamentos de uso prévio relatados.")&amp;CHAR(10)&amp;IF(H249&lt;&gt;"","Histórico de alergia/RAM: "&amp;H249&amp;".","Nega alergias/RAM conhecidas.")</f>
      </c>
      <c r="AF249" s="4">
        <f>AE249&amp;CHAR(10)&amp;CHAR(10)&amp;"1. Evolução Clínica"&amp;CHAR(10)&amp;TEXTJOIN(" ",TRUE,"Paciente "&amp;I249&amp;", "&amp;IF(J249="","sem DVA","em uso de "&amp;J249)&amp;".",IF(K249&lt;&gt;"","Em "&amp;K249&amp;IF(L249&lt;&gt;""," ("&amp;L249&amp;")","")&amp;IF(M249&lt;&gt;"", ", "&amp;M249,"")&amp;IF(N249&lt;&gt;"", ", sob analgosedação com "&amp;N249,"")&amp;".",""),IF(O249&lt;&gt;"",O249&amp;IF(P249&lt;&gt;"", ", com "&amp;LOWER(P249),"")&amp;IF(Q249&lt;&gt;"", " — "&amp;Q249,"")&amp;".",""),IF(R249="Febre","Apresentou episódio febril nas últimas 24h"&amp;IF(S249&lt;&gt;""," ("&amp;S249&amp;")","")&amp;".",IF(R249="Afebril","Encontra-se afebril.","")),IF(T249&lt;&gt;"",IF(U249="Sim","Apresenta disfunção renal aguda ","Função renal preservada ")&amp;"("&amp;T249&amp;").",""),IF(V249&lt;&gt;"","Em uso do esquema antimicrobiano com "&amp;V249&amp;".",""),IF(TEXTJOIN(", ",TRUE,IF(W249&lt;&gt;"","TEV ("&amp;W249&amp;")",""),IF(X249&lt;&gt;"","LAMG ("&amp;X249&amp;")",""),IF(Y249&lt;&gt;"","úlcera de córnea com "&amp;Y249,""))&lt;&gt;"","Em uso de profilaxia: "&amp;TEXTJOIN(", ",TRUE,IF(W249&lt;&gt;"","TEV ("&amp;W249&amp;")",""),IF(X249&lt;&gt;"","LAMG ("&amp;X249&amp;")",""),IF(Y249&lt;&gt;"","úlcera de córnea com "&amp;Y249,""))&amp;".",""))&amp;CHAR(10)&amp;CHAR(10)&amp;"2. Farmacoterapia"&amp;CHAR(10)&amp;IF(Z249&lt;&gt;"","Corticoide/DART: "&amp;Z249,"Sem corticoide/DART registrado.")&amp;CHAR(10)&amp;CHAR(10)&amp;"3. Conduta Farmacêutica"&amp;CHAR(10)&amp;IF(TEXTJOIN(CHAR(10),TRUE,AB249,AC249,AD249)="","Nenhuma intervenção registrada hoje.",TEXTJOIN(CHAR(10),TRUE,AB249,AC249,AD249))&amp;CHAR(10)&amp;CHAR(10)&amp;"4. Plano Terapêutico"&amp;CHAR(10)&amp;IF(AA249&lt;&gt;"",AA249,"Não definido.")</f>
      </c>
    </row>
    <row r="250" spans="1:32" x14ac:dyDescent="0.25">
      <c r="A250" s="4"/>
      <c r="B250" s="6">
        <f>IFERROR(INDEX(Pacientes!$A:$A,MATCH($A250,Pacientes!$B:$B,0)),"")</f>
      </c>
      <c r="C250" s="6">
        <f>IFERROR(INDEX(Pacientes!$C:$C,MATCH($A250,Pacientes!$B:$B,0)),"")</f>
      </c>
      <c r="D250" s="6">
        <f>IFERROR(INDEX(Pacientes!$D:$D,MATCH($A250,Pacientes!$B:$B,0)),"")</f>
      </c>
      <c r="E250" s="6">
        <f>IFERROR(INDEX(Pacientes!$E:$E,MATCH($A250,Pacientes!$B:$B,0)),"")</f>
      </c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>
        <f>IFERROR(INDEX(Intervenções!$K$2:$K$300,AGGREGATE(15,6,(ROW(Intervenções!$K$2:$K$300)-ROW(Intervenções!$K$2)+1)/((Intervenções!$B$2:$B$300=A250)*(Intervenções!$A$2:$A$300=F250)*(Intervenções!$K$2:$K$300&lt;&gt;"")),1)),"")</f>
      </c>
      <c r="AC250" s="4">
        <f>IFERROR(INDEX(Intervenções!$K$2:$K$300,AGGREGATE(15,6,(ROW(Intervenções!$K$2:$K$300)-ROW(Intervenções!$K$2)+1)/((Intervenções!$B$2:$B$300=A250)*(Intervenções!$A$2:$A$300=F250)*(Intervenções!$K$2:$K$300&lt;&gt;"")),2)),"")</f>
      </c>
      <c r="AD250" s="4">
        <f>IFERROR(INDEX(Intervenções!$K$2:$K$300,AGGREGATE(15,6,(ROW(Intervenções!$K$2:$K$300)-ROW(Intervenções!$K$2)+1)/((Intervenções!$B$2:$B$300=A250)*(Intervenções!$A$2:$A$300=F250)*(Intervenções!$K$2:$K$300&lt;&gt;"")),3)),"")</f>
      </c>
      <c r="AE250" s="4">
        <f>"RECONCILIAÇÃO MEDICAMENTOSA"&amp;CHAR(10)&amp;IF(G250&lt;&gt;"","Medicamentos de uso prévio: "&amp;G250&amp;".","Sem medicamentos de uso prévio relatados.")&amp;CHAR(10)&amp;IF(H250&lt;&gt;"","Histórico de alergia/RAM: "&amp;H250&amp;".","Nega alergias/RAM conhecidas.")</f>
      </c>
      <c r="AF250" s="4">
        <f>AE250&amp;CHAR(10)&amp;CHAR(10)&amp;"1. Evolução Clínica"&amp;CHAR(10)&amp;TEXTJOIN(" ",TRUE,"Paciente "&amp;I250&amp;", "&amp;IF(J250="","sem DVA","em uso de "&amp;J250)&amp;".",IF(K250&lt;&gt;"","Em "&amp;K250&amp;IF(L250&lt;&gt;""," ("&amp;L250&amp;")","")&amp;IF(M250&lt;&gt;"", ", "&amp;M250,"")&amp;IF(N250&lt;&gt;"", ", sob analgosedação com "&amp;N250,"")&amp;".",""),IF(O250&lt;&gt;"",O250&amp;IF(P250&lt;&gt;"", ", com "&amp;LOWER(P250),"")&amp;IF(Q250&lt;&gt;"", " — "&amp;Q250,"")&amp;".",""),IF(R250="Febre","Apresentou episódio febril nas últimas 24h"&amp;IF(S250&lt;&gt;""," ("&amp;S250&amp;")","")&amp;".",IF(R250="Afebril","Encontra-se afebril.","")),IF(T250&lt;&gt;"",IF(U250="Sim","Apresenta disfunção renal aguda ","Função renal preservada ")&amp;"("&amp;T250&amp;").",""),IF(V250&lt;&gt;"","Em uso do esquema antimicrobiano com "&amp;V250&amp;".",""),IF(TEXTJOIN(", ",TRUE,IF(W250&lt;&gt;"","TEV ("&amp;W250&amp;")",""),IF(X250&lt;&gt;"","LAMG ("&amp;X250&amp;")",""),IF(Y250&lt;&gt;"","úlcera de córnea com "&amp;Y250,""))&lt;&gt;"","Em uso de profilaxia: "&amp;TEXTJOIN(", ",TRUE,IF(W250&lt;&gt;"","TEV ("&amp;W250&amp;")",""),IF(X250&lt;&gt;"","LAMG ("&amp;X250&amp;")",""),IF(Y250&lt;&gt;"","úlcera de córnea com "&amp;Y250,""))&amp;".",""))&amp;CHAR(10)&amp;CHAR(10)&amp;"2. Farmacoterapia"&amp;CHAR(10)&amp;IF(Z250&lt;&gt;"","Corticoide/DART: "&amp;Z250,"Sem corticoide/DART registrado.")&amp;CHAR(10)&amp;CHAR(10)&amp;"3. Conduta Farmacêutica"&amp;CHAR(10)&amp;IF(TEXTJOIN(CHAR(10),TRUE,AB250,AC250,AD250)="","Nenhuma intervenção registrada hoje.",TEXTJOIN(CHAR(10),TRUE,AB250,AC250,AD250))&amp;CHAR(10)&amp;CHAR(10)&amp;"4. Plano Terapêutico"&amp;CHAR(10)&amp;IF(AA250&lt;&gt;"",AA250,"Não definido.")</f>
      </c>
    </row>
    <row r="251" spans="1:32" x14ac:dyDescent="0.25">
      <c r="A251" s="4"/>
      <c r="B251" s="6">
        <f>IFERROR(INDEX(Pacientes!$A:$A,MATCH($A251,Pacientes!$B:$B,0)),"")</f>
      </c>
      <c r="C251" s="6">
        <f>IFERROR(INDEX(Pacientes!$C:$C,MATCH($A251,Pacientes!$B:$B,0)),"")</f>
      </c>
      <c r="D251" s="6">
        <f>IFERROR(INDEX(Pacientes!$D:$D,MATCH($A251,Pacientes!$B:$B,0)),"")</f>
      </c>
      <c r="E251" s="6">
        <f>IFERROR(INDEX(Pacientes!$E:$E,MATCH($A251,Pacientes!$B:$B,0)),"")</f>
      </c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>
        <f>IFERROR(INDEX(Intervenções!$K$2:$K$300,AGGREGATE(15,6,(ROW(Intervenções!$K$2:$K$300)-ROW(Intervenções!$K$2)+1)/((Intervenções!$B$2:$B$300=A251)*(Intervenções!$A$2:$A$300=F251)*(Intervenções!$K$2:$K$300&lt;&gt;"")),1)),"")</f>
      </c>
      <c r="AC251" s="4">
        <f>IFERROR(INDEX(Intervenções!$K$2:$K$300,AGGREGATE(15,6,(ROW(Intervenções!$K$2:$K$300)-ROW(Intervenções!$K$2)+1)/((Intervenções!$B$2:$B$300=A251)*(Intervenções!$A$2:$A$300=F251)*(Intervenções!$K$2:$K$300&lt;&gt;"")),2)),"")</f>
      </c>
      <c r="AD251" s="4">
        <f>IFERROR(INDEX(Intervenções!$K$2:$K$300,AGGREGATE(15,6,(ROW(Intervenções!$K$2:$K$300)-ROW(Intervenções!$K$2)+1)/((Intervenções!$B$2:$B$300=A251)*(Intervenções!$A$2:$A$300=F251)*(Intervenções!$K$2:$K$300&lt;&gt;"")),3)),"")</f>
      </c>
      <c r="AE251" s="4">
        <f>"RECONCILIAÇÃO MEDICAMENTOSA"&amp;CHAR(10)&amp;IF(G251&lt;&gt;"","Medicamentos de uso prévio: "&amp;G251&amp;".","Sem medicamentos de uso prévio relatados.")&amp;CHAR(10)&amp;IF(H251&lt;&gt;"","Histórico de alergia/RAM: "&amp;H251&amp;".","Nega alergias/RAM conhecidas.")</f>
      </c>
      <c r="AF251" s="4">
        <f>AE251&amp;CHAR(10)&amp;CHAR(10)&amp;"1. Evolução Clínica"&amp;CHAR(10)&amp;TEXTJOIN(" ",TRUE,"Paciente "&amp;I251&amp;", "&amp;IF(J251="","sem DVA","em uso de "&amp;J251)&amp;".",IF(K251&lt;&gt;"","Em "&amp;K251&amp;IF(L251&lt;&gt;""," ("&amp;L251&amp;")","")&amp;IF(M251&lt;&gt;"", ", "&amp;M251,"")&amp;IF(N251&lt;&gt;"", ", sob analgosedação com "&amp;N251,"")&amp;".",""),IF(O251&lt;&gt;"",O251&amp;IF(P251&lt;&gt;"", ", com "&amp;LOWER(P251),"")&amp;IF(Q251&lt;&gt;"", " — "&amp;Q251,"")&amp;".",""),IF(R251="Febre","Apresentou episódio febril nas últimas 24h"&amp;IF(S251&lt;&gt;""," ("&amp;S251&amp;")","")&amp;".",IF(R251="Afebril","Encontra-se afebril.","")),IF(T251&lt;&gt;"",IF(U251="Sim","Apresenta disfunção renal aguda ","Função renal preservada ")&amp;"("&amp;T251&amp;").",""),IF(V251&lt;&gt;"","Em uso do esquema antimicrobiano com "&amp;V251&amp;".",""),IF(TEXTJOIN(", ",TRUE,IF(W251&lt;&gt;"","TEV ("&amp;W251&amp;")",""),IF(X251&lt;&gt;"","LAMG ("&amp;X251&amp;")",""),IF(Y251&lt;&gt;"","úlcera de córnea com "&amp;Y251,""))&lt;&gt;"","Em uso de profilaxia: "&amp;TEXTJOIN(", ",TRUE,IF(W251&lt;&gt;"","TEV ("&amp;W251&amp;")",""),IF(X251&lt;&gt;"","LAMG ("&amp;X251&amp;")",""),IF(Y251&lt;&gt;"","úlcera de córnea com "&amp;Y251,""))&amp;".",""))&amp;CHAR(10)&amp;CHAR(10)&amp;"2. Farmacoterapia"&amp;CHAR(10)&amp;IF(Z251&lt;&gt;"","Corticoide/DART: "&amp;Z251,"Sem corticoide/DART registrado.")&amp;CHAR(10)&amp;CHAR(10)&amp;"3. Conduta Farmacêutica"&amp;CHAR(10)&amp;IF(TEXTJOIN(CHAR(10),TRUE,AB251,AC251,AD251)="","Nenhuma intervenção registrada hoje.",TEXTJOIN(CHAR(10),TRUE,AB251,AC251,AD251))&amp;CHAR(10)&amp;CHAR(10)&amp;"4. Plano Terapêutico"&amp;CHAR(10)&amp;IF(AA251&lt;&gt;"",AA251,"Não definido.")</f>
      </c>
    </row>
    <row r="252" spans="1:32" x14ac:dyDescent="0.25">
      <c r="A252" s="4"/>
      <c r="B252" s="6">
        <f>IFERROR(INDEX(Pacientes!$A:$A,MATCH($A252,Pacientes!$B:$B,0)),"")</f>
      </c>
      <c r="C252" s="6">
        <f>IFERROR(INDEX(Pacientes!$C:$C,MATCH($A252,Pacientes!$B:$B,0)),"")</f>
      </c>
      <c r="D252" s="6">
        <f>IFERROR(INDEX(Pacientes!$D:$D,MATCH($A252,Pacientes!$B:$B,0)),"")</f>
      </c>
      <c r="E252" s="6">
        <f>IFERROR(INDEX(Pacientes!$E:$E,MATCH($A252,Pacientes!$B:$B,0)),"")</f>
      </c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>
        <f>IFERROR(INDEX(Intervenções!$K$2:$K$300,AGGREGATE(15,6,(ROW(Intervenções!$K$2:$K$300)-ROW(Intervenções!$K$2)+1)/((Intervenções!$B$2:$B$300=A252)*(Intervenções!$A$2:$A$300=F252)*(Intervenções!$K$2:$K$300&lt;&gt;"")),1)),"")</f>
      </c>
      <c r="AC252" s="4">
        <f>IFERROR(INDEX(Intervenções!$K$2:$K$300,AGGREGATE(15,6,(ROW(Intervenções!$K$2:$K$300)-ROW(Intervenções!$K$2)+1)/((Intervenções!$B$2:$B$300=A252)*(Intervenções!$A$2:$A$300=F252)*(Intervenções!$K$2:$K$300&lt;&gt;"")),2)),"")</f>
      </c>
      <c r="AD252" s="4">
        <f>IFERROR(INDEX(Intervenções!$K$2:$K$300,AGGREGATE(15,6,(ROW(Intervenções!$K$2:$K$300)-ROW(Intervenções!$K$2)+1)/((Intervenções!$B$2:$B$300=A252)*(Intervenções!$A$2:$A$300=F252)*(Intervenções!$K$2:$K$300&lt;&gt;"")),3)),"")</f>
      </c>
      <c r="AE252" s="4">
        <f>"RECONCILIAÇÃO MEDICAMENTOSA"&amp;CHAR(10)&amp;IF(G252&lt;&gt;"","Medicamentos de uso prévio: "&amp;G252&amp;".","Sem medicamentos de uso prévio relatados.")&amp;CHAR(10)&amp;IF(H252&lt;&gt;"","Histórico de alergia/RAM: "&amp;H252&amp;".","Nega alergias/RAM conhecidas.")</f>
      </c>
      <c r="AF252" s="4">
        <f>AE252&amp;CHAR(10)&amp;CHAR(10)&amp;"1. Evolução Clínica"&amp;CHAR(10)&amp;TEXTJOIN(" ",TRUE,"Paciente "&amp;I252&amp;", "&amp;IF(J252="","sem DVA","em uso de "&amp;J252)&amp;".",IF(K252&lt;&gt;"","Em "&amp;K252&amp;IF(L252&lt;&gt;""," ("&amp;L252&amp;")","")&amp;IF(M252&lt;&gt;"", ", "&amp;M252,"")&amp;IF(N252&lt;&gt;"", ", sob analgosedação com "&amp;N252,"")&amp;".",""),IF(O252&lt;&gt;"",O252&amp;IF(P252&lt;&gt;"", ", com "&amp;LOWER(P252),"")&amp;IF(Q252&lt;&gt;"", " — "&amp;Q252,"")&amp;".",""),IF(R252="Febre","Apresentou episódio febril nas últimas 24h"&amp;IF(S252&lt;&gt;""," ("&amp;S252&amp;")","")&amp;".",IF(R252="Afebril","Encontra-se afebril.","")),IF(T252&lt;&gt;"",IF(U252="Sim","Apresenta disfunção renal aguda ","Função renal preservada ")&amp;"("&amp;T252&amp;").",""),IF(V252&lt;&gt;"","Em uso do esquema antimicrobiano com "&amp;V252&amp;".",""),IF(TEXTJOIN(", ",TRUE,IF(W252&lt;&gt;"","TEV ("&amp;W252&amp;")",""),IF(X252&lt;&gt;"","LAMG ("&amp;X252&amp;")",""),IF(Y252&lt;&gt;"","úlcera de córnea com "&amp;Y252,""))&lt;&gt;"","Em uso de profilaxia: "&amp;TEXTJOIN(", ",TRUE,IF(W252&lt;&gt;"","TEV ("&amp;W252&amp;")",""),IF(X252&lt;&gt;"","LAMG ("&amp;X252&amp;")",""),IF(Y252&lt;&gt;"","úlcera de córnea com "&amp;Y252,""))&amp;".",""))&amp;CHAR(10)&amp;CHAR(10)&amp;"2. Farmacoterapia"&amp;CHAR(10)&amp;IF(Z252&lt;&gt;"","Corticoide/DART: "&amp;Z252,"Sem corticoide/DART registrado.")&amp;CHAR(10)&amp;CHAR(10)&amp;"3. Conduta Farmacêutica"&amp;CHAR(10)&amp;IF(TEXTJOIN(CHAR(10),TRUE,AB252,AC252,AD252)="","Nenhuma intervenção registrada hoje.",TEXTJOIN(CHAR(10),TRUE,AB252,AC252,AD252))&amp;CHAR(10)&amp;CHAR(10)&amp;"4. Plano Terapêutico"&amp;CHAR(10)&amp;IF(AA252&lt;&gt;"",AA252,"Não definido.")</f>
      </c>
    </row>
    <row r="253" spans="1:32" x14ac:dyDescent="0.25">
      <c r="A253" s="4"/>
      <c r="B253" s="6">
        <f>IFERROR(INDEX(Pacientes!$A:$A,MATCH($A253,Pacientes!$B:$B,0)),"")</f>
      </c>
      <c r="C253" s="6">
        <f>IFERROR(INDEX(Pacientes!$C:$C,MATCH($A253,Pacientes!$B:$B,0)),"")</f>
      </c>
      <c r="D253" s="6">
        <f>IFERROR(INDEX(Pacientes!$D:$D,MATCH($A253,Pacientes!$B:$B,0)),"")</f>
      </c>
      <c r="E253" s="6">
        <f>IFERROR(INDEX(Pacientes!$E:$E,MATCH($A253,Pacientes!$B:$B,0)),"")</f>
      </c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>
        <f>IFERROR(INDEX(Intervenções!$K$2:$K$300,AGGREGATE(15,6,(ROW(Intervenções!$K$2:$K$300)-ROW(Intervenções!$K$2)+1)/((Intervenções!$B$2:$B$300=A253)*(Intervenções!$A$2:$A$300=F253)*(Intervenções!$K$2:$K$300&lt;&gt;"")),1)),"")</f>
      </c>
      <c r="AC253" s="4">
        <f>IFERROR(INDEX(Intervenções!$K$2:$K$300,AGGREGATE(15,6,(ROW(Intervenções!$K$2:$K$300)-ROW(Intervenções!$K$2)+1)/((Intervenções!$B$2:$B$300=A253)*(Intervenções!$A$2:$A$300=F253)*(Intervenções!$K$2:$K$300&lt;&gt;"")),2)),"")</f>
      </c>
      <c r="AD253" s="4">
        <f>IFERROR(INDEX(Intervenções!$K$2:$K$300,AGGREGATE(15,6,(ROW(Intervenções!$K$2:$K$300)-ROW(Intervenções!$K$2)+1)/((Intervenções!$B$2:$B$300=A253)*(Intervenções!$A$2:$A$300=F253)*(Intervenções!$K$2:$K$300&lt;&gt;"")),3)),"")</f>
      </c>
      <c r="AE253" s="4">
        <f>"RECONCILIAÇÃO MEDICAMENTOSA"&amp;CHAR(10)&amp;IF(G253&lt;&gt;"","Medicamentos de uso prévio: "&amp;G253&amp;".","Sem medicamentos de uso prévio relatados.")&amp;CHAR(10)&amp;IF(H253&lt;&gt;"","Histórico de alergia/RAM: "&amp;H253&amp;".","Nega alergias/RAM conhecidas.")</f>
      </c>
      <c r="AF253" s="4">
        <f>AE253&amp;CHAR(10)&amp;CHAR(10)&amp;"1. Evolução Clínica"&amp;CHAR(10)&amp;TEXTJOIN(" ",TRUE,"Paciente "&amp;I253&amp;", "&amp;IF(J253="","sem DVA","em uso de "&amp;J253)&amp;".",IF(K253&lt;&gt;"","Em "&amp;K253&amp;IF(L253&lt;&gt;""," ("&amp;L253&amp;")","")&amp;IF(M253&lt;&gt;"", ", "&amp;M253,"")&amp;IF(N253&lt;&gt;"", ", sob analgosedação com "&amp;N253,"")&amp;".",""),IF(O253&lt;&gt;"",O253&amp;IF(P253&lt;&gt;"", ", com "&amp;LOWER(P253),"")&amp;IF(Q253&lt;&gt;"", " — "&amp;Q253,"")&amp;".",""),IF(R253="Febre","Apresentou episódio febril nas últimas 24h"&amp;IF(S253&lt;&gt;""," ("&amp;S253&amp;")","")&amp;".",IF(R253="Afebril","Encontra-se afebril.","")),IF(T253&lt;&gt;"",IF(U253="Sim","Apresenta disfunção renal aguda ","Função renal preservada ")&amp;"("&amp;T253&amp;").",""),IF(V253&lt;&gt;"","Em uso do esquema antimicrobiano com "&amp;V253&amp;".",""),IF(TEXTJOIN(", ",TRUE,IF(W253&lt;&gt;"","TEV ("&amp;W253&amp;")",""),IF(X253&lt;&gt;"","LAMG ("&amp;X253&amp;")",""),IF(Y253&lt;&gt;"","úlcera de córnea com "&amp;Y253,""))&lt;&gt;"","Em uso de profilaxia: "&amp;TEXTJOIN(", ",TRUE,IF(W253&lt;&gt;"","TEV ("&amp;W253&amp;")",""),IF(X253&lt;&gt;"","LAMG ("&amp;X253&amp;")",""),IF(Y253&lt;&gt;"","úlcera de córnea com "&amp;Y253,""))&amp;".",""))&amp;CHAR(10)&amp;CHAR(10)&amp;"2. Farmacoterapia"&amp;CHAR(10)&amp;IF(Z253&lt;&gt;"","Corticoide/DART: "&amp;Z253,"Sem corticoide/DART registrado.")&amp;CHAR(10)&amp;CHAR(10)&amp;"3. Conduta Farmacêutica"&amp;CHAR(10)&amp;IF(TEXTJOIN(CHAR(10),TRUE,AB253,AC253,AD253)="","Nenhuma intervenção registrada hoje.",TEXTJOIN(CHAR(10),TRUE,AB253,AC253,AD253))&amp;CHAR(10)&amp;CHAR(10)&amp;"4. Plano Terapêutico"&amp;CHAR(10)&amp;IF(AA253&lt;&gt;"",AA253,"Não definido.")</f>
      </c>
    </row>
    <row r="254" spans="1:32" x14ac:dyDescent="0.25">
      <c r="A254" s="4"/>
      <c r="B254" s="6">
        <f>IFERROR(INDEX(Pacientes!$A:$A,MATCH($A254,Pacientes!$B:$B,0)),"")</f>
      </c>
      <c r="C254" s="6">
        <f>IFERROR(INDEX(Pacientes!$C:$C,MATCH($A254,Pacientes!$B:$B,0)),"")</f>
      </c>
      <c r="D254" s="6">
        <f>IFERROR(INDEX(Pacientes!$D:$D,MATCH($A254,Pacientes!$B:$B,0)),"")</f>
      </c>
      <c r="E254" s="6">
        <f>IFERROR(INDEX(Pacientes!$E:$E,MATCH($A254,Pacientes!$B:$B,0)),"")</f>
      </c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>
        <f>IFERROR(INDEX(Intervenções!$K$2:$K$300,AGGREGATE(15,6,(ROW(Intervenções!$K$2:$K$300)-ROW(Intervenções!$K$2)+1)/((Intervenções!$B$2:$B$300=A254)*(Intervenções!$A$2:$A$300=F254)*(Intervenções!$K$2:$K$300&lt;&gt;"")),1)),"")</f>
      </c>
      <c r="AC254" s="4">
        <f>IFERROR(INDEX(Intervenções!$K$2:$K$300,AGGREGATE(15,6,(ROW(Intervenções!$K$2:$K$300)-ROW(Intervenções!$K$2)+1)/((Intervenções!$B$2:$B$300=A254)*(Intervenções!$A$2:$A$300=F254)*(Intervenções!$K$2:$K$300&lt;&gt;"")),2)),"")</f>
      </c>
      <c r="AD254" s="4">
        <f>IFERROR(INDEX(Intervenções!$K$2:$K$300,AGGREGATE(15,6,(ROW(Intervenções!$K$2:$K$300)-ROW(Intervenções!$K$2)+1)/((Intervenções!$B$2:$B$300=A254)*(Intervenções!$A$2:$A$300=F254)*(Intervenções!$K$2:$K$300&lt;&gt;"")),3)),"")</f>
      </c>
      <c r="AE254" s="4">
        <f>"RECONCILIAÇÃO MEDICAMENTOSA"&amp;CHAR(10)&amp;IF(G254&lt;&gt;"","Medicamentos de uso prévio: "&amp;G254&amp;".","Sem medicamentos de uso prévio relatados.")&amp;CHAR(10)&amp;IF(H254&lt;&gt;"","Histórico de alergia/RAM: "&amp;H254&amp;".","Nega alergias/RAM conhecidas.")</f>
      </c>
      <c r="AF254" s="4">
        <f>AE254&amp;CHAR(10)&amp;CHAR(10)&amp;"1. Evolução Clínica"&amp;CHAR(10)&amp;TEXTJOIN(" ",TRUE,"Paciente "&amp;I254&amp;", "&amp;IF(J254="","sem DVA","em uso de "&amp;J254)&amp;".",IF(K254&lt;&gt;"","Em "&amp;K254&amp;IF(L254&lt;&gt;""," ("&amp;L254&amp;")","")&amp;IF(M254&lt;&gt;"", ", "&amp;M254,"")&amp;IF(N254&lt;&gt;"", ", sob analgosedação com "&amp;N254,"")&amp;".",""),IF(O254&lt;&gt;"",O254&amp;IF(P254&lt;&gt;"", ", com "&amp;LOWER(P254),"")&amp;IF(Q254&lt;&gt;"", " — "&amp;Q254,"")&amp;".",""),IF(R254="Febre","Apresentou episódio febril nas últimas 24h"&amp;IF(S254&lt;&gt;""," ("&amp;S254&amp;")","")&amp;".",IF(R254="Afebril","Encontra-se afebril.","")),IF(T254&lt;&gt;"",IF(U254="Sim","Apresenta disfunção renal aguda ","Função renal preservada ")&amp;"("&amp;T254&amp;").",""),IF(V254&lt;&gt;"","Em uso do esquema antimicrobiano com "&amp;V254&amp;".",""),IF(TEXTJOIN(", ",TRUE,IF(W254&lt;&gt;"","TEV ("&amp;W254&amp;")",""),IF(X254&lt;&gt;"","LAMG ("&amp;X254&amp;")",""),IF(Y254&lt;&gt;"","úlcera de córnea com "&amp;Y254,""))&lt;&gt;"","Em uso de profilaxia: "&amp;TEXTJOIN(", ",TRUE,IF(W254&lt;&gt;"","TEV ("&amp;W254&amp;")",""),IF(X254&lt;&gt;"","LAMG ("&amp;X254&amp;")",""),IF(Y254&lt;&gt;"","úlcera de córnea com "&amp;Y254,""))&amp;".",""))&amp;CHAR(10)&amp;CHAR(10)&amp;"2. Farmacoterapia"&amp;CHAR(10)&amp;IF(Z254&lt;&gt;"","Corticoide/DART: "&amp;Z254,"Sem corticoide/DART registrado.")&amp;CHAR(10)&amp;CHAR(10)&amp;"3. Conduta Farmacêutica"&amp;CHAR(10)&amp;IF(TEXTJOIN(CHAR(10),TRUE,AB254,AC254,AD254)="","Nenhuma intervenção registrada hoje.",TEXTJOIN(CHAR(10),TRUE,AB254,AC254,AD254))&amp;CHAR(10)&amp;CHAR(10)&amp;"4. Plano Terapêutico"&amp;CHAR(10)&amp;IF(AA254&lt;&gt;"",AA254,"Não definido.")</f>
      </c>
    </row>
    <row r="255" spans="1:32" x14ac:dyDescent="0.25">
      <c r="A255" s="4"/>
      <c r="B255" s="6">
        <f>IFERROR(INDEX(Pacientes!$A:$A,MATCH($A255,Pacientes!$B:$B,0)),"")</f>
      </c>
      <c r="C255" s="6">
        <f>IFERROR(INDEX(Pacientes!$C:$C,MATCH($A255,Pacientes!$B:$B,0)),"")</f>
      </c>
      <c r="D255" s="6">
        <f>IFERROR(INDEX(Pacientes!$D:$D,MATCH($A255,Pacientes!$B:$B,0)),"")</f>
      </c>
      <c r="E255" s="6">
        <f>IFERROR(INDEX(Pacientes!$E:$E,MATCH($A255,Pacientes!$B:$B,0)),"")</f>
      </c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>
        <f>IFERROR(INDEX(Intervenções!$K$2:$K$300,AGGREGATE(15,6,(ROW(Intervenções!$K$2:$K$300)-ROW(Intervenções!$K$2)+1)/((Intervenções!$B$2:$B$300=A255)*(Intervenções!$A$2:$A$300=F255)*(Intervenções!$K$2:$K$300&lt;&gt;"")),1)),"")</f>
      </c>
      <c r="AC255" s="4">
        <f>IFERROR(INDEX(Intervenções!$K$2:$K$300,AGGREGATE(15,6,(ROW(Intervenções!$K$2:$K$300)-ROW(Intervenções!$K$2)+1)/((Intervenções!$B$2:$B$300=A255)*(Intervenções!$A$2:$A$300=F255)*(Intervenções!$K$2:$K$300&lt;&gt;"")),2)),"")</f>
      </c>
      <c r="AD255" s="4">
        <f>IFERROR(INDEX(Intervenções!$K$2:$K$300,AGGREGATE(15,6,(ROW(Intervenções!$K$2:$K$300)-ROW(Intervenções!$K$2)+1)/((Intervenções!$B$2:$B$300=A255)*(Intervenções!$A$2:$A$300=F255)*(Intervenções!$K$2:$K$300&lt;&gt;"")),3)),"")</f>
      </c>
      <c r="AE255" s="4">
        <f>"RECONCILIAÇÃO MEDICAMENTOSA"&amp;CHAR(10)&amp;IF(G255&lt;&gt;"","Medicamentos de uso prévio: "&amp;G255&amp;".","Sem medicamentos de uso prévio relatados.")&amp;CHAR(10)&amp;IF(H255&lt;&gt;"","Histórico de alergia/RAM: "&amp;H255&amp;".","Nega alergias/RAM conhecidas.")</f>
      </c>
      <c r="AF255" s="4">
        <f>AE255&amp;CHAR(10)&amp;CHAR(10)&amp;"1. Evolução Clínica"&amp;CHAR(10)&amp;TEXTJOIN(" ",TRUE,"Paciente "&amp;I255&amp;", "&amp;IF(J255="","sem DVA","em uso de "&amp;J255)&amp;".",IF(K255&lt;&gt;"","Em "&amp;K255&amp;IF(L255&lt;&gt;""," ("&amp;L255&amp;")","")&amp;IF(M255&lt;&gt;"", ", "&amp;M255,"")&amp;IF(N255&lt;&gt;"", ", sob analgosedação com "&amp;N255,"")&amp;".",""),IF(O255&lt;&gt;"",O255&amp;IF(P255&lt;&gt;"", ", com "&amp;LOWER(P255),"")&amp;IF(Q255&lt;&gt;"", " — "&amp;Q255,"")&amp;".",""),IF(R255="Febre","Apresentou episódio febril nas últimas 24h"&amp;IF(S255&lt;&gt;""," ("&amp;S255&amp;")","")&amp;".",IF(R255="Afebril","Encontra-se afebril.","")),IF(T255&lt;&gt;"",IF(U255="Sim","Apresenta disfunção renal aguda ","Função renal preservada ")&amp;"("&amp;T255&amp;").",""),IF(V255&lt;&gt;"","Em uso do esquema antimicrobiano com "&amp;V255&amp;".",""),IF(TEXTJOIN(", ",TRUE,IF(W255&lt;&gt;"","TEV ("&amp;W255&amp;")",""),IF(X255&lt;&gt;"","LAMG ("&amp;X255&amp;")",""),IF(Y255&lt;&gt;"","úlcera de córnea com "&amp;Y255,""))&lt;&gt;"","Em uso de profilaxia: "&amp;TEXTJOIN(", ",TRUE,IF(W255&lt;&gt;"","TEV ("&amp;W255&amp;")",""),IF(X255&lt;&gt;"","LAMG ("&amp;X255&amp;")",""),IF(Y255&lt;&gt;"","úlcera de córnea com "&amp;Y255,""))&amp;".",""))&amp;CHAR(10)&amp;CHAR(10)&amp;"2. Farmacoterapia"&amp;CHAR(10)&amp;IF(Z255&lt;&gt;"","Corticoide/DART: "&amp;Z255,"Sem corticoide/DART registrado.")&amp;CHAR(10)&amp;CHAR(10)&amp;"3. Conduta Farmacêutica"&amp;CHAR(10)&amp;IF(TEXTJOIN(CHAR(10),TRUE,AB255,AC255,AD255)="","Nenhuma intervenção registrada hoje.",TEXTJOIN(CHAR(10),TRUE,AB255,AC255,AD255))&amp;CHAR(10)&amp;CHAR(10)&amp;"4. Plano Terapêutico"&amp;CHAR(10)&amp;IF(AA255&lt;&gt;"",AA255,"Não definido.")</f>
      </c>
    </row>
    <row r="256" spans="1:32" x14ac:dyDescent="0.25">
      <c r="A256" s="4"/>
      <c r="B256" s="6">
        <f>IFERROR(INDEX(Pacientes!$A:$A,MATCH($A256,Pacientes!$B:$B,0)),"")</f>
      </c>
      <c r="C256" s="6">
        <f>IFERROR(INDEX(Pacientes!$C:$C,MATCH($A256,Pacientes!$B:$B,0)),"")</f>
      </c>
      <c r="D256" s="6">
        <f>IFERROR(INDEX(Pacientes!$D:$D,MATCH($A256,Pacientes!$B:$B,0)),"")</f>
      </c>
      <c r="E256" s="6">
        <f>IFERROR(INDEX(Pacientes!$E:$E,MATCH($A256,Pacientes!$B:$B,0)),"")</f>
      </c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>
        <f>IFERROR(INDEX(Intervenções!$K$2:$K$300,AGGREGATE(15,6,(ROW(Intervenções!$K$2:$K$300)-ROW(Intervenções!$K$2)+1)/((Intervenções!$B$2:$B$300=A256)*(Intervenções!$A$2:$A$300=F256)*(Intervenções!$K$2:$K$300&lt;&gt;"")),1)),"")</f>
      </c>
      <c r="AC256" s="4">
        <f>IFERROR(INDEX(Intervenções!$K$2:$K$300,AGGREGATE(15,6,(ROW(Intervenções!$K$2:$K$300)-ROW(Intervenções!$K$2)+1)/((Intervenções!$B$2:$B$300=A256)*(Intervenções!$A$2:$A$300=F256)*(Intervenções!$K$2:$K$300&lt;&gt;"")),2)),"")</f>
      </c>
      <c r="AD256" s="4">
        <f>IFERROR(INDEX(Intervenções!$K$2:$K$300,AGGREGATE(15,6,(ROW(Intervenções!$K$2:$K$300)-ROW(Intervenções!$K$2)+1)/((Intervenções!$B$2:$B$300=A256)*(Intervenções!$A$2:$A$300=F256)*(Intervenções!$K$2:$K$300&lt;&gt;"")),3)),"")</f>
      </c>
      <c r="AE256" s="4">
        <f>"RECONCILIAÇÃO MEDICAMENTOSA"&amp;CHAR(10)&amp;IF(G256&lt;&gt;"","Medicamentos de uso prévio: "&amp;G256&amp;".","Sem medicamentos de uso prévio relatados.")&amp;CHAR(10)&amp;IF(H256&lt;&gt;"","Histórico de alergia/RAM: "&amp;H256&amp;".","Nega alergias/RAM conhecidas.")</f>
      </c>
      <c r="AF256" s="4">
        <f>AE256&amp;CHAR(10)&amp;CHAR(10)&amp;"1. Evolução Clínica"&amp;CHAR(10)&amp;TEXTJOIN(" ",TRUE,"Paciente "&amp;I256&amp;", "&amp;IF(J256="","sem DVA","em uso de "&amp;J256)&amp;".",IF(K256&lt;&gt;"","Em "&amp;K256&amp;IF(L256&lt;&gt;""," ("&amp;L256&amp;")","")&amp;IF(M256&lt;&gt;"", ", "&amp;M256,"")&amp;IF(N256&lt;&gt;"", ", sob analgosedação com "&amp;N256,"")&amp;".",""),IF(O256&lt;&gt;"",O256&amp;IF(P256&lt;&gt;"", ", com "&amp;LOWER(P256),"")&amp;IF(Q256&lt;&gt;"", " — "&amp;Q256,"")&amp;".",""),IF(R256="Febre","Apresentou episódio febril nas últimas 24h"&amp;IF(S256&lt;&gt;""," ("&amp;S256&amp;")","")&amp;".",IF(R256="Afebril","Encontra-se afebril.","")),IF(T256&lt;&gt;"",IF(U256="Sim","Apresenta disfunção renal aguda ","Função renal preservada ")&amp;"("&amp;T256&amp;").",""),IF(V256&lt;&gt;"","Em uso do esquema antimicrobiano com "&amp;V256&amp;".",""),IF(TEXTJOIN(", ",TRUE,IF(W256&lt;&gt;"","TEV ("&amp;W256&amp;")",""),IF(X256&lt;&gt;"","LAMG ("&amp;X256&amp;")",""),IF(Y256&lt;&gt;"","úlcera de córnea com "&amp;Y256,""))&lt;&gt;"","Em uso de profilaxia: "&amp;TEXTJOIN(", ",TRUE,IF(W256&lt;&gt;"","TEV ("&amp;W256&amp;")",""),IF(X256&lt;&gt;"","LAMG ("&amp;X256&amp;")",""),IF(Y256&lt;&gt;"","úlcera de córnea com "&amp;Y256,""))&amp;".",""))&amp;CHAR(10)&amp;CHAR(10)&amp;"2. Farmacoterapia"&amp;CHAR(10)&amp;IF(Z256&lt;&gt;"","Corticoide/DART: "&amp;Z256,"Sem corticoide/DART registrado.")&amp;CHAR(10)&amp;CHAR(10)&amp;"3. Conduta Farmacêutica"&amp;CHAR(10)&amp;IF(TEXTJOIN(CHAR(10),TRUE,AB256,AC256,AD256)="","Nenhuma intervenção registrada hoje.",TEXTJOIN(CHAR(10),TRUE,AB256,AC256,AD256))&amp;CHAR(10)&amp;CHAR(10)&amp;"4. Plano Terapêutico"&amp;CHAR(10)&amp;IF(AA256&lt;&gt;"",AA256,"Não definido.")</f>
      </c>
    </row>
    <row r="257" spans="1:32" x14ac:dyDescent="0.25">
      <c r="A257" s="4"/>
      <c r="B257" s="6">
        <f>IFERROR(INDEX(Pacientes!$A:$A,MATCH($A257,Pacientes!$B:$B,0)),"")</f>
      </c>
      <c r="C257" s="6">
        <f>IFERROR(INDEX(Pacientes!$C:$C,MATCH($A257,Pacientes!$B:$B,0)),"")</f>
      </c>
      <c r="D257" s="6">
        <f>IFERROR(INDEX(Pacientes!$D:$D,MATCH($A257,Pacientes!$B:$B,0)),"")</f>
      </c>
      <c r="E257" s="6">
        <f>IFERROR(INDEX(Pacientes!$E:$E,MATCH($A257,Pacientes!$B:$B,0)),"")</f>
      </c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>
        <f>IFERROR(INDEX(Intervenções!$K$2:$K$300,AGGREGATE(15,6,(ROW(Intervenções!$K$2:$K$300)-ROW(Intervenções!$K$2)+1)/((Intervenções!$B$2:$B$300=A257)*(Intervenções!$A$2:$A$300=F257)*(Intervenções!$K$2:$K$300&lt;&gt;"")),1)),"")</f>
      </c>
      <c r="AC257" s="4">
        <f>IFERROR(INDEX(Intervenções!$K$2:$K$300,AGGREGATE(15,6,(ROW(Intervenções!$K$2:$K$300)-ROW(Intervenções!$K$2)+1)/((Intervenções!$B$2:$B$300=A257)*(Intervenções!$A$2:$A$300=F257)*(Intervenções!$K$2:$K$300&lt;&gt;"")),2)),"")</f>
      </c>
      <c r="AD257" s="4">
        <f>IFERROR(INDEX(Intervenções!$K$2:$K$300,AGGREGATE(15,6,(ROW(Intervenções!$K$2:$K$300)-ROW(Intervenções!$K$2)+1)/((Intervenções!$B$2:$B$300=A257)*(Intervenções!$A$2:$A$300=F257)*(Intervenções!$K$2:$K$300&lt;&gt;"")),3)),"")</f>
      </c>
      <c r="AE257" s="4">
        <f>"RECONCILIAÇÃO MEDICAMENTOSA"&amp;CHAR(10)&amp;IF(G257&lt;&gt;"","Medicamentos de uso prévio: "&amp;G257&amp;".","Sem medicamentos de uso prévio relatados.")&amp;CHAR(10)&amp;IF(H257&lt;&gt;"","Histórico de alergia/RAM: "&amp;H257&amp;".","Nega alergias/RAM conhecidas.")</f>
      </c>
      <c r="AF257" s="4">
        <f>AE257&amp;CHAR(10)&amp;CHAR(10)&amp;"1. Evolução Clínica"&amp;CHAR(10)&amp;TEXTJOIN(" ",TRUE,"Paciente "&amp;I257&amp;", "&amp;IF(J257="","sem DVA","em uso de "&amp;J257)&amp;".",IF(K257&lt;&gt;"","Em "&amp;K257&amp;IF(L257&lt;&gt;""," ("&amp;L257&amp;")","")&amp;IF(M257&lt;&gt;"", ", "&amp;M257,"")&amp;IF(N257&lt;&gt;"", ", sob analgosedação com "&amp;N257,"")&amp;".",""),IF(O257&lt;&gt;"",O257&amp;IF(P257&lt;&gt;"", ", com "&amp;LOWER(P257),"")&amp;IF(Q257&lt;&gt;"", " — "&amp;Q257,"")&amp;".",""),IF(R257="Febre","Apresentou episódio febril nas últimas 24h"&amp;IF(S257&lt;&gt;""," ("&amp;S257&amp;")","")&amp;".",IF(R257="Afebril","Encontra-se afebril.","")),IF(T257&lt;&gt;"",IF(U257="Sim","Apresenta disfunção renal aguda ","Função renal preservada ")&amp;"("&amp;T257&amp;").",""),IF(V257&lt;&gt;"","Em uso do esquema antimicrobiano com "&amp;V257&amp;".",""),IF(TEXTJOIN(", ",TRUE,IF(W257&lt;&gt;"","TEV ("&amp;W257&amp;")",""),IF(X257&lt;&gt;"","LAMG ("&amp;X257&amp;")",""),IF(Y257&lt;&gt;"","úlcera de córnea com "&amp;Y257,""))&lt;&gt;"","Em uso de profilaxia: "&amp;TEXTJOIN(", ",TRUE,IF(W257&lt;&gt;"","TEV ("&amp;W257&amp;")",""),IF(X257&lt;&gt;"","LAMG ("&amp;X257&amp;")",""),IF(Y257&lt;&gt;"","úlcera de córnea com "&amp;Y257,""))&amp;".",""))&amp;CHAR(10)&amp;CHAR(10)&amp;"2. Farmacoterapia"&amp;CHAR(10)&amp;IF(Z257&lt;&gt;"","Corticoide/DART: "&amp;Z257,"Sem corticoide/DART registrado.")&amp;CHAR(10)&amp;CHAR(10)&amp;"3. Conduta Farmacêutica"&amp;CHAR(10)&amp;IF(TEXTJOIN(CHAR(10),TRUE,AB257,AC257,AD257)="","Nenhuma intervenção registrada hoje.",TEXTJOIN(CHAR(10),TRUE,AB257,AC257,AD257))&amp;CHAR(10)&amp;CHAR(10)&amp;"4. Plano Terapêutico"&amp;CHAR(10)&amp;IF(AA257&lt;&gt;"",AA257,"Não definido.")</f>
      </c>
    </row>
    <row r="258" spans="1:32" x14ac:dyDescent="0.25">
      <c r="A258" s="4"/>
      <c r="B258" s="6">
        <f>IFERROR(INDEX(Pacientes!$A:$A,MATCH($A258,Pacientes!$B:$B,0)),"")</f>
      </c>
      <c r="C258" s="6">
        <f>IFERROR(INDEX(Pacientes!$C:$C,MATCH($A258,Pacientes!$B:$B,0)),"")</f>
      </c>
      <c r="D258" s="6">
        <f>IFERROR(INDEX(Pacientes!$D:$D,MATCH($A258,Pacientes!$B:$B,0)),"")</f>
      </c>
      <c r="E258" s="6">
        <f>IFERROR(INDEX(Pacientes!$E:$E,MATCH($A258,Pacientes!$B:$B,0)),"")</f>
      </c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>
        <f>IFERROR(INDEX(Intervenções!$K$2:$K$300,AGGREGATE(15,6,(ROW(Intervenções!$K$2:$K$300)-ROW(Intervenções!$K$2)+1)/((Intervenções!$B$2:$B$300=A258)*(Intervenções!$A$2:$A$300=F258)*(Intervenções!$K$2:$K$300&lt;&gt;"")),1)),"")</f>
      </c>
      <c r="AC258" s="4">
        <f>IFERROR(INDEX(Intervenções!$K$2:$K$300,AGGREGATE(15,6,(ROW(Intervenções!$K$2:$K$300)-ROW(Intervenções!$K$2)+1)/((Intervenções!$B$2:$B$300=A258)*(Intervenções!$A$2:$A$300=F258)*(Intervenções!$K$2:$K$300&lt;&gt;"")),2)),"")</f>
      </c>
      <c r="AD258" s="4">
        <f>IFERROR(INDEX(Intervenções!$K$2:$K$300,AGGREGATE(15,6,(ROW(Intervenções!$K$2:$K$300)-ROW(Intervenções!$K$2)+1)/((Intervenções!$B$2:$B$300=A258)*(Intervenções!$A$2:$A$300=F258)*(Intervenções!$K$2:$K$300&lt;&gt;"")),3)),"")</f>
      </c>
      <c r="AE258" s="4">
        <f>"RECONCILIAÇÃO MEDICAMENTOSA"&amp;CHAR(10)&amp;IF(G258&lt;&gt;"","Medicamentos de uso prévio: "&amp;G258&amp;".","Sem medicamentos de uso prévio relatados.")&amp;CHAR(10)&amp;IF(H258&lt;&gt;"","Histórico de alergia/RAM: "&amp;H258&amp;".","Nega alergias/RAM conhecidas.")</f>
      </c>
      <c r="AF258" s="4">
        <f>AE258&amp;CHAR(10)&amp;CHAR(10)&amp;"1. Evolução Clínica"&amp;CHAR(10)&amp;TEXTJOIN(" ",TRUE,"Paciente "&amp;I258&amp;", "&amp;IF(J258="","sem DVA","em uso de "&amp;J258)&amp;".",IF(K258&lt;&gt;"","Em "&amp;K258&amp;IF(L258&lt;&gt;""," ("&amp;L258&amp;")","")&amp;IF(M258&lt;&gt;"", ", "&amp;M258,"")&amp;IF(N258&lt;&gt;"", ", sob analgosedação com "&amp;N258,"")&amp;".",""),IF(O258&lt;&gt;"",O258&amp;IF(P258&lt;&gt;"", ", com "&amp;LOWER(P258),"")&amp;IF(Q258&lt;&gt;"", " — "&amp;Q258,"")&amp;".",""),IF(R258="Febre","Apresentou episódio febril nas últimas 24h"&amp;IF(S258&lt;&gt;""," ("&amp;S258&amp;")","")&amp;".",IF(R258="Afebril","Encontra-se afebril.","")),IF(T258&lt;&gt;"",IF(U258="Sim","Apresenta disfunção renal aguda ","Função renal preservada ")&amp;"("&amp;T258&amp;").",""),IF(V258&lt;&gt;"","Em uso do esquema antimicrobiano com "&amp;V258&amp;".",""),IF(TEXTJOIN(", ",TRUE,IF(W258&lt;&gt;"","TEV ("&amp;W258&amp;")",""),IF(X258&lt;&gt;"","LAMG ("&amp;X258&amp;")",""),IF(Y258&lt;&gt;"","úlcera de córnea com "&amp;Y258,""))&lt;&gt;"","Em uso de profilaxia: "&amp;TEXTJOIN(", ",TRUE,IF(W258&lt;&gt;"","TEV ("&amp;W258&amp;")",""),IF(X258&lt;&gt;"","LAMG ("&amp;X258&amp;")",""),IF(Y258&lt;&gt;"","úlcera de córnea com "&amp;Y258,""))&amp;".",""))&amp;CHAR(10)&amp;CHAR(10)&amp;"2. Farmacoterapia"&amp;CHAR(10)&amp;IF(Z258&lt;&gt;"","Corticoide/DART: "&amp;Z258,"Sem corticoide/DART registrado.")&amp;CHAR(10)&amp;CHAR(10)&amp;"3. Conduta Farmacêutica"&amp;CHAR(10)&amp;IF(TEXTJOIN(CHAR(10),TRUE,AB258,AC258,AD258)="","Nenhuma intervenção registrada hoje.",TEXTJOIN(CHAR(10),TRUE,AB258,AC258,AD258))&amp;CHAR(10)&amp;CHAR(10)&amp;"4. Plano Terapêutico"&amp;CHAR(10)&amp;IF(AA258&lt;&gt;"",AA258,"Não definido.")</f>
      </c>
    </row>
    <row r="259" spans="1:32" x14ac:dyDescent="0.25">
      <c r="A259" s="4"/>
      <c r="B259" s="6">
        <f>IFERROR(INDEX(Pacientes!$A:$A,MATCH($A259,Pacientes!$B:$B,0)),"")</f>
      </c>
      <c r="C259" s="6">
        <f>IFERROR(INDEX(Pacientes!$C:$C,MATCH($A259,Pacientes!$B:$B,0)),"")</f>
      </c>
      <c r="D259" s="6">
        <f>IFERROR(INDEX(Pacientes!$D:$D,MATCH($A259,Pacientes!$B:$B,0)),"")</f>
      </c>
      <c r="E259" s="6">
        <f>IFERROR(INDEX(Pacientes!$E:$E,MATCH($A259,Pacientes!$B:$B,0)),"")</f>
      </c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>
        <f>IFERROR(INDEX(Intervenções!$K$2:$K$300,AGGREGATE(15,6,(ROW(Intervenções!$K$2:$K$300)-ROW(Intervenções!$K$2)+1)/((Intervenções!$B$2:$B$300=A259)*(Intervenções!$A$2:$A$300=F259)*(Intervenções!$K$2:$K$300&lt;&gt;"")),1)),"")</f>
      </c>
      <c r="AC259" s="4">
        <f>IFERROR(INDEX(Intervenções!$K$2:$K$300,AGGREGATE(15,6,(ROW(Intervenções!$K$2:$K$300)-ROW(Intervenções!$K$2)+1)/((Intervenções!$B$2:$B$300=A259)*(Intervenções!$A$2:$A$300=F259)*(Intervenções!$K$2:$K$300&lt;&gt;"")),2)),"")</f>
      </c>
      <c r="AD259" s="4">
        <f>IFERROR(INDEX(Intervenções!$K$2:$K$300,AGGREGATE(15,6,(ROW(Intervenções!$K$2:$K$300)-ROW(Intervenções!$K$2)+1)/((Intervenções!$B$2:$B$300=A259)*(Intervenções!$A$2:$A$300=F259)*(Intervenções!$K$2:$K$300&lt;&gt;"")),3)),"")</f>
      </c>
      <c r="AE259" s="4">
        <f>"RECONCILIAÇÃO MEDICAMENTOSA"&amp;CHAR(10)&amp;IF(G259&lt;&gt;"","Medicamentos de uso prévio: "&amp;G259&amp;".","Sem medicamentos de uso prévio relatados.")&amp;CHAR(10)&amp;IF(H259&lt;&gt;"","Histórico de alergia/RAM: "&amp;H259&amp;".","Nega alergias/RAM conhecidas.")</f>
      </c>
      <c r="AF259" s="4">
        <f>AE259&amp;CHAR(10)&amp;CHAR(10)&amp;"1. Evolução Clínica"&amp;CHAR(10)&amp;TEXTJOIN(" ",TRUE,"Paciente "&amp;I259&amp;", "&amp;IF(J259="","sem DVA","em uso de "&amp;J259)&amp;".",IF(K259&lt;&gt;"","Em "&amp;K259&amp;IF(L259&lt;&gt;""," ("&amp;L259&amp;")","")&amp;IF(M259&lt;&gt;"", ", "&amp;M259,"")&amp;IF(N259&lt;&gt;"", ", sob analgosedação com "&amp;N259,"")&amp;".",""),IF(O259&lt;&gt;"",O259&amp;IF(P259&lt;&gt;"", ", com "&amp;LOWER(P259),"")&amp;IF(Q259&lt;&gt;"", " — "&amp;Q259,"")&amp;".",""),IF(R259="Febre","Apresentou episódio febril nas últimas 24h"&amp;IF(S259&lt;&gt;""," ("&amp;S259&amp;")","")&amp;".",IF(R259="Afebril","Encontra-se afebril.","")),IF(T259&lt;&gt;"",IF(U259="Sim","Apresenta disfunção renal aguda ","Função renal preservada ")&amp;"("&amp;T259&amp;").",""),IF(V259&lt;&gt;"","Em uso do esquema antimicrobiano com "&amp;V259&amp;".",""),IF(TEXTJOIN(", ",TRUE,IF(W259&lt;&gt;"","TEV ("&amp;W259&amp;")",""),IF(X259&lt;&gt;"","LAMG ("&amp;X259&amp;")",""),IF(Y259&lt;&gt;"","úlcera de córnea com "&amp;Y259,""))&lt;&gt;"","Em uso de profilaxia: "&amp;TEXTJOIN(", ",TRUE,IF(W259&lt;&gt;"","TEV ("&amp;W259&amp;")",""),IF(X259&lt;&gt;"","LAMG ("&amp;X259&amp;")",""),IF(Y259&lt;&gt;"","úlcera de córnea com "&amp;Y259,""))&amp;".",""))&amp;CHAR(10)&amp;CHAR(10)&amp;"2. Farmacoterapia"&amp;CHAR(10)&amp;IF(Z259&lt;&gt;"","Corticoide/DART: "&amp;Z259,"Sem corticoide/DART registrado.")&amp;CHAR(10)&amp;CHAR(10)&amp;"3. Conduta Farmacêutica"&amp;CHAR(10)&amp;IF(TEXTJOIN(CHAR(10),TRUE,AB259,AC259,AD259)="","Nenhuma intervenção registrada hoje.",TEXTJOIN(CHAR(10),TRUE,AB259,AC259,AD259))&amp;CHAR(10)&amp;CHAR(10)&amp;"4. Plano Terapêutico"&amp;CHAR(10)&amp;IF(AA259&lt;&gt;"",AA259,"Não definido.")</f>
      </c>
    </row>
    <row r="260" spans="1:32" x14ac:dyDescent="0.25">
      <c r="A260" s="4"/>
      <c r="B260" s="6">
        <f>IFERROR(INDEX(Pacientes!$A:$A,MATCH($A260,Pacientes!$B:$B,0)),"")</f>
      </c>
      <c r="C260" s="6">
        <f>IFERROR(INDEX(Pacientes!$C:$C,MATCH($A260,Pacientes!$B:$B,0)),"")</f>
      </c>
      <c r="D260" s="6">
        <f>IFERROR(INDEX(Pacientes!$D:$D,MATCH($A260,Pacientes!$B:$B,0)),"")</f>
      </c>
      <c r="E260" s="6">
        <f>IFERROR(INDEX(Pacientes!$E:$E,MATCH($A260,Pacientes!$B:$B,0)),"")</f>
      </c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>
        <f>IFERROR(INDEX(Intervenções!$K$2:$K$300,AGGREGATE(15,6,(ROW(Intervenções!$K$2:$K$300)-ROW(Intervenções!$K$2)+1)/((Intervenções!$B$2:$B$300=A260)*(Intervenções!$A$2:$A$300=F260)*(Intervenções!$K$2:$K$300&lt;&gt;"")),1)),"")</f>
      </c>
      <c r="AC260" s="4">
        <f>IFERROR(INDEX(Intervenções!$K$2:$K$300,AGGREGATE(15,6,(ROW(Intervenções!$K$2:$K$300)-ROW(Intervenções!$K$2)+1)/((Intervenções!$B$2:$B$300=A260)*(Intervenções!$A$2:$A$300=F260)*(Intervenções!$K$2:$K$300&lt;&gt;"")),2)),"")</f>
      </c>
      <c r="AD260" s="4">
        <f>IFERROR(INDEX(Intervenções!$K$2:$K$300,AGGREGATE(15,6,(ROW(Intervenções!$K$2:$K$300)-ROW(Intervenções!$K$2)+1)/((Intervenções!$B$2:$B$300=A260)*(Intervenções!$A$2:$A$300=F260)*(Intervenções!$K$2:$K$300&lt;&gt;"")),3)),"")</f>
      </c>
      <c r="AE260" s="4">
        <f>"RECONCILIAÇÃO MEDICAMENTOSA"&amp;CHAR(10)&amp;IF(G260&lt;&gt;"","Medicamentos de uso prévio: "&amp;G260&amp;".","Sem medicamentos de uso prévio relatados.")&amp;CHAR(10)&amp;IF(H260&lt;&gt;"","Histórico de alergia/RAM: "&amp;H260&amp;".","Nega alergias/RAM conhecidas.")</f>
      </c>
      <c r="AF260" s="4">
        <f>AE260&amp;CHAR(10)&amp;CHAR(10)&amp;"1. Evolução Clínica"&amp;CHAR(10)&amp;TEXTJOIN(" ",TRUE,"Paciente "&amp;I260&amp;", "&amp;IF(J260="","sem DVA","em uso de "&amp;J260)&amp;".",IF(K260&lt;&gt;"","Em "&amp;K260&amp;IF(L260&lt;&gt;""," ("&amp;L260&amp;")","")&amp;IF(M260&lt;&gt;"", ", "&amp;M260,"")&amp;IF(N260&lt;&gt;"", ", sob analgosedação com "&amp;N260,"")&amp;".",""),IF(O260&lt;&gt;"",O260&amp;IF(P260&lt;&gt;"", ", com "&amp;LOWER(P260),"")&amp;IF(Q260&lt;&gt;"", " — "&amp;Q260,"")&amp;".",""),IF(R260="Febre","Apresentou episódio febril nas últimas 24h"&amp;IF(S260&lt;&gt;""," ("&amp;S260&amp;")","")&amp;".",IF(R260="Afebril","Encontra-se afebril.","")),IF(T260&lt;&gt;"",IF(U260="Sim","Apresenta disfunção renal aguda ","Função renal preservada ")&amp;"("&amp;T260&amp;").",""),IF(V260&lt;&gt;"","Em uso do esquema antimicrobiano com "&amp;V260&amp;".",""),IF(TEXTJOIN(", ",TRUE,IF(W260&lt;&gt;"","TEV ("&amp;W260&amp;")",""),IF(X260&lt;&gt;"","LAMG ("&amp;X260&amp;")",""),IF(Y260&lt;&gt;"","úlcera de córnea com "&amp;Y260,""))&lt;&gt;"","Em uso de profilaxia: "&amp;TEXTJOIN(", ",TRUE,IF(W260&lt;&gt;"","TEV ("&amp;W260&amp;")",""),IF(X260&lt;&gt;"","LAMG ("&amp;X260&amp;")",""),IF(Y260&lt;&gt;"","úlcera de córnea com "&amp;Y260,""))&amp;".",""))&amp;CHAR(10)&amp;CHAR(10)&amp;"2. Farmacoterapia"&amp;CHAR(10)&amp;IF(Z260&lt;&gt;"","Corticoide/DART: "&amp;Z260,"Sem corticoide/DART registrado.")&amp;CHAR(10)&amp;CHAR(10)&amp;"3. Conduta Farmacêutica"&amp;CHAR(10)&amp;IF(TEXTJOIN(CHAR(10),TRUE,AB260,AC260,AD260)="","Nenhuma intervenção registrada hoje.",TEXTJOIN(CHAR(10),TRUE,AB260,AC260,AD260))&amp;CHAR(10)&amp;CHAR(10)&amp;"4. Plano Terapêutico"&amp;CHAR(10)&amp;IF(AA260&lt;&gt;"",AA260,"Não definido.")</f>
      </c>
    </row>
    <row r="261" spans="1:32" x14ac:dyDescent="0.25">
      <c r="A261" s="4"/>
      <c r="B261" s="6">
        <f>IFERROR(INDEX(Pacientes!$A:$A,MATCH($A261,Pacientes!$B:$B,0)),"")</f>
      </c>
      <c r="C261" s="6">
        <f>IFERROR(INDEX(Pacientes!$C:$C,MATCH($A261,Pacientes!$B:$B,0)),"")</f>
      </c>
      <c r="D261" s="6">
        <f>IFERROR(INDEX(Pacientes!$D:$D,MATCH($A261,Pacientes!$B:$B,0)),"")</f>
      </c>
      <c r="E261" s="6">
        <f>IFERROR(INDEX(Pacientes!$E:$E,MATCH($A261,Pacientes!$B:$B,0)),"")</f>
      </c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>
        <f>IFERROR(INDEX(Intervenções!$K$2:$K$300,AGGREGATE(15,6,(ROW(Intervenções!$K$2:$K$300)-ROW(Intervenções!$K$2)+1)/((Intervenções!$B$2:$B$300=A261)*(Intervenções!$A$2:$A$300=F261)*(Intervenções!$K$2:$K$300&lt;&gt;"")),1)),"")</f>
      </c>
      <c r="AC261" s="4">
        <f>IFERROR(INDEX(Intervenções!$K$2:$K$300,AGGREGATE(15,6,(ROW(Intervenções!$K$2:$K$300)-ROW(Intervenções!$K$2)+1)/((Intervenções!$B$2:$B$300=A261)*(Intervenções!$A$2:$A$300=F261)*(Intervenções!$K$2:$K$300&lt;&gt;"")),2)),"")</f>
      </c>
      <c r="AD261" s="4">
        <f>IFERROR(INDEX(Intervenções!$K$2:$K$300,AGGREGATE(15,6,(ROW(Intervenções!$K$2:$K$300)-ROW(Intervenções!$K$2)+1)/((Intervenções!$B$2:$B$300=A261)*(Intervenções!$A$2:$A$300=F261)*(Intervenções!$K$2:$K$300&lt;&gt;"")),3)),"")</f>
      </c>
      <c r="AE261" s="4">
        <f>"RECONCILIAÇÃO MEDICAMENTOSA"&amp;CHAR(10)&amp;IF(G261&lt;&gt;"","Medicamentos de uso prévio: "&amp;G261&amp;".","Sem medicamentos de uso prévio relatados.")&amp;CHAR(10)&amp;IF(H261&lt;&gt;"","Histórico de alergia/RAM: "&amp;H261&amp;".","Nega alergias/RAM conhecidas.")</f>
      </c>
      <c r="AF261" s="4">
        <f>AE261&amp;CHAR(10)&amp;CHAR(10)&amp;"1. Evolução Clínica"&amp;CHAR(10)&amp;TEXTJOIN(" ",TRUE,"Paciente "&amp;I261&amp;", "&amp;IF(J261="","sem DVA","em uso de "&amp;J261)&amp;".",IF(K261&lt;&gt;"","Em "&amp;K261&amp;IF(L261&lt;&gt;""," ("&amp;L261&amp;")","")&amp;IF(M261&lt;&gt;"", ", "&amp;M261,"")&amp;IF(N261&lt;&gt;"", ", sob analgosedação com "&amp;N261,"")&amp;".",""),IF(O261&lt;&gt;"",O261&amp;IF(P261&lt;&gt;"", ", com "&amp;LOWER(P261),"")&amp;IF(Q261&lt;&gt;"", " — "&amp;Q261,"")&amp;".",""),IF(R261="Febre","Apresentou episódio febril nas últimas 24h"&amp;IF(S261&lt;&gt;""," ("&amp;S261&amp;")","")&amp;".",IF(R261="Afebril","Encontra-se afebril.","")),IF(T261&lt;&gt;"",IF(U261="Sim","Apresenta disfunção renal aguda ","Função renal preservada ")&amp;"("&amp;T261&amp;").",""),IF(V261&lt;&gt;"","Em uso do esquema antimicrobiano com "&amp;V261&amp;".",""),IF(TEXTJOIN(", ",TRUE,IF(W261&lt;&gt;"","TEV ("&amp;W261&amp;")",""),IF(X261&lt;&gt;"","LAMG ("&amp;X261&amp;")",""),IF(Y261&lt;&gt;"","úlcera de córnea com "&amp;Y261,""))&lt;&gt;"","Em uso de profilaxia: "&amp;TEXTJOIN(", ",TRUE,IF(W261&lt;&gt;"","TEV ("&amp;W261&amp;")",""),IF(X261&lt;&gt;"","LAMG ("&amp;X261&amp;")",""),IF(Y261&lt;&gt;"","úlcera de córnea com "&amp;Y261,""))&amp;".",""))&amp;CHAR(10)&amp;CHAR(10)&amp;"2. Farmacoterapia"&amp;CHAR(10)&amp;IF(Z261&lt;&gt;"","Corticoide/DART: "&amp;Z261,"Sem corticoide/DART registrado.")&amp;CHAR(10)&amp;CHAR(10)&amp;"3. Conduta Farmacêutica"&amp;CHAR(10)&amp;IF(TEXTJOIN(CHAR(10),TRUE,AB261,AC261,AD261)="","Nenhuma intervenção registrada hoje.",TEXTJOIN(CHAR(10),TRUE,AB261,AC261,AD261))&amp;CHAR(10)&amp;CHAR(10)&amp;"4. Plano Terapêutico"&amp;CHAR(10)&amp;IF(AA261&lt;&gt;"",AA261,"Não definido.")</f>
      </c>
    </row>
    <row r="262" spans="1:32" x14ac:dyDescent="0.25">
      <c r="A262" s="4"/>
      <c r="B262" s="6">
        <f>IFERROR(INDEX(Pacientes!$A:$A,MATCH($A262,Pacientes!$B:$B,0)),"")</f>
      </c>
      <c r="C262" s="6">
        <f>IFERROR(INDEX(Pacientes!$C:$C,MATCH($A262,Pacientes!$B:$B,0)),"")</f>
      </c>
      <c r="D262" s="6">
        <f>IFERROR(INDEX(Pacientes!$D:$D,MATCH($A262,Pacientes!$B:$B,0)),"")</f>
      </c>
      <c r="E262" s="6">
        <f>IFERROR(INDEX(Pacientes!$E:$E,MATCH($A262,Pacientes!$B:$B,0)),"")</f>
      </c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>
        <f>IFERROR(INDEX(Intervenções!$K$2:$K$300,AGGREGATE(15,6,(ROW(Intervenções!$K$2:$K$300)-ROW(Intervenções!$K$2)+1)/((Intervenções!$B$2:$B$300=A262)*(Intervenções!$A$2:$A$300=F262)*(Intervenções!$K$2:$K$300&lt;&gt;"")),1)),"")</f>
      </c>
      <c r="AC262" s="4">
        <f>IFERROR(INDEX(Intervenções!$K$2:$K$300,AGGREGATE(15,6,(ROW(Intervenções!$K$2:$K$300)-ROW(Intervenções!$K$2)+1)/((Intervenções!$B$2:$B$300=A262)*(Intervenções!$A$2:$A$300=F262)*(Intervenções!$K$2:$K$300&lt;&gt;"")),2)),"")</f>
      </c>
      <c r="AD262" s="4">
        <f>IFERROR(INDEX(Intervenções!$K$2:$K$300,AGGREGATE(15,6,(ROW(Intervenções!$K$2:$K$300)-ROW(Intervenções!$K$2)+1)/((Intervenções!$B$2:$B$300=A262)*(Intervenções!$A$2:$A$300=F262)*(Intervenções!$K$2:$K$300&lt;&gt;"")),3)),"")</f>
      </c>
      <c r="AE262" s="4">
        <f>"RECONCILIAÇÃO MEDICAMENTOSA"&amp;CHAR(10)&amp;IF(G262&lt;&gt;"","Medicamentos de uso prévio: "&amp;G262&amp;".","Sem medicamentos de uso prévio relatados.")&amp;CHAR(10)&amp;IF(H262&lt;&gt;"","Histórico de alergia/RAM: "&amp;H262&amp;".","Nega alergias/RAM conhecidas.")</f>
      </c>
      <c r="AF262" s="4">
        <f>AE262&amp;CHAR(10)&amp;CHAR(10)&amp;"1. Evolução Clínica"&amp;CHAR(10)&amp;TEXTJOIN(" ",TRUE,"Paciente "&amp;I262&amp;", "&amp;IF(J262="","sem DVA","em uso de "&amp;J262)&amp;".",IF(K262&lt;&gt;"","Em "&amp;K262&amp;IF(L262&lt;&gt;""," ("&amp;L262&amp;")","")&amp;IF(M262&lt;&gt;"", ", "&amp;M262,"")&amp;IF(N262&lt;&gt;"", ", sob analgosedação com "&amp;N262,"")&amp;".",""),IF(O262&lt;&gt;"",O262&amp;IF(P262&lt;&gt;"", ", com "&amp;LOWER(P262),"")&amp;IF(Q262&lt;&gt;"", " — "&amp;Q262,"")&amp;".",""),IF(R262="Febre","Apresentou episódio febril nas últimas 24h"&amp;IF(S262&lt;&gt;""," ("&amp;S262&amp;")","")&amp;".",IF(R262="Afebril","Encontra-se afebril.","")),IF(T262&lt;&gt;"",IF(U262="Sim","Apresenta disfunção renal aguda ","Função renal preservada ")&amp;"("&amp;T262&amp;").",""),IF(V262&lt;&gt;"","Em uso do esquema antimicrobiano com "&amp;V262&amp;".",""),IF(TEXTJOIN(", ",TRUE,IF(W262&lt;&gt;"","TEV ("&amp;W262&amp;")",""),IF(X262&lt;&gt;"","LAMG ("&amp;X262&amp;")",""),IF(Y262&lt;&gt;"","úlcera de córnea com "&amp;Y262,""))&lt;&gt;"","Em uso de profilaxia: "&amp;TEXTJOIN(", ",TRUE,IF(W262&lt;&gt;"","TEV ("&amp;W262&amp;")",""),IF(X262&lt;&gt;"","LAMG ("&amp;X262&amp;")",""),IF(Y262&lt;&gt;"","úlcera de córnea com "&amp;Y262,""))&amp;".",""))&amp;CHAR(10)&amp;CHAR(10)&amp;"2. Farmacoterapia"&amp;CHAR(10)&amp;IF(Z262&lt;&gt;"","Corticoide/DART: "&amp;Z262,"Sem corticoide/DART registrado.")&amp;CHAR(10)&amp;CHAR(10)&amp;"3. Conduta Farmacêutica"&amp;CHAR(10)&amp;IF(TEXTJOIN(CHAR(10),TRUE,AB262,AC262,AD262)="","Nenhuma intervenção registrada hoje.",TEXTJOIN(CHAR(10),TRUE,AB262,AC262,AD262))&amp;CHAR(10)&amp;CHAR(10)&amp;"4. Plano Terapêutico"&amp;CHAR(10)&amp;IF(AA262&lt;&gt;"",AA262,"Não definido.")</f>
      </c>
    </row>
    <row r="263" spans="1:32" x14ac:dyDescent="0.25">
      <c r="A263" s="4"/>
      <c r="B263" s="6">
        <f>IFERROR(INDEX(Pacientes!$A:$A,MATCH($A263,Pacientes!$B:$B,0)),"")</f>
      </c>
      <c r="C263" s="6">
        <f>IFERROR(INDEX(Pacientes!$C:$C,MATCH($A263,Pacientes!$B:$B,0)),"")</f>
      </c>
      <c r="D263" s="6">
        <f>IFERROR(INDEX(Pacientes!$D:$D,MATCH($A263,Pacientes!$B:$B,0)),"")</f>
      </c>
      <c r="E263" s="6">
        <f>IFERROR(INDEX(Pacientes!$E:$E,MATCH($A263,Pacientes!$B:$B,0)),"")</f>
      </c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>
        <f>IFERROR(INDEX(Intervenções!$K$2:$K$300,AGGREGATE(15,6,(ROW(Intervenções!$K$2:$K$300)-ROW(Intervenções!$K$2)+1)/((Intervenções!$B$2:$B$300=A263)*(Intervenções!$A$2:$A$300=F263)*(Intervenções!$K$2:$K$300&lt;&gt;"")),1)),"")</f>
      </c>
      <c r="AC263" s="4">
        <f>IFERROR(INDEX(Intervenções!$K$2:$K$300,AGGREGATE(15,6,(ROW(Intervenções!$K$2:$K$300)-ROW(Intervenções!$K$2)+1)/((Intervenções!$B$2:$B$300=A263)*(Intervenções!$A$2:$A$300=F263)*(Intervenções!$K$2:$K$300&lt;&gt;"")),2)),"")</f>
      </c>
      <c r="AD263" s="4">
        <f>IFERROR(INDEX(Intervenções!$K$2:$K$300,AGGREGATE(15,6,(ROW(Intervenções!$K$2:$K$300)-ROW(Intervenções!$K$2)+1)/((Intervenções!$B$2:$B$300=A263)*(Intervenções!$A$2:$A$300=F263)*(Intervenções!$K$2:$K$300&lt;&gt;"")),3)),"")</f>
      </c>
      <c r="AE263" s="4">
        <f>"RECONCILIAÇÃO MEDICAMENTOSA"&amp;CHAR(10)&amp;IF(G263&lt;&gt;"","Medicamentos de uso prévio: "&amp;G263&amp;".","Sem medicamentos de uso prévio relatados.")&amp;CHAR(10)&amp;IF(H263&lt;&gt;"","Histórico de alergia/RAM: "&amp;H263&amp;".","Nega alergias/RAM conhecidas.")</f>
      </c>
      <c r="AF263" s="4">
        <f>AE263&amp;CHAR(10)&amp;CHAR(10)&amp;"1. Evolução Clínica"&amp;CHAR(10)&amp;TEXTJOIN(" ",TRUE,"Paciente "&amp;I263&amp;", "&amp;IF(J263="","sem DVA","em uso de "&amp;J263)&amp;".",IF(K263&lt;&gt;"","Em "&amp;K263&amp;IF(L263&lt;&gt;""," ("&amp;L263&amp;")","")&amp;IF(M263&lt;&gt;"", ", "&amp;M263,"")&amp;IF(N263&lt;&gt;"", ", sob analgosedação com "&amp;N263,"")&amp;".",""),IF(O263&lt;&gt;"",O263&amp;IF(P263&lt;&gt;"", ", com "&amp;LOWER(P263),"")&amp;IF(Q263&lt;&gt;"", " — "&amp;Q263,"")&amp;".",""),IF(R263="Febre","Apresentou episódio febril nas últimas 24h"&amp;IF(S263&lt;&gt;""," ("&amp;S263&amp;")","")&amp;".",IF(R263="Afebril","Encontra-se afebril.","")),IF(T263&lt;&gt;"",IF(U263="Sim","Apresenta disfunção renal aguda ","Função renal preservada ")&amp;"("&amp;T263&amp;").",""),IF(V263&lt;&gt;"","Em uso do esquema antimicrobiano com "&amp;V263&amp;".",""),IF(TEXTJOIN(", ",TRUE,IF(W263&lt;&gt;"","TEV ("&amp;W263&amp;")",""),IF(X263&lt;&gt;"","LAMG ("&amp;X263&amp;")",""),IF(Y263&lt;&gt;"","úlcera de córnea com "&amp;Y263,""))&lt;&gt;"","Em uso de profilaxia: "&amp;TEXTJOIN(", ",TRUE,IF(W263&lt;&gt;"","TEV ("&amp;W263&amp;")",""),IF(X263&lt;&gt;"","LAMG ("&amp;X263&amp;")",""),IF(Y263&lt;&gt;"","úlcera de córnea com "&amp;Y263,""))&amp;".",""))&amp;CHAR(10)&amp;CHAR(10)&amp;"2. Farmacoterapia"&amp;CHAR(10)&amp;IF(Z263&lt;&gt;"","Corticoide/DART: "&amp;Z263,"Sem corticoide/DART registrado.")&amp;CHAR(10)&amp;CHAR(10)&amp;"3. Conduta Farmacêutica"&amp;CHAR(10)&amp;IF(TEXTJOIN(CHAR(10),TRUE,AB263,AC263,AD263)="","Nenhuma intervenção registrada hoje.",TEXTJOIN(CHAR(10),TRUE,AB263,AC263,AD263))&amp;CHAR(10)&amp;CHAR(10)&amp;"4. Plano Terapêutico"&amp;CHAR(10)&amp;IF(AA263&lt;&gt;"",AA263,"Não definido.")</f>
      </c>
    </row>
    <row r="264" spans="1:32" x14ac:dyDescent="0.25">
      <c r="A264" s="4"/>
      <c r="B264" s="6">
        <f>IFERROR(INDEX(Pacientes!$A:$A,MATCH($A264,Pacientes!$B:$B,0)),"")</f>
      </c>
      <c r="C264" s="6">
        <f>IFERROR(INDEX(Pacientes!$C:$C,MATCH($A264,Pacientes!$B:$B,0)),"")</f>
      </c>
      <c r="D264" s="6">
        <f>IFERROR(INDEX(Pacientes!$D:$D,MATCH($A264,Pacientes!$B:$B,0)),"")</f>
      </c>
      <c r="E264" s="6">
        <f>IFERROR(INDEX(Pacientes!$E:$E,MATCH($A264,Pacientes!$B:$B,0)),"")</f>
      </c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>
        <f>IFERROR(INDEX(Intervenções!$K$2:$K$300,AGGREGATE(15,6,(ROW(Intervenções!$K$2:$K$300)-ROW(Intervenções!$K$2)+1)/((Intervenções!$B$2:$B$300=A264)*(Intervenções!$A$2:$A$300=F264)*(Intervenções!$K$2:$K$300&lt;&gt;"")),1)),"")</f>
      </c>
      <c r="AC264" s="4">
        <f>IFERROR(INDEX(Intervenções!$K$2:$K$300,AGGREGATE(15,6,(ROW(Intervenções!$K$2:$K$300)-ROW(Intervenções!$K$2)+1)/((Intervenções!$B$2:$B$300=A264)*(Intervenções!$A$2:$A$300=F264)*(Intervenções!$K$2:$K$300&lt;&gt;"")),2)),"")</f>
      </c>
      <c r="AD264" s="4">
        <f>IFERROR(INDEX(Intervenções!$K$2:$K$300,AGGREGATE(15,6,(ROW(Intervenções!$K$2:$K$300)-ROW(Intervenções!$K$2)+1)/((Intervenções!$B$2:$B$300=A264)*(Intervenções!$A$2:$A$300=F264)*(Intervenções!$K$2:$K$300&lt;&gt;"")),3)),"")</f>
      </c>
      <c r="AE264" s="4">
        <f>"RECONCILIAÇÃO MEDICAMENTOSA"&amp;CHAR(10)&amp;IF(G264&lt;&gt;"","Medicamentos de uso prévio: "&amp;G264&amp;".","Sem medicamentos de uso prévio relatados.")&amp;CHAR(10)&amp;IF(H264&lt;&gt;"","Histórico de alergia/RAM: "&amp;H264&amp;".","Nega alergias/RAM conhecidas.")</f>
      </c>
      <c r="AF264" s="4">
        <f>AE264&amp;CHAR(10)&amp;CHAR(10)&amp;"1. Evolução Clínica"&amp;CHAR(10)&amp;TEXTJOIN(" ",TRUE,"Paciente "&amp;I264&amp;", "&amp;IF(J264="","sem DVA","em uso de "&amp;J264)&amp;".",IF(K264&lt;&gt;"","Em "&amp;K264&amp;IF(L264&lt;&gt;""," ("&amp;L264&amp;")","")&amp;IF(M264&lt;&gt;"", ", "&amp;M264,"")&amp;IF(N264&lt;&gt;"", ", sob analgosedação com "&amp;N264,"")&amp;".",""),IF(O264&lt;&gt;"",O264&amp;IF(P264&lt;&gt;"", ", com "&amp;LOWER(P264),"")&amp;IF(Q264&lt;&gt;"", " — "&amp;Q264,"")&amp;".",""),IF(R264="Febre","Apresentou episódio febril nas últimas 24h"&amp;IF(S264&lt;&gt;""," ("&amp;S264&amp;")","")&amp;".",IF(R264="Afebril","Encontra-se afebril.","")),IF(T264&lt;&gt;"",IF(U264="Sim","Apresenta disfunção renal aguda ","Função renal preservada ")&amp;"("&amp;T264&amp;").",""),IF(V264&lt;&gt;"","Em uso do esquema antimicrobiano com "&amp;V264&amp;".",""),IF(TEXTJOIN(", ",TRUE,IF(W264&lt;&gt;"","TEV ("&amp;W264&amp;")",""),IF(X264&lt;&gt;"","LAMG ("&amp;X264&amp;")",""),IF(Y264&lt;&gt;"","úlcera de córnea com "&amp;Y264,""))&lt;&gt;"","Em uso de profilaxia: "&amp;TEXTJOIN(", ",TRUE,IF(W264&lt;&gt;"","TEV ("&amp;W264&amp;")",""),IF(X264&lt;&gt;"","LAMG ("&amp;X264&amp;")",""),IF(Y264&lt;&gt;"","úlcera de córnea com "&amp;Y264,""))&amp;".",""))&amp;CHAR(10)&amp;CHAR(10)&amp;"2. Farmacoterapia"&amp;CHAR(10)&amp;IF(Z264&lt;&gt;"","Corticoide/DART: "&amp;Z264,"Sem corticoide/DART registrado.")&amp;CHAR(10)&amp;CHAR(10)&amp;"3. Conduta Farmacêutica"&amp;CHAR(10)&amp;IF(TEXTJOIN(CHAR(10),TRUE,AB264,AC264,AD264)="","Nenhuma intervenção registrada hoje.",TEXTJOIN(CHAR(10),TRUE,AB264,AC264,AD264))&amp;CHAR(10)&amp;CHAR(10)&amp;"4. Plano Terapêutico"&amp;CHAR(10)&amp;IF(AA264&lt;&gt;"",AA264,"Não definido.")</f>
      </c>
    </row>
    <row r="265" spans="1:32" x14ac:dyDescent="0.25">
      <c r="A265" s="4"/>
      <c r="B265" s="6">
        <f>IFERROR(INDEX(Pacientes!$A:$A,MATCH($A265,Pacientes!$B:$B,0)),"")</f>
      </c>
      <c r="C265" s="6">
        <f>IFERROR(INDEX(Pacientes!$C:$C,MATCH($A265,Pacientes!$B:$B,0)),"")</f>
      </c>
      <c r="D265" s="6">
        <f>IFERROR(INDEX(Pacientes!$D:$D,MATCH($A265,Pacientes!$B:$B,0)),"")</f>
      </c>
      <c r="E265" s="6">
        <f>IFERROR(INDEX(Pacientes!$E:$E,MATCH($A265,Pacientes!$B:$B,0)),"")</f>
      </c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>
        <f>IFERROR(INDEX(Intervenções!$K$2:$K$300,AGGREGATE(15,6,(ROW(Intervenções!$K$2:$K$300)-ROW(Intervenções!$K$2)+1)/((Intervenções!$B$2:$B$300=A265)*(Intervenções!$A$2:$A$300=F265)*(Intervenções!$K$2:$K$300&lt;&gt;"")),1)),"")</f>
      </c>
      <c r="AC265" s="4">
        <f>IFERROR(INDEX(Intervenções!$K$2:$K$300,AGGREGATE(15,6,(ROW(Intervenções!$K$2:$K$300)-ROW(Intervenções!$K$2)+1)/((Intervenções!$B$2:$B$300=A265)*(Intervenções!$A$2:$A$300=F265)*(Intervenções!$K$2:$K$300&lt;&gt;"")),2)),"")</f>
      </c>
      <c r="AD265" s="4">
        <f>IFERROR(INDEX(Intervenções!$K$2:$K$300,AGGREGATE(15,6,(ROW(Intervenções!$K$2:$K$300)-ROW(Intervenções!$K$2)+1)/((Intervenções!$B$2:$B$300=A265)*(Intervenções!$A$2:$A$300=F265)*(Intervenções!$K$2:$K$300&lt;&gt;"")),3)),"")</f>
      </c>
      <c r="AE265" s="4">
        <f>"RECONCILIAÇÃO MEDICAMENTOSA"&amp;CHAR(10)&amp;IF(G265&lt;&gt;"","Medicamentos de uso prévio: "&amp;G265&amp;".","Sem medicamentos de uso prévio relatados.")&amp;CHAR(10)&amp;IF(H265&lt;&gt;"","Histórico de alergia/RAM: "&amp;H265&amp;".","Nega alergias/RAM conhecidas.")</f>
      </c>
      <c r="AF265" s="4">
        <f>AE265&amp;CHAR(10)&amp;CHAR(10)&amp;"1. Evolução Clínica"&amp;CHAR(10)&amp;TEXTJOIN(" ",TRUE,"Paciente "&amp;I265&amp;", "&amp;IF(J265="","sem DVA","em uso de "&amp;J265)&amp;".",IF(K265&lt;&gt;"","Em "&amp;K265&amp;IF(L265&lt;&gt;""," ("&amp;L265&amp;")","")&amp;IF(M265&lt;&gt;"", ", "&amp;M265,"")&amp;IF(N265&lt;&gt;"", ", sob analgosedação com "&amp;N265,"")&amp;".",""),IF(O265&lt;&gt;"",O265&amp;IF(P265&lt;&gt;"", ", com "&amp;LOWER(P265),"")&amp;IF(Q265&lt;&gt;"", " — "&amp;Q265,"")&amp;".",""),IF(R265="Febre","Apresentou episódio febril nas últimas 24h"&amp;IF(S265&lt;&gt;""," ("&amp;S265&amp;")","")&amp;".",IF(R265="Afebril","Encontra-se afebril.","")),IF(T265&lt;&gt;"",IF(U265="Sim","Apresenta disfunção renal aguda ","Função renal preservada ")&amp;"("&amp;T265&amp;").",""),IF(V265&lt;&gt;"","Em uso do esquema antimicrobiano com "&amp;V265&amp;".",""),IF(TEXTJOIN(", ",TRUE,IF(W265&lt;&gt;"","TEV ("&amp;W265&amp;")",""),IF(X265&lt;&gt;"","LAMG ("&amp;X265&amp;")",""),IF(Y265&lt;&gt;"","úlcera de córnea com "&amp;Y265,""))&lt;&gt;"","Em uso de profilaxia: "&amp;TEXTJOIN(", ",TRUE,IF(W265&lt;&gt;"","TEV ("&amp;W265&amp;")",""),IF(X265&lt;&gt;"","LAMG ("&amp;X265&amp;")",""),IF(Y265&lt;&gt;"","úlcera de córnea com "&amp;Y265,""))&amp;".",""))&amp;CHAR(10)&amp;CHAR(10)&amp;"2. Farmacoterapia"&amp;CHAR(10)&amp;IF(Z265&lt;&gt;"","Corticoide/DART: "&amp;Z265,"Sem corticoide/DART registrado.")&amp;CHAR(10)&amp;CHAR(10)&amp;"3. Conduta Farmacêutica"&amp;CHAR(10)&amp;IF(TEXTJOIN(CHAR(10),TRUE,AB265,AC265,AD265)="","Nenhuma intervenção registrada hoje.",TEXTJOIN(CHAR(10),TRUE,AB265,AC265,AD265))&amp;CHAR(10)&amp;CHAR(10)&amp;"4. Plano Terapêutico"&amp;CHAR(10)&amp;IF(AA265&lt;&gt;"",AA265,"Não definido.")</f>
      </c>
    </row>
    <row r="266" spans="1:32" x14ac:dyDescent="0.25">
      <c r="A266" s="4"/>
      <c r="B266" s="6">
        <f>IFERROR(INDEX(Pacientes!$A:$A,MATCH($A266,Pacientes!$B:$B,0)),"")</f>
      </c>
      <c r="C266" s="6">
        <f>IFERROR(INDEX(Pacientes!$C:$C,MATCH($A266,Pacientes!$B:$B,0)),"")</f>
      </c>
      <c r="D266" s="6">
        <f>IFERROR(INDEX(Pacientes!$D:$D,MATCH($A266,Pacientes!$B:$B,0)),"")</f>
      </c>
      <c r="E266" s="6">
        <f>IFERROR(INDEX(Pacientes!$E:$E,MATCH($A266,Pacientes!$B:$B,0)),"")</f>
      </c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>
        <f>IFERROR(INDEX(Intervenções!$K$2:$K$300,AGGREGATE(15,6,(ROW(Intervenções!$K$2:$K$300)-ROW(Intervenções!$K$2)+1)/((Intervenções!$B$2:$B$300=A266)*(Intervenções!$A$2:$A$300=F266)*(Intervenções!$K$2:$K$300&lt;&gt;"")),1)),"")</f>
      </c>
      <c r="AC266" s="4">
        <f>IFERROR(INDEX(Intervenções!$K$2:$K$300,AGGREGATE(15,6,(ROW(Intervenções!$K$2:$K$300)-ROW(Intervenções!$K$2)+1)/((Intervenções!$B$2:$B$300=A266)*(Intervenções!$A$2:$A$300=F266)*(Intervenções!$K$2:$K$300&lt;&gt;"")),2)),"")</f>
      </c>
      <c r="AD266" s="4">
        <f>IFERROR(INDEX(Intervenções!$K$2:$K$300,AGGREGATE(15,6,(ROW(Intervenções!$K$2:$K$300)-ROW(Intervenções!$K$2)+1)/((Intervenções!$B$2:$B$300=A266)*(Intervenções!$A$2:$A$300=F266)*(Intervenções!$K$2:$K$300&lt;&gt;"")),3)),"")</f>
      </c>
      <c r="AE266" s="4">
        <f>"RECONCILIAÇÃO MEDICAMENTOSA"&amp;CHAR(10)&amp;IF(G266&lt;&gt;"","Medicamentos de uso prévio: "&amp;G266&amp;".","Sem medicamentos de uso prévio relatados.")&amp;CHAR(10)&amp;IF(H266&lt;&gt;"","Histórico de alergia/RAM: "&amp;H266&amp;".","Nega alergias/RAM conhecidas.")</f>
      </c>
      <c r="AF266" s="4">
        <f>AE266&amp;CHAR(10)&amp;CHAR(10)&amp;"1. Evolução Clínica"&amp;CHAR(10)&amp;TEXTJOIN(" ",TRUE,"Paciente "&amp;I266&amp;", "&amp;IF(J266="","sem DVA","em uso de "&amp;J266)&amp;".",IF(K266&lt;&gt;"","Em "&amp;K266&amp;IF(L266&lt;&gt;""," ("&amp;L266&amp;")","")&amp;IF(M266&lt;&gt;"", ", "&amp;M266,"")&amp;IF(N266&lt;&gt;"", ", sob analgosedação com "&amp;N266,"")&amp;".",""),IF(O266&lt;&gt;"",O266&amp;IF(P266&lt;&gt;"", ", com "&amp;LOWER(P266),"")&amp;IF(Q266&lt;&gt;"", " — "&amp;Q266,"")&amp;".",""),IF(R266="Febre","Apresentou episódio febril nas últimas 24h"&amp;IF(S266&lt;&gt;""," ("&amp;S266&amp;")","")&amp;".",IF(R266="Afebril","Encontra-se afebril.","")),IF(T266&lt;&gt;"",IF(U266="Sim","Apresenta disfunção renal aguda ","Função renal preservada ")&amp;"("&amp;T266&amp;").",""),IF(V266&lt;&gt;"","Em uso do esquema antimicrobiano com "&amp;V266&amp;".",""),IF(TEXTJOIN(", ",TRUE,IF(W266&lt;&gt;"","TEV ("&amp;W266&amp;")",""),IF(X266&lt;&gt;"","LAMG ("&amp;X266&amp;")",""),IF(Y266&lt;&gt;"","úlcera de córnea com "&amp;Y266,""))&lt;&gt;"","Em uso de profilaxia: "&amp;TEXTJOIN(", ",TRUE,IF(W266&lt;&gt;"","TEV ("&amp;W266&amp;")",""),IF(X266&lt;&gt;"","LAMG ("&amp;X266&amp;")",""),IF(Y266&lt;&gt;"","úlcera de córnea com "&amp;Y266,""))&amp;".",""))&amp;CHAR(10)&amp;CHAR(10)&amp;"2. Farmacoterapia"&amp;CHAR(10)&amp;IF(Z266&lt;&gt;"","Corticoide/DART: "&amp;Z266,"Sem corticoide/DART registrado.")&amp;CHAR(10)&amp;CHAR(10)&amp;"3. Conduta Farmacêutica"&amp;CHAR(10)&amp;IF(TEXTJOIN(CHAR(10),TRUE,AB266,AC266,AD266)="","Nenhuma intervenção registrada hoje.",TEXTJOIN(CHAR(10),TRUE,AB266,AC266,AD266))&amp;CHAR(10)&amp;CHAR(10)&amp;"4. Plano Terapêutico"&amp;CHAR(10)&amp;IF(AA266&lt;&gt;"",AA266,"Não definido.")</f>
      </c>
    </row>
    <row r="267" spans="1:32" x14ac:dyDescent="0.25">
      <c r="A267" s="4"/>
      <c r="B267" s="6">
        <f>IFERROR(INDEX(Pacientes!$A:$A,MATCH($A267,Pacientes!$B:$B,0)),"")</f>
      </c>
      <c r="C267" s="6">
        <f>IFERROR(INDEX(Pacientes!$C:$C,MATCH($A267,Pacientes!$B:$B,0)),"")</f>
      </c>
      <c r="D267" s="6">
        <f>IFERROR(INDEX(Pacientes!$D:$D,MATCH($A267,Pacientes!$B:$B,0)),"")</f>
      </c>
      <c r="E267" s="6">
        <f>IFERROR(INDEX(Pacientes!$E:$E,MATCH($A267,Pacientes!$B:$B,0)),"")</f>
      </c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>
        <f>IFERROR(INDEX(Intervenções!$K$2:$K$300,AGGREGATE(15,6,(ROW(Intervenções!$K$2:$K$300)-ROW(Intervenções!$K$2)+1)/((Intervenções!$B$2:$B$300=A267)*(Intervenções!$A$2:$A$300=F267)*(Intervenções!$K$2:$K$300&lt;&gt;"")),1)),"")</f>
      </c>
      <c r="AC267" s="4">
        <f>IFERROR(INDEX(Intervenções!$K$2:$K$300,AGGREGATE(15,6,(ROW(Intervenções!$K$2:$K$300)-ROW(Intervenções!$K$2)+1)/((Intervenções!$B$2:$B$300=A267)*(Intervenções!$A$2:$A$300=F267)*(Intervenções!$K$2:$K$300&lt;&gt;"")),2)),"")</f>
      </c>
      <c r="AD267" s="4">
        <f>IFERROR(INDEX(Intervenções!$K$2:$K$300,AGGREGATE(15,6,(ROW(Intervenções!$K$2:$K$300)-ROW(Intervenções!$K$2)+1)/((Intervenções!$B$2:$B$300=A267)*(Intervenções!$A$2:$A$300=F267)*(Intervenções!$K$2:$K$300&lt;&gt;"")),3)),"")</f>
      </c>
      <c r="AE267" s="4">
        <f>"RECONCILIAÇÃO MEDICAMENTOSA"&amp;CHAR(10)&amp;IF(G267&lt;&gt;"","Medicamentos de uso prévio: "&amp;G267&amp;".","Sem medicamentos de uso prévio relatados.")&amp;CHAR(10)&amp;IF(H267&lt;&gt;"","Histórico de alergia/RAM: "&amp;H267&amp;".","Nega alergias/RAM conhecidas.")</f>
      </c>
      <c r="AF267" s="4">
        <f>AE267&amp;CHAR(10)&amp;CHAR(10)&amp;"1. Evolução Clínica"&amp;CHAR(10)&amp;TEXTJOIN(" ",TRUE,"Paciente "&amp;I267&amp;", "&amp;IF(J267="","sem DVA","em uso de "&amp;J267)&amp;".",IF(K267&lt;&gt;"","Em "&amp;K267&amp;IF(L267&lt;&gt;""," ("&amp;L267&amp;")","")&amp;IF(M267&lt;&gt;"", ", "&amp;M267,"")&amp;IF(N267&lt;&gt;"", ", sob analgosedação com "&amp;N267,"")&amp;".",""),IF(O267&lt;&gt;"",O267&amp;IF(P267&lt;&gt;"", ", com "&amp;LOWER(P267),"")&amp;IF(Q267&lt;&gt;"", " — "&amp;Q267,"")&amp;".",""),IF(R267="Febre","Apresentou episódio febril nas últimas 24h"&amp;IF(S267&lt;&gt;""," ("&amp;S267&amp;")","")&amp;".",IF(R267="Afebril","Encontra-se afebril.","")),IF(T267&lt;&gt;"",IF(U267="Sim","Apresenta disfunção renal aguda ","Função renal preservada ")&amp;"("&amp;T267&amp;").",""),IF(V267&lt;&gt;"","Em uso do esquema antimicrobiano com "&amp;V267&amp;".",""),IF(TEXTJOIN(", ",TRUE,IF(W267&lt;&gt;"","TEV ("&amp;W267&amp;")",""),IF(X267&lt;&gt;"","LAMG ("&amp;X267&amp;")",""),IF(Y267&lt;&gt;"","úlcera de córnea com "&amp;Y267,""))&lt;&gt;"","Em uso de profilaxia: "&amp;TEXTJOIN(", ",TRUE,IF(W267&lt;&gt;"","TEV ("&amp;W267&amp;")",""),IF(X267&lt;&gt;"","LAMG ("&amp;X267&amp;")",""),IF(Y267&lt;&gt;"","úlcera de córnea com "&amp;Y267,""))&amp;".",""))&amp;CHAR(10)&amp;CHAR(10)&amp;"2. Farmacoterapia"&amp;CHAR(10)&amp;IF(Z267&lt;&gt;"","Corticoide/DART: "&amp;Z267,"Sem corticoide/DART registrado.")&amp;CHAR(10)&amp;CHAR(10)&amp;"3. Conduta Farmacêutica"&amp;CHAR(10)&amp;IF(TEXTJOIN(CHAR(10),TRUE,AB267,AC267,AD267)="","Nenhuma intervenção registrada hoje.",TEXTJOIN(CHAR(10),TRUE,AB267,AC267,AD267))&amp;CHAR(10)&amp;CHAR(10)&amp;"4. Plano Terapêutico"&amp;CHAR(10)&amp;IF(AA267&lt;&gt;"",AA267,"Não definido.")</f>
      </c>
    </row>
    <row r="268" spans="1:32" x14ac:dyDescent="0.25">
      <c r="A268" s="4"/>
      <c r="B268" s="6">
        <f>IFERROR(INDEX(Pacientes!$A:$A,MATCH($A268,Pacientes!$B:$B,0)),"")</f>
      </c>
      <c r="C268" s="6">
        <f>IFERROR(INDEX(Pacientes!$C:$C,MATCH($A268,Pacientes!$B:$B,0)),"")</f>
      </c>
      <c r="D268" s="6">
        <f>IFERROR(INDEX(Pacientes!$D:$D,MATCH($A268,Pacientes!$B:$B,0)),"")</f>
      </c>
      <c r="E268" s="6">
        <f>IFERROR(INDEX(Pacientes!$E:$E,MATCH($A268,Pacientes!$B:$B,0)),"")</f>
      </c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>
        <f>IFERROR(INDEX(Intervenções!$K$2:$K$300,AGGREGATE(15,6,(ROW(Intervenções!$K$2:$K$300)-ROW(Intervenções!$K$2)+1)/((Intervenções!$B$2:$B$300=A268)*(Intervenções!$A$2:$A$300=F268)*(Intervenções!$K$2:$K$300&lt;&gt;"")),1)),"")</f>
      </c>
      <c r="AC268" s="4">
        <f>IFERROR(INDEX(Intervenções!$K$2:$K$300,AGGREGATE(15,6,(ROW(Intervenções!$K$2:$K$300)-ROW(Intervenções!$K$2)+1)/((Intervenções!$B$2:$B$300=A268)*(Intervenções!$A$2:$A$300=F268)*(Intervenções!$K$2:$K$300&lt;&gt;"")),2)),"")</f>
      </c>
      <c r="AD268" s="4">
        <f>IFERROR(INDEX(Intervenções!$K$2:$K$300,AGGREGATE(15,6,(ROW(Intervenções!$K$2:$K$300)-ROW(Intervenções!$K$2)+1)/((Intervenções!$B$2:$B$300=A268)*(Intervenções!$A$2:$A$300=F268)*(Intervenções!$K$2:$K$300&lt;&gt;"")),3)),"")</f>
      </c>
      <c r="AE268" s="4">
        <f>"RECONCILIAÇÃO MEDICAMENTOSA"&amp;CHAR(10)&amp;IF(G268&lt;&gt;"","Medicamentos de uso prévio: "&amp;G268&amp;".","Sem medicamentos de uso prévio relatados.")&amp;CHAR(10)&amp;IF(H268&lt;&gt;"","Histórico de alergia/RAM: "&amp;H268&amp;".","Nega alergias/RAM conhecidas.")</f>
      </c>
      <c r="AF268" s="4">
        <f>AE268&amp;CHAR(10)&amp;CHAR(10)&amp;"1. Evolução Clínica"&amp;CHAR(10)&amp;TEXTJOIN(" ",TRUE,"Paciente "&amp;I268&amp;", "&amp;IF(J268="","sem DVA","em uso de "&amp;J268)&amp;".",IF(K268&lt;&gt;"","Em "&amp;K268&amp;IF(L268&lt;&gt;""," ("&amp;L268&amp;")","")&amp;IF(M268&lt;&gt;"", ", "&amp;M268,"")&amp;IF(N268&lt;&gt;"", ", sob analgosedação com "&amp;N268,"")&amp;".",""),IF(O268&lt;&gt;"",O268&amp;IF(P268&lt;&gt;"", ", com "&amp;LOWER(P268),"")&amp;IF(Q268&lt;&gt;"", " — "&amp;Q268,"")&amp;".",""),IF(R268="Febre","Apresentou episódio febril nas últimas 24h"&amp;IF(S268&lt;&gt;""," ("&amp;S268&amp;")","")&amp;".",IF(R268="Afebril","Encontra-se afebril.","")),IF(T268&lt;&gt;"",IF(U268="Sim","Apresenta disfunção renal aguda ","Função renal preservada ")&amp;"("&amp;T268&amp;").",""),IF(V268&lt;&gt;"","Em uso do esquema antimicrobiano com "&amp;V268&amp;".",""),IF(TEXTJOIN(", ",TRUE,IF(W268&lt;&gt;"","TEV ("&amp;W268&amp;")",""),IF(X268&lt;&gt;"","LAMG ("&amp;X268&amp;")",""),IF(Y268&lt;&gt;"","úlcera de córnea com "&amp;Y268,""))&lt;&gt;"","Em uso de profilaxia: "&amp;TEXTJOIN(", ",TRUE,IF(W268&lt;&gt;"","TEV ("&amp;W268&amp;")",""),IF(X268&lt;&gt;"","LAMG ("&amp;X268&amp;")",""),IF(Y268&lt;&gt;"","úlcera de córnea com "&amp;Y268,""))&amp;".",""))&amp;CHAR(10)&amp;CHAR(10)&amp;"2. Farmacoterapia"&amp;CHAR(10)&amp;IF(Z268&lt;&gt;"","Corticoide/DART: "&amp;Z268,"Sem corticoide/DART registrado.")&amp;CHAR(10)&amp;CHAR(10)&amp;"3. Conduta Farmacêutica"&amp;CHAR(10)&amp;IF(TEXTJOIN(CHAR(10),TRUE,AB268,AC268,AD268)="","Nenhuma intervenção registrada hoje.",TEXTJOIN(CHAR(10),TRUE,AB268,AC268,AD268))&amp;CHAR(10)&amp;CHAR(10)&amp;"4. Plano Terapêutico"&amp;CHAR(10)&amp;IF(AA268&lt;&gt;"",AA268,"Não definido.")</f>
      </c>
    </row>
    <row r="269" spans="1:32" x14ac:dyDescent="0.25">
      <c r="A269" s="4"/>
      <c r="B269" s="6">
        <f>IFERROR(INDEX(Pacientes!$A:$A,MATCH($A269,Pacientes!$B:$B,0)),"")</f>
      </c>
      <c r="C269" s="6">
        <f>IFERROR(INDEX(Pacientes!$C:$C,MATCH($A269,Pacientes!$B:$B,0)),"")</f>
      </c>
      <c r="D269" s="6">
        <f>IFERROR(INDEX(Pacientes!$D:$D,MATCH($A269,Pacientes!$B:$B,0)),"")</f>
      </c>
      <c r="E269" s="6">
        <f>IFERROR(INDEX(Pacientes!$E:$E,MATCH($A269,Pacientes!$B:$B,0)),"")</f>
      </c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>
        <f>IFERROR(INDEX(Intervenções!$K$2:$K$300,AGGREGATE(15,6,(ROW(Intervenções!$K$2:$K$300)-ROW(Intervenções!$K$2)+1)/((Intervenções!$B$2:$B$300=A269)*(Intervenções!$A$2:$A$300=F269)*(Intervenções!$K$2:$K$300&lt;&gt;"")),1)),"")</f>
      </c>
      <c r="AC269" s="4">
        <f>IFERROR(INDEX(Intervenções!$K$2:$K$300,AGGREGATE(15,6,(ROW(Intervenções!$K$2:$K$300)-ROW(Intervenções!$K$2)+1)/((Intervenções!$B$2:$B$300=A269)*(Intervenções!$A$2:$A$300=F269)*(Intervenções!$K$2:$K$300&lt;&gt;"")),2)),"")</f>
      </c>
      <c r="AD269" s="4">
        <f>IFERROR(INDEX(Intervenções!$K$2:$K$300,AGGREGATE(15,6,(ROW(Intervenções!$K$2:$K$300)-ROW(Intervenções!$K$2)+1)/((Intervenções!$B$2:$B$300=A269)*(Intervenções!$A$2:$A$300=F269)*(Intervenções!$K$2:$K$300&lt;&gt;"")),3)),"")</f>
      </c>
      <c r="AE269" s="4">
        <f>"RECONCILIAÇÃO MEDICAMENTOSA"&amp;CHAR(10)&amp;IF(G269&lt;&gt;"","Medicamentos de uso prévio: "&amp;G269&amp;".","Sem medicamentos de uso prévio relatados.")&amp;CHAR(10)&amp;IF(H269&lt;&gt;"","Histórico de alergia/RAM: "&amp;H269&amp;".","Nega alergias/RAM conhecidas.")</f>
      </c>
      <c r="AF269" s="4">
        <f>AE269&amp;CHAR(10)&amp;CHAR(10)&amp;"1. Evolução Clínica"&amp;CHAR(10)&amp;TEXTJOIN(" ",TRUE,"Paciente "&amp;I269&amp;", "&amp;IF(J269="","sem DVA","em uso de "&amp;J269)&amp;".",IF(K269&lt;&gt;"","Em "&amp;K269&amp;IF(L269&lt;&gt;""," ("&amp;L269&amp;")","")&amp;IF(M269&lt;&gt;"", ", "&amp;M269,"")&amp;IF(N269&lt;&gt;"", ", sob analgosedação com "&amp;N269,"")&amp;".",""),IF(O269&lt;&gt;"",O269&amp;IF(P269&lt;&gt;"", ", com "&amp;LOWER(P269),"")&amp;IF(Q269&lt;&gt;"", " — "&amp;Q269,"")&amp;".",""),IF(R269="Febre","Apresentou episódio febril nas últimas 24h"&amp;IF(S269&lt;&gt;""," ("&amp;S269&amp;")","")&amp;".",IF(R269="Afebril","Encontra-se afebril.","")),IF(T269&lt;&gt;"",IF(U269="Sim","Apresenta disfunção renal aguda ","Função renal preservada ")&amp;"("&amp;T269&amp;").",""),IF(V269&lt;&gt;"","Em uso do esquema antimicrobiano com "&amp;V269&amp;".",""),IF(TEXTJOIN(", ",TRUE,IF(W269&lt;&gt;"","TEV ("&amp;W269&amp;")",""),IF(X269&lt;&gt;"","LAMG ("&amp;X269&amp;")",""),IF(Y269&lt;&gt;"","úlcera de córnea com "&amp;Y269,""))&lt;&gt;"","Em uso de profilaxia: "&amp;TEXTJOIN(", ",TRUE,IF(W269&lt;&gt;"","TEV ("&amp;W269&amp;")",""),IF(X269&lt;&gt;"","LAMG ("&amp;X269&amp;")",""),IF(Y269&lt;&gt;"","úlcera de córnea com "&amp;Y269,""))&amp;".",""))&amp;CHAR(10)&amp;CHAR(10)&amp;"2. Farmacoterapia"&amp;CHAR(10)&amp;IF(Z269&lt;&gt;"","Corticoide/DART: "&amp;Z269,"Sem corticoide/DART registrado.")&amp;CHAR(10)&amp;CHAR(10)&amp;"3. Conduta Farmacêutica"&amp;CHAR(10)&amp;IF(TEXTJOIN(CHAR(10),TRUE,AB269,AC269,AD269)="","Nenhuma intervenção registrada hoje.",TEXTJOIN(CHAR(10),TRUE,AB269,AC269,AD269))&amp;CHAR(10)&amp;CHAR(10)&amp;"4. Plano Terapêutico"&amp;CHAR(10)&amp;IF(AA269&lt;&gt;"",AA269,"Não definido.")</f>
      </c>
    </row>
    <row r="270" spans="1:32" x14ac:dyDescent="0.25">
      <c r="A270" s="4"/>
      <c r="B270" s="6">
        <f>IFERROR(INDEX(Pacientes!$A:$A,MATCH($A270,Pacientes!$B:$B,0)),"")</f>
      </c>
      <c r="C270" s="6">
        <f>IFERROR(INDEX(Pacientes!$C:$C,MATCH($A270,Pacientes!$B:$B,0)),"")</f>
      </c>
      <c r="D270" s="6">
        <f>IFERROR(INDEX(Pacientes!$D:$D,MATCH($A270,Pacientes!$B:$B,0)),"")</f>
      </c>
      <c r="E270" s="6">
        <f>IFERROR(INDEX(Pacientes!$E:$E,MATCH($A270,Pacientes!$B:$B,0)),"")</f>
      </c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>
        <f>IFERROR(INDEX(Intervenções!$K$2:$K$300,AGGREGATE(15,6,(ROW(Intervenções!$K$2:$K$300)-ROW(Intervenções!$K$2)+1)/((Intervenções!$B$2:$B$300=A270)*(Intervenções!$A$2:$A$300=F270)*(Intervenções!$K$2:$K$300&lt;&gt;"")),1)),"")</f>
      </c>
      <c r="AC270" s="4">
        <f>IFERROR(INDEX(Intervenções!$K$2:$K$300,AGGREGATE(15,6,(ROW(Intervenções!$K$2:$K$300)-ROW(Intervenções!$K$2)+1)/((Intervenções!$B$2:$B$300=A270)*(Intervenções!$A$2:$A$300=F270)*(Intervenções!$K$2:$K$300&lt;&gt;"")),2)),"")</f>
      </c>
      <c r="AD270" s="4">
        <f>IFERROR(INDEX(Intervenções!$K$2:$K$300,AGGREGATE(15,6,(ROW(Intervenções!$K$2:$K$300)-ROW(Intervenções!$K$2)+1)/((Intervenções!$B$2:$B$300=A270)*(Intervenções!$A$2:$A$300=F270)*(Intervenções!$K$2:$K$300&lt;&gt;"")),3)),"")</f>
      </c>
      <c r="AE270" s="4">
        <f>"RECONCILIAÇÃO MEDICAMENTOSA"&amp;CHAR(10)&amp;IF(G270&lt;&gt;"","Medicamentos de uso prévio: "&amp;G270&amp;".","Sem medicamentos de uso prévio relatados.")&amp;CHAR(10)&amp;IF(H270&lt;&gt;"","Histórico de alergia/RAM: "&amp;H270&amp;".","Nega alergias/RAM conhecidas.")</f>
      </c>
      <c r="AF270" s="4">
        <f>AE270&amp;CHAR(10)&amp;CHAR(10)&amp;"1. Evolução Clínica"&amp;CHAR(10)&amp;TEXTJOIN(" ",TRUE,"Paciente "&amp;I270&amp;", "&amp;IF(J270="","sem DVA","em uso de "&amp;J270)&amp;".",IF(K270&lt;&gt;"","Em "&amp;K270&amp;IF(L270&lt;&gt;""," ("&amp;L270&amp;")","")&amp;IF(M270&lt;&gt;"", ", "&amp;M270,"")&amp;IF(N270&lt;&gt;"", ", sob analgosedação com "&amp;N270,"")&amp;".",""),IF(O270&lt;&gt;"",O270&amp;IF(P270&lt;&gt;"", ", com "&amp;LOWER(P270),"")&amp;IF(Q270&lt;&gt;"", " — "&amp;Q270,"")&amp;".",""),IF(R270="Febre","Apresentou episódio febril nas últimas 24h"&amp;IF(S270&lt;&gt;""," ("&amp;S270&amp;")","")&amp;".",IF(R270="Afebril","Encontra-se afebril.","")),IF(T270&lt;&gt;"",IF(U270="Sim","Apresenta disfunção renal aguda ","Função renal preservada ")&amp;"("&amp;T270&amp;").",""),IF(V270&lt;&gt;"","Em uso do esquema antimicrobiano com "&amp;V270&amp;".",""),IF(TEXTJOIN(", ",TRUE,IF(W270&lt;&gt;"","TEV ("&amp;W270&amp;")",""),IF(X270&lt;&gt;"","LAMG ("&amp;X270&amp;")",""),IF(Y270&lt;&gt;"","úlcera de córnea com "&amp;Y270,""))&lt;&gt;"","Em uso de profilaxia: "&amp;TEXTJOIN(", ",TRUE,IF(W270&lt;&gt;"","TEV ("&amp;W270&amp;")",""),IF(X270&lt;&gt;"","LAMG ("&amp;X270&amp;")",""),IF(Y270&lt;&gt;"","úlcera de córnea com "&amp;Y270,""))&amp;".",""))&amp;CHAR(10)&amp;CHAR(10)&amp;"2. Farmacoterapia"&amp;CHAR(10)&amp;IF(Z270&lt;&gt;"","Corticoide/DART: "&amp;Z270,"Sem corticoide/DART registrado.")&amp;CHAR(10)&amp;CHAR(10)&amp;"3. Conduta Farmacêutica"&amp;CHAR(10)&amp;IF(TEXTJOIN(CHAR(10),TRUE,AB270,AC270,AD270)="","Nenhuma intervenção registrada hoje.",TEXTJOIN(CHAR(10),TRUE,AB270,AC270,AD270))&amp;CHAR(10)&amp;CHAR(10)&amp;"4. Plano Terapêutico"&amp;CHAR(10)&amp;IF(AA270&lt;&gt;"",AA270,"Não definido.")</f>
      </c>
    </row>
    <row r="271" spans="1:32" x14ac:dyDescent="0.25">
      <c r="A271" s="4"/>
      <c r="B271" s="6">
        <f>IFERROR(INDEX(Pacientes!$A:$A,MATCH($A271,Pacientes!$B:$B,0)),"")</f>
      </c>
      <c r="C271" s="6">
        <f>IFERROR(INDEX(Pacientes!$C:$C,MATCH($A271,Pacientes!$B:$B,0)),"")</f>
      </c>
      <c r="D271" s="6">
        <f>IFERROR(INDEX(Pacientes!$D:$D,MATCH($A271,Pacientes!$B:$B,0)),"")</f>
      </c>
      <c r="E271" s="6">
        <f>IFERROR(INDEX(Pacientes!$E:$E,MATCH($A271,Pacientes!$B:$B,0)),"")</f>
      </c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>
        <f>IFERROR(INDEX(Intervenções!$K$2:$K$300,AGGREGATE(15,6,(ROW(Intervenções!$K$2:$K$300)-ROW(Intervenções!$K$2)+1)/((Intervenções!$B$2:$B$300=A271)*(Intervenções!$A$2:$A$300=F271)*(Intervenções!$K$2:$K$300&lt;&gt;"")),1)),"")</f>
      </c>
      <c r="AC271" s="4">
        <f>IFERROR(INDEX(Intervenções!$K$2:$K$300,AGGREGATE(15,6,(ROW(Intervenções!$K$2:$K$300)-ROW(Intervenções!$K$2)+1)/((Intervenções!$B$2:$B$300=A271)*(Intervenções!$A$2:$A$300=F271)*(Intervenções!$K$2:$K$300&lt;&gt;"")),2)),"")</f>
      </c>
      <c r="AD271" s="4">
        <f>IFERROR(INDEX(Intervenções!$K$2:$K$300,AGGREGATE(15,6,(ROW(Intervenções!$K$2:$K$300)-ROW(Intervenções!$K$2)+1)/((Intervenções!$B$2:$B$300=A271)*(Intervenções!$A$2:$A$300=F271)*(Intervenções!$K$2:$K$300&lt;&gt;"")),3)),"")</f>
      </c>
      <c r="AE271" s="4">
        <f>"RECONCILIAÇÃO MEDICAMENTOSA"&amp;CHAR(10)&amp;IF(G271&lt;&gt;"","Medicamentos de uso prévio: "&amp;G271&amp;".","Sem medicamentos de uso prévio relatados.")&amp;CHAR(10)&amp;IF(H271&lt;&gt;"","Histórico de alergia/RAM: "&amp;H271&amp;".","Nega alergias/RAM conhecidas.")</f>
      </c>
      <c r="AF271" s="4">
        <f>AE271&amp;CHAR(10)&amp;CHAR(10)&amp;"1. Evolução Clínica"&amp;CHAR(10)&amp;TEXTJOIN(" ",TRUE,"Paciente "&amp;I271&amp;", "&amp;IF(J271="","sem DVA","em uso de "&amp;J271)&amp;".",IF(K271&lt;&gt;"","Em "&amp;K271&amp;IF(L271&lt;&gt;""," ("&amp;L271&amp;")","")&amp;IF(M271&lt;&gt;"", ", "&amp;M271,"")&amp;IF(N271&lt;&gt;"", ", sob analgosedação com "&amp;N271,"")&amp;".",""),IF(O271&lt;&gt;"",O271&amp;IF(P271&lt;&gt;"", ", com "&amp;LOWER(P271),"")&amp;IF(Q271&lt;&gt;"", " — "&amp;Q271,"")&amp;".",""),IF(R271="Febre","Apresentou episódio febril nas últimas 24h"&amp;IF(S271&lt;&gt;""," ("&amp;S271&amp;")","")&amp;".",IF(R271="Afebril","Encontra-se afebril.","")),IF(T271&lt;&gt;"",IF(U271="Sim","Apresenta disfunção renal aguda ","Função renal preservada ")&amp;"("&amp;T271&amp;").",""),IF(V271&lt;&gt;"","Em uso do esquema antimicrobiano com "&amp;V271&amp;".",""),IF(TEXTJOIN(", ",TRUE,IF(W271&lt;&gt;"","TEV ("&amp;W271&amp;")",""),IF(X271&lt;&gt;"","LAMG ("&amp;X271&amp;")",""),IF(Y271&lt;&gt;"","úlcera de córnea com "&amp;Y271,""))&lt;&gt;"","Em uso de profilaxia: "&amp;TEXTJOIN(", ",TRUE,IF(W271&lt;&gt;"","TEV ("&amp;W271&amp;")",""),IF(X271&lt;&gt;"","LAMG ("&amp;X271&amp;")",""),IF(Y271&lt;&gt;"","úlcera de córnea com "&amp;Y271,""))&amp;".",""))&amp;CHAR(10)&amp;CHAR(10)&amp;"2. Farmacoterapia"&amp;CHAR(10)&amp;IF(Z271&lt;&gt;"","Corticoide/DART: "&amp;Z271,"Sem corticoide/DART registrado.")&amp;CHAR(10)&amp;CHAR(10)&amp;"3. Conduta Farmacêutica"&amp;CHAR(10)&amp;IF(TEXTJOIN(CHAR(10),TRUE,AB271,AC271,AD271)="","Nenhuma intervenção registrada hoje.",TEXTJOIN(CHAR(10),TRUE,AB271,AC271,AD271))&amp;CHAR(10)&amp;CHAR(10)&amp;"4. Plano Terapêutico"&amp;CHAR(10)&amp;IF(AA271&lt;&gt;"",AA271,"Não definido.")</f>
      </c>
    </row>
    <row r="272" spans="1:32" x14ac:dyDescent="0.25">
      <c r="A272" s="4"/>
      <c r="B272" s="6">
        <f>IFERROR(INDEX(Pacientes!$A:$A,MATCH($A272,Pacientes!$B:$B,0)),"")</f>
      </c>
      <c r="C272" s="6">
        <f>IFERROR(INDEX(Pacientes!$C:$C,MATCH($A272,Pacientes!$B:$B,0)),"")</f>
      </c>
      <c r="D272" s="6">
        <f>IFERROR(INDEX(Pacientes!$D:$D,MATCH($A272,Pacientes!$B:$B,0)),"")</f>
      </c>
      <c r="E272" s="6">
        <f>IFERROR(INDEX(Pacientes!$E:$E,MATCH($A272,Pacientes!$B:$B,0)),"")</f>
      </c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>
        <f>IFERROR(INDEX(Intervenções!$K$2:$K$300,AGGREGATE(15,6,(ROW(Intervenções!$K$2:$K$300)-ROW(Intervenções!$K$2)+1)/((Intervenções!$B$2:$B$300=A272)*(Intervenções!$A$2:$A$300=F272)*(Intervenções!$K$2:$K$300&lt;&gt;"")),1)),"")</f>
      </c>
      <c r="AC272" s="4">
        <f>IFERROR(INDEX(Intervenções!$K$2:$K$300,AGGREGATE(15,6,(ROW(Intervenções!$K$2:$K$300)-ROW(Intervenções!$K$2)+1)/((Intervenções!$B$2:$B$300=A272)*(Intervenções!$A$2:$A$300=F272)*(Intervenções!$K$2:$K$300&lt;&gt;"")),2)),"")</f>
      </c>
      <c r="AD272" s="4">
        <f>IFERROR(INDEX(Intervenções!$K$2:$K$300,AGGREGATE(15,6,(ROW(Intervenções!$K$2:$K$300)-ROW(Intervenções!$K$2)+1)/((Intervenções!$B$2:$B$300=A272)*(Intervenções!$A$2:$A$300=F272)*(Intervenções!$K$2:$K$300&lt;&gt;"")),3)),"")</f>
      </c>
      <c r="AE272" s="4">
        <f>"RECONCILIAÇÃO MEDICAMENTOSA"&amp;CHAR(10)&amp;IF(G272&lt;&gt;"","Medicamentos de uso prévio: "&amp;G272&amp;".","Sem medicamentos de uso prévio relatados.")&amp;CHAR(10)&amp;IF(H272&lt;&gt;"","Histórico de alergia/RAM: "&amp;H272&amp;".","Nega alergias/RAM conhecidas.")</f>
      </c>
      <c r="AF272" s="4">
        <f>AE272&amp;CHAR(10)&amp;CHAR(10)&amp;"1. Evolução Clínica"&amp;CHAR(10)&amp;TEXTJOIN(" ",TRUE,"Paciente "&amp;I272&amp;", "&amp;IF(J272="","sem DVA","em uso de "&amp;J272)&amp;".",IF(K272&lt;&gt;"","Em "&amp;K272&amp;IF(L272&lt;&gt;""," ("&amp;L272&amp;")","")&amp;IF(M272&lt;&gt;"", ", "&amp;M272,"")&amp;IF(N272&lt;&gt;"", ", sob analgosedação com "&amp;N272,"")&amp;".",""),IF(O272&lt;&gt;"",O272&amp;IF(P272&lt;&gt;"", ", com "&amp;LOWER(P272),"")&amp;IF(Q272&lt;&gt;"", " — "&amp;Q272,"")&amp;".",""),IF(R272="Febre","Apresentou episódio febril nas últimas 24h"&amp;IF(S272&lt;&gt;""," ("&amp;S272&amp;")","")&amp;".",IF(R272="Afebril","Encontra-se afebril.","")),IF(T272&lt;&gt;"",IF(U272="Sim","Apresenta disfunção renal aguda ","Função renal preservada ")&amp;"("&amp;T272&amp;").",""),IF(V272&lt;&gt;"","Em uso do esquema antimicrobiano com "&amp;V272&amp;".",""),IF(TEXTJOIN(", ",TRUE,IF(W272&lt;&gt;"","TEV ("&amp;W272&amp;")",""),IF(X272&lt;&gt;"","LAMG ("&amp;X272&amp;")",""),IF(Y272&lt;&gt;"","úlcera de córnea com "&amp;Y272,""))&lt;&gt;"","Em uso de profilaxia: "&amp;TEXTJOIN(", ",TRUE,IF(W272&lt;&gt;"","TEV ("&amp;W272&amp;")",""),IF(X272&lt;&gt;"","LAMG ("&amp;X272&amp;")",""),IF(Y272&lt;&gt;"","úlcera de córnea com "&amp;Y272,""))&amp;".",""))&amp;CHAR(10)&amp;CHAR(10)&amp;"2. Farmacoterapia"&amp;CHAR(10)&amp;IF(Z272&lt;&gt;"","Corticoide/DART: "&amp;Z272,"Sem corticoide/DART registrado.")&amp;CHAR(10)&amp;CHAR(10)&amp;"3. Conduta Farmacêutica"&amp;CHAR(10)&amp;IF(TEXTJOIN(CHAR(10),TRUE,AB272,AC272,AD272)="","Nenhuma intervenção registrada hoje.",TEXTJOIN(CHAR(10),TRUE,AB272,AC272,AD272))&amp;CHAR(10)&amp;CHAR(10)&amp;"4. Plano Terapêutico"&amp;CHAR(10)&amp;IF(AA272&lt;&gt;"",AA272,"Não definido.")</f>
      </c>
    </row>
    <row r="273" spans="1:32" x14ac:dyDescent="0.25">
      <c r="A273" s="4"/>
      <c r="B273" s="6">
        <f>IFERROR(INDEX(Pacientes!$A:$A,MATCH($A273,Pacientes!$B:$B,0)),"")</f>
      </c>
      <c r="C273" s="6">
        <f>IFERROR(INDEX(Pacientes!$C:$C,MATCH($A273,Pacientes!$B:$B,0)),"")</f>
      </c>
      <c r="D273" s="6">
        <f>IFERROR(INDEX(Pacientes!$D:$D,MATCH($A273,Pacientes!$B:$B,0)),"")</f>
      </c>
      <c r="E273" s="6">
        <f>IFERROR(INDEX(Pacientes!$E:$E,MATCH($A273,Pacientes!$B:$B,0)),"")</f>
      </c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>
        <f>IFERROR(INDEX(Intervenções!$K$2:$K$300,AGGREGATE(15,6,(ROW(Intervenções!$K$2:$K$300)-ROW(Intervenções!$K$2)+1)/((Intervenções!$B$2:$B$300=A273)*(Intervenções!$A$2:$A$300=F273)*(Intervenções!$K$2:$K$300&lt;&gt;"")),1)),"")</f>
      </c>
      <c r="AC273" s="4">
        <f>IFERROR(INDEX(Intervenções!$K$2:$K$300,AGGREGATE(15,6,(ROW(Intervenções!$K$2:$K$300)-ROW(Intervenções!$K$2)+1)/((Intervenções!$B$2:$B$300=A273)*(Intervenções!$A$2:$A$300=F273)*(Intervenções!$K$2:$K$300&lt;&gt;"")),2)),"")</f>
      </c>
      <c r="AD273" s="4">
        <f>IFERROR(INDEX(Intervenções!$K$2:$K$300,AGGREGATE(15,6,(ROW(Intervenções!$K$2:$K$300)-ROW(Intervenções!$K$2)+1)/((Intervenções!$B$2:$B$300=A273)*(Intervenções!$A$2:$A$300=F273)*(Intervenções!$K$2:$K$300&lt;&gt;"")),3)),"")</f>
      </c>
      <c r="AE273" s="4">
        <f>"RECONCILIAÇÃO MEDICAMENTOSA"&amp;CHAR(10)&amp;IF(G273&lt;&gt;"","Medicamentos de uso prévio: "&amp;G273&amp;".","Sem medicamentos de uso prévio relatados.")&amp;CHAR(10)&amp;IF(H273&lt;&gt;"","Histórico de alergia/RAM: "&amp;H273&amp;".","Nega alergias/RAM conhecidas.")</f>
      </c>
      <c r="AF273" s="4">
        <f>AE273&amp;CHAR(10)&amp;CHAR(10)&amp;"1. Evolução Clínica"&amp;CHAR(10)&amp;TEXTJOIN(" ",TRUE,"Paciente "&amp;I273&amp;", "&amp;IF(J273="","sem DVA","em uso de "&amp;J273)&amp;".",IF(K273&lt;&gt;"","Em "&amp;K273&amp;IF(L273&lt;&gt;""," ("&amp;L273&amp;")","")&amp;IF(M273&lt;&gt;"", ", "&amp;M273,"")&amp;IF(N273&lt;&gt;"", ", sob analgosedação com "&amp;N273,"")&amp;".",""),IF(O273&lt;&gt;"",O273&amp;IF(P273&lt;&gt;"", ", com "&amp;LOWER(P273),"")&amp;IF(Q273&lt;&gt;"", " — "&amp;Q273,"")&amp;".",""),IF(R273="Febre","Apresentou episódio febril nas últimas 24h"&amp;IF(S273&lt;&gt;""," ("&amp;S273&amp;")","")&amp;".",IF(R273="Afebril","Encontra-se afebril.","")),IF(T273&lt;&gt;"",IF(U273="Sim","Apresenta disfunção renal aguda ","Função renal preservada ")&amp;"("&amp;T273&amp;").",""),IF(V273&lt;&gt;"","Em uso do esquema antimicrobiano com "&amp;V273&amp;".",""),IF(TEXTJOIN(", ",TRUE,IF(W273&lt;&gt;"","TEV ("&amp;W273&amp;")",""),IF(X273&lt;&gt;"","LAMG ("&amp;X273&amp;")",""),IF(Y273&lt;&gt;"","úlcera de córnea com "&amp;Y273,""))&lt;&gt;"","Em uso de profilaxia: "&amp;TEXTJOIN(", ",TRUE,IF(W273&lt;&gt;"","TEV ("&amp;W273&amp;")",""),IF(X273&lt;&gt;"","LAMG ("&amp;X273&amp;")",""),IF(Y273&lt;&gt;"","úlcera de córnea com "&amp;Y273,""))&amp;".",""))&amp;CHAR(10)&amp;CHAR(10)&amp;"2. Farmacoterapia"&amp;CHAR(10)&amp;IF(Z273&lt;&gt;"","Corticoide/DART: "&amp;Z273,"Sem corticoide/DART registrado.")&amp;CHAR(10)&amp;CHAR(10)&amp;"3. Conduta Farmacêutica"&amp;CHAR(10)&amp;IF(TEXTJOIN(CHAR(10),TRUE,AB273,AC273,AD273)="","Nenhuma intervenção registrada hoje.",TEXTJOIN(CHAR(10),TRUE,AB273,AC273,AD273))&amp;CHAR(10)&amp;CHAR(10)&amp;"4. Plano Terapêutico"&amp;CHAR(10)&amp;IF(AA273&lt;&gt;"",AA273,"Não definido.")</f>
      </c>
    </row>
    <row r="274" spans="1:32" x14ac:dyDescent="0.25">
      <c r="A274" s="4"/>
      <c r="B274" s="6">
        <f>IFERROR(INDEX(Pacientes!$A:$A,MATCH($A274,Pacientes!$B:$B,0)),"")</f>
      </c>
      <c r="C274" s="6">
        <f>IFERROR(INDEX(Pacientes!$C:$C,MATCH($A274,Pacientes!$B:$B,0)),"")</f>
      </c>
      <c r="D274" s="6">
        <f>IFERROR(INDEX(Pacientes!$D:$D,MATCH($A274,Pacientes!$B:$B,0)),"")</f>
      </c>
      <c r="E274" s="6">
        <f>IFERROR(INDEX(Pacientes!$E:$E,MATCH($A274,Pacientes!$B:$B,0)),"")</f>
      </c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>
        <f>IFERROR(INDEX(Intervenções!$K$2:$K$300,AGGREGATE(15,6,(ROW(Intervenções!$K$2:$K$300)-ROW(Intervenções!$K$2)+1)/((Intervenções!$B$2:$B$300=A274)*(Intervenções!$A$2:$A$300=F274)*(Intervenções!$K$2:$K$300&lt;&gt;"")),1)),"")</f>
      </c>
      <c r="AC274" s="4">
        <f>IFERROR(INDEX(Intervenções!$K$2:$K$300,AGGREGATE(15,6,(ROW(Intervenções!$K$2:$K$300)-ROW(Intervenções!$K$2)+1)/((Intervenções!$B$2:$B$300=A274)*(Intervenções!$A$2:$A$300=F274)*(Intervenções!$K$2:$K$300&lt;&gt;"")),2)),"")</f>
      </c>
      <c r="AD274" s="4">
        <f>IFERROR(INDEX(Intervenções!$K$2:$K$300,AGGREGATE(15,6,(ROW(Intervenções!$K$2:$K$300)-ROW(Intervenções!$K$2)+1)/((Intervenções!$B$2:$B$300=A274)*(Intervenções!$A$2:$A$300=F274)*(Intervenções!$K$2:$K$300&lt;&gt;"")),3)),"")</f>
      </c>
      <c r="AE274" s="4">
        <f>"RECONCILIAÇÃO MEDICAMENTOSA"&amp;CHAR(10)&amp;IF(G274&lt;&gt;"","Medicamentos de uso prévio: "&amp;G274&amp;".","Sem medicamentos de uso prévio relatados.")&amp;CHAR(10)&amp;IF(H274&lt;&gt;"","Histórico de alergia/RAM: "&amp;H274&amp;".","Nega alergias/RAM conhecidas.")</f>
      </c>
      <c r="AF274" s="4">
        <f>AE274&amp;CHAR(10)&amp;CHAR(10)&amp;"1. Evolução Clínica"&amp;CHAR(10)&amp;TEXTJOIN(" ",TRUE,"Paciente "&amp;I274&amp;", "&amp;IF(J274="","sem DVA","em uso de "&amp;J274)&amp;".",IF(K274&lt;&gt;"","Em "&amp;K274&amp;IF(L274&lt;&gt;""," ("&amp;L274&amp;")","")&amp;IF(M274&lt;&gt;"", ", "&amp;M274,"")&amp;IF(N274&lt;&gt;"", ", sob analgosedação com "&amp;N274,"")&amp;".",""),IF(O274&lt;&gt;"",O274&amp;IF(P274&lt;&gt;"", ", com "&amp;LOWER(P274),"")&amp;IF(Q274&lt;&gt;"", " — "&amp;Q274,"")&amp;".",""),IF(R274="Febre","Apresentou episódio febril nas últimas 24h"&amp;IF(S274&lt;&gt;""," ("&amp;S274&amp;")","")&amp;".",IF(R274="Afebril","Encontra-se afebril.","")),IF(T274&lt;&gt;"",IF(U274="Sim","Apresenta disfunção renal aguda ","Função renal preservada ")&amp;"("&amp;T274&amp;").",""),IF(V274&lt;&gt;"","Em uso do esquema antimicrobiano com "&amp;V274&amp;".",""),IF(TEXTJOIN(", ",TRUE,IF(W274&lt;&gt;"","TEV ("&amp;W274&amp;")",""),IF(X274&lt;&gt;"","LAMG ("&amp;X274&amp;")",""),IF(Y274&lt;&gt;"","úlcera de córnea com "&amp;Y274,""))&lt;&gt;"","Em uso de profilaxia: "&amp;TEXTJOIN(", ",TRUE,IF(W274&lt;&gt;"","TEV ("&amp;W274&amp;")",""),IF(X274&lt;&gt;"","LAMG ("&amp;X274&amp;")",""),IF(Y274&lt;&gt;"","úlcera de córnea com "&amp;Y274,""))&amp;".",""))&amp;CHAR(10)&amp;CHAR(10)&amp;"2. Farmacoterapia"&amp;CHAR(10)&amp;IF(Z274&lt;&gt;"","Corticoide/DART: "&amp;Z274,"Sem corticoide/DART registrado.")&amp;CHAR(10)&amp;CHAR(10)&amp;"3. Conduta Farmacêutica"&amp;CHAR(10)&amp;IF(TEXTJOIN(CHAR(10),TRUE,AB274,AC274,AD274)="","Nenhuma intervenção registrada hoje.",TEXTJOIN(CHAR(10),TRUE,AB274,AC274,AD274))&amp;CHAR(10)&amp;CHAR(10)&amp;"4. Plano Terapêutico"&amp;CHAR(10)&amp;IF(AA274&lt;&gt;"",AA274,"Não definido.")</f>
      </c>
    </row>
    <row r="275" spans="1:32" x14ac:dyDescent="0.25">
      <c r="A275" s="4"/>
      <c r="B275" s="6">
        <f>IFERROR(INDEX(Pacientes!$A:$A,MATCH($A275,Pacientes!$B:$B,0)),"")</f>
      </c>
      <c r="C275" s="6">
        <f>IFERROR(INDEX(Pacientes!$C:$C,MATCH($A275,Pacientes!$B:$B,0)),"")</f>
      </c>
      <c r="D275" s="6">
        <f>IFERROR(INDEX(Pacientes!$D:$D,MATCH($A275,Pacientes!$B:$B,0)),"")</f>
      </c>
      <c r="E275" s="6">
        <f>IFERROR(INDEX(Pacientes!$E:$E,MATCH($A275,Pacientes!$B:$B,0)),"")</f>
      </c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>
        <f>IFERROR(INDEX(Intervenções!$K$2:$K$300,AGGREGATE(15,6,(ROW(Intervenções!$K$2:$K$300)-ROW(Intervenções!$K$2)+1)/((Intervenções!$B$2:$B$300=A275)*(Intervenções!$A$2:$A$300=F275)*(Intervenções!$K$2:$K$300&lt;&gt;"")),1)),"")</f>
      </c>
      <c r="AC275" s="4">
        <f>IFERROR(INDEX(Intervenções!$K$2:$K$300,AGGREGATE(15,6,(ROW(Intervenções!$K$2:$K$300)-ROW(Intervenções!$K$2)+1)/((Intervenções!$B$2:$B$300=A275)*(Intervenções!$A$2:$A$300=F275)*(Intervenções!$K$2:$K$300&lt;&gt;"")),2)),"")</f>
      </c>
      <c r="AD275" s="4">
        <f>IFERROR(INDEX(Intervenções!$K$2:$K$300,AGGREGATE(15,6,(ROW(Intervenções!$K$2:$K$300)-ROW(Intervenções!$K$2)+1)/((Intervenções!$B$2:$B$300=A275)*(Intervenções!$A$2:$A$300=F275)*(Intervenções!$K$2:$K$300&lt;&gt;"")),3)),"")</f>
      </c>
      <c r="AE275" s="4">
        <f>"RECONCILIAÇÃO MEDICAMENTOSA"&amp;CHAR(10)&amp;IF(G275&lt;&gt;"","Medicamentos de uso prévio: "&amp;G275&amp;".","Sem medicamentos de uso prévio relatados.")&amp;CHAR(10)&amp;IF(H275&lt;&gt;"","Histórico de alergia/RAM: "&amp;H275&amp;".","Nega alergias/RAM conhecidas.")</f>
      </c>
      <c r="AF275" s="4">
        <f>AE275&amp;CHAR(10)&amp;CHAR(10)&amp;"1. Evolução Clínica"&amp;CHAR(10)&amp;TEXTJOIN(" ",TRUE,"Paciente "&amp;I275&amp;", "&amp;IF(J275="","sem DVA","em uso de "&amp;J275)&amp;".",IF(K275&lt;&gt;"","Em "&amp;K275&amp;IF(L275&lt;&gt;""," ("&amp;L275&amp;")","")&amp;IF(M275&lt;&gt;"", ", "&amp;M275,"")&amp;IF(N275&lt;&gt;"", ", sob analgosedação com "&amp;N275,"")&amp;".",""),IF(O275&lt;&gt;"",O275&amp;IF(P275&lt;&gt;"", ", com "&amp;LOWER(P275),"")&amp;IF(Q275&lt;&gt;"", " — "&amp;Q275,"")&amp;".",""),IF(R275="Febre","Apresentou episódio febril nas últimas 24h"&amp;IF(S275&lt;&gt;""," ("&amp;S275&amp;")","")&amp;".",IF(R275="Afebril","Encontra-se afebril.","")),IF(T275&lt;&gt;"",IF(U275="Sim","Apresenta disfunção renal aguda ","Função renal preservada ")&amp;"("&amp;T275&amp;").",""),IF(V275&lt;&gt;"","Em uso do esquema antimicrobiano com "&amp;V275&amp;".",""),IF(TEXTJOIN(", ",TRUE,IF(W275&lt;&gt;"","TEV ("&amp;W275&amp;")",""),IF(X275&lt;&gt;"","LAMG ("&amp;X275&amp;")",""),IF(Y275&lt;&gt;"","úlcera de córnea com "&amp;Y275,""))&lt;&gt;"","Em uso de profilaxia: "&amp;TEXTJOIN(", ",TRUE,IF(W275&lt;&gt;"","TEV ("&amp;W275&amp;")",""),IF(X275&lt;&gt;"","LAMG ("&amp;X275&amp;")",""),IF(Y275&lt;&gt;"","úlcera de córnea com "&amp;Y275,""))&amp;".",""))&amp;CHAR(10)&amp;CHAR(10)&amp;"2. Farmacoterapia"&amp;CHAR(10)&amp;IF(Z275&lt;&gt;"","Corticoide/DART: "&amp;Z275,"Sem corticoide/DART registrado.")&amp;CHAR(10)&amp;CHAR(10)&amp;"3. Conduta Farmacêutica"&amp;CHAR(10)&amp;IF(TEXTJOIN(CHAR(10),TRUE,AB275,AC275,AD275)="","Nenhuma intervenção registrada hoje.",TEXTJOIN(CHAR(10),TRUE,AB275,AC275,AD275))&amp;CHAR(10)&amp;CHAR(10)&amp;"4. Plano Terapêutico"&amp;CHAR(10)&amp;IF(AA275&lt;&gt;"",AA275,"Não definido.")</f>
      </c>
    </row>
    <row r="276" spans="1:32" x14ac:dyDescent="0.25">
      <c r="A276" s="4"/>
      <c r="B276" s="6">
        <f>IFERROR(INDEX(Pacientes!$A:$A,MATCH($A276,Pacientes!$B:$B,0)),"")</f>
      </c>
      <c r="C276" s="6">
        <f>IFERROR(INDEX(Pacientes!$C:$C,MATCH($A276,Pacientes!$B:$B,0)),"")</f>
      </c>
      <c r="D276" s="6">
        <f>IFERROR(INDEX(Pacientes!$D:$D,MATCH($A276,Pacientes!$B:$B,0)),"")</f>
      </c>
      <c r="E276" s="6">
        <f>IFERROR(INDEX(Pacientes!$E:$E,MATCH($A276,Pacientes!$B:$B,0)),"")</f>
      </c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>
        <f>IFERROR(INDEX(Intervenções!$K$2:$K$300,AGGREGATE(15,6,(ROW(Intervenções!$K$2:$K$300)-ROW(Intervenções!$K$2)+1)/((Intervenções!$B$2:$B$300=A276)*(Intervenções!$A$2:$A$300=F276)*(Intervenções!$K$2:$K$300&lt;&gt;"")),1)),"")</f>
      </c>
      <c r="AC276" s="4">
        <f>IFERROR(INDEX(Intervenções!$K$2:$K$300,AGGREGATE(15,6,(ROW(Intervenções!$K$2:$K$300)-ROW(Intervenções!$K$2)+1)/((Intervenções!$B$2:$B$300=A276)*(Intervenções!$A$2:$A$300=F276)*(Intervenções!$K$2:$K$300&lt;&gt;"")),2)),"")</f>
      </c>
      <c r="AD276" s="4">
        <f>IFERROR(INDEX(Intervenções!$K$2:$K$300,AGGREGATE(15,6,(ROW(Intervenções!$K$2:$K$300)-ROW(Intervenções!$K$2)+1)/((Intervenções!$B$2:$B$300=A276)*(Intervenções!$A$2:$A$300=F276)*(Intervenções!$K$2:$K$300&lt;&gt;"")),3)),"")</f>
      </c>
      <c r="AE276" s="4">
        <f>"RECONCILIAÇÃO MEDICAMENTOSA"&amp;CHAR(10)&amp;IF(G276&lt;&gt;"","Medicamentos de uso prévio: "&amp;G276&amp;".","Sem medicamentos de uso prévio relatados.")&amp;CHAR(10)&amp;IF(H276&lt;&gt;"","Histórico de alergia/RAM: "&amp;H276&amp;".","Nega alergias/RAM conhecidas.")</f>
      </c>
      <c r="AF276" s="4">
        <f>AE276&amp;CHAR(10)&amp;CHAR(10)&amp;"1. Evolução Clínica"&amp;CHAR(10)&amp;TEXTJOIN(" ",TRUE,"Paciente "&amp;I276&amp;", "&amp;IF(J276="","sem DVA","em uso de "&amp;J276)&amp;".",IF(K276&lt;&gt;"","Em "&amp;K276&amp;IF(L276&lt;&gt;""," ("&amp;L276&amp;")","")&amp;IF(M276&lt;&gt;"", ", "&amp;M276,"")&amp;IF(N276&lt;&gt;"", ", sob analgosedação com "&amp;N276,"")&amp;".",""),IF(O276&lt;&gt;"",O276&amp;IF(P276&lt;&gt;"", ", com "&amp;LOWER(P276),"")&amp;IF(Q276&lt;&gt;"", " — "&amp;Q276,"")&amp;".",""),IF(R276="Febre","Apresentou episódio febril nas últimas 24h"&amp;IF(S276&lt;&gt;""," ("&amp;S276&amp;")","")&amp;".",IF(R276="Afebril","Encontra-se afebril.","")),IF(T276&lt;&gt;"",IF(U276="Sim","Apresenta disfunção renal aguda ","Função renal preservada ")&amp;"("&amp;T276&amp;").",""),IF(V276&lt;&gt;"","Em uso do esquema antimicrobiano com "&amp;V276&amp;".",""),IF(TEXTJOIN(", ",TRUE,IF(W276&lt;&gt;"","TEV ("&amp;W276&amp;")",""),IF(X276&lt;&gt;"","LAMG ("&amp;X276&amp;")",""),IF(Y276&lt;&gt;"","úlcera de córnea com "&amp;Y276,""))&lt;&gt;"","Em uso de profilaxia: "&amp;TEXTJOIN(", ",TRUE,IF(W276&lt;&gt;"","TEV ("&amp;W276&amp;")",""),IF(X276&lt;&gt;"","LAMG ("&amp;X276&amp;")",""),IF(Y276&lt;&gt;"","úlcera de córnea com "&amp;Y276,""))&amp;".",""))&amp;CHAR(10)&amp;CHAR(10)&amp;"2. Farmacoterapia"&amp;CHAR(10)&amp;IF(Z276&lt;&gt;"","Corticoide/DART: "&amp;Z276,"Sem corticoide/DART registrado.")&amp;CHAR(10)&amp;CHAR(10)&amp;"3. Conduta Farmacêutica"&amp;CHAR(10)&amp;IF(TEXTJOIN(CHAR(10),TRUE,AB276,AC276,AD276)="","Nenhuma intervenção registrada hoje.",TEXTJOIN(CHAR(10),TRUE,AB276,AC276,AD276))&amp;CHAR(10)&amp;CHAR(10)&amp;"4. Plano Terapêutico"&amp;CHAR(10)&amp;IF(AA276&lt;&gt;"",AA276,"Não definido.")</f>
      </c>
    </row>
    <row r="277" spans="1:32" x14ac:dyDescent="0.25">
      <c r="A277" s="4"/>
      <c r="B277" s="6">
        <f>IFERROR(INDEX(Pacientes!$A:$A,MATCH($A277,Pacientes!$B:$B,0)),"")</f>
      </c>
      <c r="C277" s="6">
        <f>IFERROR(INDEX(Pacientes!$C:$C,MATCH($A277,Pacientes!$B:$B,0)),"")</f>
      </c>
      <c r="D277" s="6">
        <f>IFERROR(INDEX(Pacientes!$D:$D,MATCH($A277,Pacientes!$B:$B,0)),"")</f>
      </c>
      <c r="E277" s="6">
        <f>IFERROR(INDEX(Pacientes!$E:$E,MATCH($A277,Pacientes!$B:$B,0)),"")</f>
      </c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>
        <f>IFERROR(INDEX(Intervenções!$K$2:$K$300,AGGREGATE(15,6,(ROW(Intervenções!$K$2:$K$300)-ROW(Intervenções!$K$2)+1)/((Intervenções!$B$2:$B$300=A277)*(Intervenções!$A$2:$A$300=F277)*(Intervenções!$K$2:$K$300&lt;&gt;"")),1)),"")</f>
      </c>
      <c r="AC277" s="4">
        <f>IFERROR(INDEX(Intervenções!$K$2:$K$300,AGGREGATE(15,6,(ROW(Intervenções!$K$2:$K$300)-ROW(Intervenções!$K$2)+1)/((Intervenções!$B$2:$B$300=A277)*(Intervenções!$A$2:$A$300=F277)*(Intervenções!$K$2:$K$300&lt;&gt;"")),2)),"")</f>
      </c>
      <c r="AD277" s="4">
        <f>IFERROR(INDEX(Intervenções!$K$2:$K$300,AGGREGATE(15,6,(ROW(Intervenções!$K$2:$K$300)-ROW(Intervenções!$K$2)+1)/((Intervenções!$B$2:$B$300=A277)*(Intervenções!$A$2:$A$300=F277)*(Intervenções!$K$2:$K$300&lt;&gt;"")),3)),"")</f>
      </c>
      <c r="AE277" s="4">
        <f>"RECONCILIAÇÃO MEDICAMENTOSA"&amp;CHAR(10)&amp;IF(G277&lt;&gt;"","Medicamentos de uso prévio: "&amp;G277&amp;".","Sem medicamentos de uso prévio relatados.")&amp;CHAR(10)&amp;IF(H277&lt;&gt;"","Histórico de alergia/RAM: "&amp;H277&amp;".","Nega alergias/RAM conhecidas.")</f>
      </c>
      <c r="AF277" s="4">
        <f>AE277&amp;CHAR(10)&amp;CHAR(10)&amp;"1. Evolução Clínica"&amp;CHAR(10)&amp;TEXTJOIN(" ",TRUE,"Paciente "&amp;I277&amp;", "&amp;IF(J277="","sem DVA","em uso de "&amp;J277)&amp;".",IF(K277&lt;&gt;"","Em "&amp;K277&amp;IF(L277&lt;&gt;""," ("&amp;L277&amp;")","")&amp;IF(M277&lt;&gt;"", ", "&amp;M277,"")&amp;IF(N277&lt;&gt;"", ", sob analgosedação com "&amp;N277,"")&amp;".",""),IF(O277&lt;&gt;"",O277&amp;IF(P277&lt;&gt;"", ", com "&amp;LOWER(P277),"")&amp;IF(Q277&lt;&gt;"", " — "&amp;Q277,"")&amp;".",""),IF(R277="Febre","Apresentou episódio febril nas últimas 24h"&amp;IF(S277&lt;&gt;""," ("&amp;S277&amp;")","")&amp;".",IF(R277="Afebril","Encontra-se afebril.","")),IF(T277&lt;&gt;"",IF(U277="Sim","Apresenta disfunção renal aguda ","Função renal preservada ")&amp;"("&amp;T277&amp;").",""),IF(V277&lt;&gt;"","Em uso do esquema antimicrobiano com "&amp;V277&amp;".",""),IF(TEXTJOIN(", ",TRUE,IF(W277&lt;&gt;"","TEV ("&amp;W277&amp;")",""),IF(X277&lt;&gt;"","LAMG ("&amp;X277&amp;")",""),IF(Y277&lt;&gt;"","úlcera de córnea com "&amp;Y277,""))&lt;&gt;"","Em uso de profilaxia: "&amp;TEXTJOIN(", ",TRUE,IF(W277&lt;&gt;"","TEV ("&amp;W277&amp;")",""),IF(X277&lt;&gt;"","LAMG ("&amp;X277&amp;")",""),IF(Y277&lt;&gt;"","úlcera de córnea com "&amp;Y277,""))&amp;".",""))&amp;CHAR(10)&amp;CHAR(10)&amp;"2. Farmacoterapia"&amp;CHAR(10)&amp;IF(Z277&lt;&gt;"","Corticoide/DART: "&amp;Z277,"Sem corticoide/DART registrado.")&amp;CHAR(10)&amp;CHAR(10)&amp;"3. Conduta Farmacêutica"&amp;CHAR(10)&amp;IF(TEXTJOIN(CHAR(10),TRUE,AB277,AC277,AD277)="","Nenhuma intervenção registrada hoje.",TEXTJOIN(CHAR(10),TRUE,AB277,AC277,AD277))&amp;CHAR(10)&amp;CHAR(10)&amp;"4. Plano Terapêutico"&amp;CHAR(10)&amp;IF(AA277&lt;&gt;"",AA277,"Não definido.")</f>
      </c>
    </row>
    <row r="278" spans="1:32" x14ac:dyDescent="0.25">
      <c r="A278" s="4"/>
      <c r="B278" s="6">
        <f>IFERROR(INDEX(Pacientes!$A:$A,MATCH($A278,Pacientes!$B:$B,0)),"")</f>
      </c>
      <c r="C278" s="6">
        <f>IFERROR(INDEX(Pacientes!$C:$C,MATCH($A278,Pacientes!$B:$B,0)),"")</f>
      </c>
      <c r="D278" s="6">
        <f>IFERROR(INDEX(Pacientes!$D:$D,MATCH($A278,Pacientes!$B:$B,0)),"")</f>
      </c>
      <c r="E278" s="6">
        <f>IFERROR(INDEX(Pacientes!$E:$E,MATCH($A278,Pacientes!$B:$B,0)),"")</f>
      </c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>
        <f>IFERROR(INDEX(Intervenções!$K$2:$K$300,AGGREGATE(15,6,(ROW(Intervenções!$K$2:$K$300)-ROW(Intervenções!$K$2)+1)/((Intervenções!$B$2:$B$300=A278)*(Intervenções!$A$2:$A$300=F278)*(Intervenções!$K$2:$K$300&lt;&gt;"")),1)),"")</f>
      </c>
      <c r="AC278" s="4">
        <f>IFERROR(INDEX(Intervenções!$K$2:$K$300,AGGREGATE(15,6,(ROW(Intervenções!$K$2:$K$300)-ROW(Intervenções!$K$2)+1)/((Intervenções!$B$2:$B$300=A278)*(Intervenções!$A$2:$A$300=F278)*(Intervenções!$K$2:$K$300&lt;&gt;"")),2)),"")</f>
      </c>
      <c r="AD278" s="4">
        <f>IFERROR(INDEX(Intervenções!$K$2:$K$300,AGGREGATE(15,6,(ROW(Intervenções!$K$2:$K$300)-ROW(Intervenções!$K$2)+1)/((Intervenções!$B$2:$B$300=A278)*(Intervenções!$A$2:$A$300=F278)*(Intervenções!$K$2:$K$300&lt;&gt;"")),3)),"")</f>
      </c>
      <c r="AE278" s="4">
        <f>"RECONCILIAÇÃO MEDICAMENTOSA"&amp;CHAR(10)&amp;IF(G278&lt;&gt;"","Medicamentos de uso prévio: "&amp;G278&amp;".","Sem medicamentos de uso prévio relatados.")&amp;CHAR(10)&amp;IF(H278&lt;&gt;"","Histórico de alergia/RAM: "&amp;H278&amp;".","Nega alergias/RAM conhecidas.")</f>
      </c>
      <c r="AF278" s="4">
        <f>AE278&amp;CHAR(10)&amp;CHAR(10)&amp;"1. Evolução Clínica"&amp;CHAR(10)&amp;TEXTJOIN(" ",TRUE,"Paciente "&amp;I278&amp;", "&amp;IF(J278="","sem DVA","em uso de "&amp;J278)&amp;".",IF(K278&lt;&gt;"","Em "&amp;K278&amp;IF(L278&lt;&gt;""," ("&amp;L278&amp;")","")&amp;IF(M278&lt;&gt;"", ", "&amp;M278,"")&amp;IF(N278&lt;&gt;"", ", sob analgosedação com "&amp;N278,"")&amp;".",""),IF(O278&lt;&gt;"",O278&amp;IF(P278&lt;&gt;"", ", com "&amp;LOWER(P278),"")&amp;IF(Q278&lt;&gt;"", " — "&amp;Q278,"")&amp;".",""),IF(R278="Febre","Apresentou episódio febril nas últimas 24h"&amp;IF(S278&lt;&gt;""," ("&amp;S278&amp;")","")&amp;".",IF(R278="Afebril","Encontra-se afebril.","")),IF(T278&lt;&gt;"",IF(U278="Sim","Apresenta disfunção renal aguda ","Função renal preservada ")&amp;"("&amp;T278&amp;").",""),IF(V278&lt;&gt;"","Em uso do esquema antimicrobiano com "&amp;V278&amp;".",""),IF(TEXTJOIN(", ",TRUE,IF(W278&lt;&gt;"","TEV ("&amp;W278&amp;")",""),IF(X278&lt;&gt;"","LAMG ("&amp;X278&amp;")",""),IF(Y278&lt;&gt;"","úlcera de córnea com "&amp;Y278,""))&lt;&gt;"","Em uso de profilaxia: "&amp;TEXTJOIN(", ",TRUE,IF(W278&lt;&gt;"","TEV ("&amp;W278&amp;")",""),IF(X278&lt;&gt;"","LAMG ("&amp;X278&amp;")",""),IF(Y278&lt;&gt;"","úlcera de córnea com "&amp;Y278,""))&amp;".",""))&amp;CHAR(10)&amp;CHAR(10)&amp;"2. Farmacoterapia"&amp;CHAR(10)&amp;IF(Z278&lt;&gt;"","Corticoide/DART: "&amp;Z278,"Sem corticoide/DART registrado.")&amp;CHAR(10)&amp;CHAR(10)&amp;"3. Conduta Farmacêutica"&amp;CHAR(10)&amp;IF(TEXTJOIN(CHAR(10),TRUE,AB278,AC278,AD278)="","Nenhuma intervenção registrada hoje.",TEXTJOIN(CHAR(10),TRUE,AB278,AC278,AD278))&amp;CHAR(10)&amp;CHAR(10)&amp;"4. Plano Terapêutico"&amp;CHAR(10)&amp;IF(AA278&lt;&gt;"",AA278,"Não definido.")</f>
      </c>
    </row>
    <row r="279" spans="1:32" x14ac:dyDescent="0.25">
      <c r="A279" s="4"/>
      <c r="B279" s="6">
        <f>IFERROR(INDEX(Pacientes!$A:$A,MATCH($A279,Pacientes!$B:$B,0)),"")</f>
      </c>
      <c r="C279" s="6">
        <f>IFERROR(INDEX(Pacientes!$C:$C,MATCH($A279,Pacientes!$B:$B,0)),"")</f>
      </c>
      <c r="D279" s="6">
        <f>IFERROR(INDEX(Pacientes!$D:$D,MATCH($A279,Pacientes!$B:$B,0)),"")</f>
      </c>
      <c r="E279" s="6">
        <f>IFERROR(INDEX(Pacientes!$E:$E,MATCH($A279,Pacientes!$B:$B,0)),"")</f>
      </c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>
        <f>IFERROR(INDEX(Intervenções!$K$2:$K$300,AGGREGATE(15,6,(ROW(Intervenções!$K$2:$K$300)-ROW(Intervenções!$K$2)+1)/((Intervenções!$B$2:$B$300=A279)*(Intervenções!$A$2:$A$300=F279)*(Intervenções!$K$2:$K$300&lt;&gt;"")),1)),"")</f>
      </c>
      <c r="AC279" s="4">
        <f>IFERROR(INDEX(Intervenções!$K$2:$K$300,AGGREGATE(15,6,(ROW(Intervenções!$K$2:$K$300)-ROW(Intervenções!$K$2)+1)/((Intervenções!$B$2:$B$300=A279)*(Intervenções!$A$2:$A$300=F279)*(Intervenções!$K$2:$K$300&lt;&gt;"")),2)),"")</f>
      </c>
      <c r="AD279" s="4">
        <f>IFERROR(INDEX(Intervenções!$K$2:$K$300,AGGREGATE(15,6,(ROW(Intervenções!$K$2:$K$300)-ROW(Intervenções!$K$2)+1)/((Intervenções!$B$2:$B$300=A279)*(Intervenções!$A$2:$A$300=F279)*(Intervenções!$K$2:$K$300&lt;&gt;"")),3)),"")</f>
      </c>
      <c r="AE279" s="4">
        <f>"RECONCILIAÇÃO MEDICAMENTOSA"&amp;CHAR(10)&amp;IF(G279&lt;&gt;"","Medicamentos de uso prévio: "&amp;G279&amp;".","Sem medicamentos de uso prévio relatados.")&amp;CHAR(10)&amp;IF(H279&lt;&gt;"","Histórico de alergia/RAM: "&amp;H279&amp;".","Nega alergias/RAM conhecidas.")</f>
      </c>
      <c r="AF279" s="4">
        <f>AE279&amp;CHAR(10)&amp;CHAR(10)&amp;"1. Evolução Clínica"&amp;CHAR(10)&amp;TEXTJOIN(" ",TRUE,"Paciente "&amp;I279&amp;", "&amp;IF(J279="","sem DVA","em uso de "&amp;J279)&amp;".",IF(K279&lt;&gt;"","Em "&amp;K279&amp;IF(L279&lt;&gt;""," ("&amp;L279&amp;")","")&amp;IF(M279&lt;&gt;"", ", "&amp;M279,"")&amp;IF(N279&lt;&gt;"", ", sob analgosedação com "&amp;N279,"")&amp;".",""),IF(O279&lt;&gt;"",O279&amp;IF(P279&lt;&gt;"", ", com "&amp;LOWER(P279),"")&amp;IF(Q279&lt;&gt;"", " — "&amp;Q279,"")&amp;".",""),IF(R279="Febre","Apresentou episódio febril nas últimas 24h"&amp;IF(S279&lt;&gt;""," ("&amp;S279&amp;")","")&amp;".",IF(R279="Afebril","Encontra-se afebril.","")),IF(T279&lt;&gt;"",IF(U279="Sim","Apresenta disfunção renal aguda ","Função renal preservada ")&amp;"("&amp;T279&amp;").",""),IF(V279&lt;&gt;"","Em uso do esquema antimicrobiano com "&amp;V279&amp;".",""),IF(TEXTJOIN(", ",TRUE,IF(W279&lt;&gt;"","TEV ("&amp;W279&amp;")",""),IF(X279&lt;&gt;"","LAMG ("&amp;X279&amp;")",""),IF(Y279&lt;&gt;"","úlcera de córnea com "&amp;Y279,""))&lt;&gt;"","Em uso de profilaxia: "&amp;TEXTJOIN(", ",TRUE,IF(W279&lt;&gt;"","TEV ("&amp;W279&amp;")",""),IF(X279&lt;&gt;"","LAMG ("&amp;X279&amp;")",""),IF(Y279&lt;&gt;"","úlcera de córnea com "&amp;Y279,""))&amp;".",""))&amp;CHAR(10)&amp;CHAR(10)&amp;"2. Farmacoterapia"&amp;CHAR(10)&amp;IF(Z279&lt;&gt;"","Corticoide/DART: "&amp;Z279,"Sem corticoide/DART registrado.")&amp;CHAR(10)&amp;CHAR(10)&amp;"3. Conduta Farmacêutica"&amp;CHAR(10)&amp;IF(TEXTJOIN(CHAR(10),TRUE,AB279,AC279,AD279)="","Nenhuma intervenção registrada hoje.",TEXTJOIN(CHAR(10),TRUE,AB279,AC279,AD279))&amp;CHAR(10)&amp;CHAR(10)&amp;"4. Plano Terapêutico"&amp;CHAR(10)&amp;IF(AA279&lt;&gt;"",AA279,"Não definido.")</f>
      </c>
    </row>
    <row r="280" spans="1:32" x14ac:dyDescent="0.25">
      <c r="A280" s="4"/>
      <c r="B280" s="6">
        <f>IFERROR(INDEX(Pacientes!$A:$A,MATCH($A280,Pacientes!$B:$B,0)),"")</f>
      </c>
      <c r="C280" s="6">
        <f>IFERROR(INDEX(Pacientes!$C:$C,MATCH($A280,Pacientes!$B:$B,0)),"")</f>
      </c>
      <c r="D280" s="6">
        <f>IFERROR(INDEX(Pacientes!$D:$D,MATCH($A280,Pacientes!$B:$B,0)),"")</f>
      </c>
      <c r="E280" s="6">
        <f>IFERROR(INDEX(Pacientes!$E:$E,MATCH($A280,Pacientes!$B:$B,0)),"")</f>
      </c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>
        <f>IFERROR(INDEX(Intervenções!$K$2:$K$300,AGGREGATE(15,6,(ROW(Intervenções!$K$2:$K$300)-ROW(Intervenções!$K$2)+1)/((Intervenções!$B$2:$B$300=A280)*(Intervenções!$A$2:$A$300=F280)*(Intervenções!$K$2:$K$300&lt;&gt;"")),1)),"")</f>
      </c>
      <c r="AC280" s="4">
        <f>IFERROR(INDEX(Intervenções!$K$2:$K$300,AGGREGATE(15,6,(ROW(Intervenções!$K$2:$K$300)-ROW(Intervenções!$K$2)+1)/((Intervenções!$B$2:$B$300=A280)*(Intervenções!$A$2:$A$300=F280)*(Intervenções!$K$2:$K$300&lt;&gt;"")),2)),"")</f>
      </c>
      <c r="AD280" s="4">
        <f>IFERROR(INDEX(Intervenções!$K$2:$K$300,AGGREGATE(15,6,(ROW(Intervenções!$K$2:$K$300)-ROW(Intervenções!$K$2)+1)/((Intervenções!$B$2:$B$300=A280)*(Intervenções!$A$2:$A$300=F280)*(Intervenções!$K$2:$K$300&lt;&gt;"")),3)),"")</f>
      </c>
      <c r="AE280" s="4">
        <f>"RECONCILIAÇÃO MEDICAMENTOSA"&amp;CHAR(10)&amp;IF(G280&lt;&gt;"","Medicamentos de uso prévio: "&amp;G280&amp;".","Sem medicamentos de uso prévio relatados.")&amp;CHAR(10)&amp;IF(H280&lt;&gt;"","Histórico de alergia/RAM: "&amp;H280&amp;".","Nega alergias/RAM conhecidas.")</f>
      </c>
      <c r="AF280" s="4">
        <f>AE280&amp;CHAR(10)&amp;CHAR(10)&amp;"1. Evolução Clínica"&amp;CHAR(10)&amp;TEXTJOIN(" ",TRUE,"Paciente "&amp;I280&amp;", "&amp;IF(J280="","sem DVA","em uso de "&amp;J280)&amp;".",IF(K280&lt;&gt;"","Em "&amp;K280&amp;IF(L280&lt;&gt;""," ("&amp;L280&amp;")","")&amp;IF(M280&lt;&gt;"", ", "&amp;M280,"")&amp;IF(N280&lt;&gt;"", ", sob analgosedação com "&amp;N280,"")&amp;".",""),IF(O280&lt;&gt;"",O280&amp;IF(P280&lt;&gt;"", ", com "&amp;LOWER(P280),"")&amp;IF(Q280&lt;&gt;"", " — "&amp;Q280,"")&amp;".",""),IF(R280="Febre","Apresentou episódio febril nas últimas 24h"&amp;IF(S280&lt;&gt;""," ("&amp;S280&amp;")","")&amp;".",IF(R280="Afebril","Encontra-se afebril.","")),IF(T280&lt;&gt;"",IF(U280="Sim","Apresenta disfunção renal aguda ","Função renal preservada ")&amp;"("&amp;T280&amp;").",""),IF(V280&lt;&gt;"","Em uso do esquema antimicrobiano com "&amp;V280&amp;".",""),IF(TEXTJOIN(", ",TRUE,IF(W280&lt;&gt;"","TEV ("&amp;W280&amp;")",""),IF(X280&lt;&gt;"","LAMG ("&amp;X280&amp;")",""),IF(Y280&lt;&gt;"","úlcera de córnea com "&amp;Y280,""))&lt;&gt;"","Em uso de profilaxia: "&amp;TEXTJOIN(", ",TRUE,IF(W280&lt;&gt;"","TEV ("&amp;W280&amp;")",""),IF(X280&lt;&gt;"","LAMG ("&amp;X280&amp;")",""),IF(Y280&lt;&gt;"","úlcera de córnea com "&amp;Y280,""))&amp;".",""))&amp;CHAR(10)&amp;CHAR(10)&amp;"2. Farmacoterapia"&amp;CHAR(10)&amp;IF(Z280&lt;&gt;"","Corticoide/DART: "&amp;Z280,"Sem corticoide/DART registrado.")&amp;CHAR(10)&amp;CHAR(10)&amp;"3. Conduta Farmacêutica"&amp;CHAR(10)&amp;IF(TEXTJOIN(CHAR(10),TRUE,AB280,AC280,AD280)="","Nenhuma intervenção registrada hoje.",TEXTJOIN(CHAR(10),TRUE,AB280,AC280,AD280))&amp;CHAR(10)&amp;CHAR(10)&amp;"4. Plano Terapêutico"&amp;CHAR(10)&amp;IF(AA280&lt;&gt;"",AA280,"Não definido.")</f>
      </c>
    </row>
    <row r="281" spans="1:32" x14ac:dyDescent="0.25">
      <c r="A281" s="4"/>
      <c r="B281" s="6">
        <f>IFERROR(INDEX(Pacientes!$A:$A,MATCH($A281,Pacientes!$B:$B,0)),"")</f>
      </c>
      <c r="C281" s="6">
        <f>IFERROR(INDEX(Pacientes!$C:$C,MATCH($A281,Pacientes!$B:$B,0)),"")</f>
      </c>
      <c r="D281" s="6">
        <f>IFERROR(INDEX(Pacientes!$D:$D,MATCH($A281,Pacientes!$B:$B,0)),"")</f>
      </c>
      <c r="E281" s="6">
        <f>IFERROR(INDEX(Pacientes!$E:$E,MATCH($A281,Pacientes!$B:$B,0)),"")</f>
      </c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>
        <f>IFERROR(INDEX(Intervenções!$K$2:$K$300,AGGREGATE(15,6,(ROW(Intervenções!$K$2:$K$300)-ROW(Intervenções!$K$2)+1)/((Intervenções!$B$2:$B$300=A281)*(Intervenções!$A$2:$A$300=F281)*(Intervenções!$K$2:$K$300&lt;&gt;"")),1)),"")</f>
      </c>
      <c r="AC281" s="4">
        <f>IFERROR(INDEX(Intervenções!$K$2:$K$300,AGGREGATE(15,6,(ROW(Intervenções!$K$2:$K$300)-ROW(Intervenções!$K$2)+1)/((Intervenções!$B$2:$B$300=A281)*(Intervenções!$A$2:$A$300=F281)*(Intervenções!$K$2:$K$300&lt;&gt;"")),2)),"")</f>
      </c>
      <c r="AD281" s="4">
        <f>IFERROR(INDEX(Intervenções!$K$2:$K$300,AGGREGATE(15,6,(ROW(Intervenções!$K$2:$K$300)-ROW(Intervenções!$K$2)+1)/((Intervenções!$B$2:$B$300=A281)*(Intervenções!$A$2:$A$300=F281)*(Intervenções!$K$2:$K$300&lt;&gt;"")),3)),"")</f>
      </c>
      <c r="AE281" s="4">
        <f>"RECONCILIAÇÃO MEDICAMENTOSA"&amp;CHAR(10)&amp;IF(G281&lt;&gt;"","Medicamentos de uso prévio: "&amp;G281&amp;".","Sem medicamentos de uso prévio relatados.")&amp;CHAR(10)&amp;IF(H281&lt;&gt;"","Histórico de alergia/RAM: "&amp;H281&amp;".","Nega alergias/RAM conhecidas.")</f>
      </c>
      <c r="AF281" s="4">
        <f>AE281&amp;CHAR(10)&amp;CHAR(10)&amp;"1. Evolução Clínica"&amp;CHAR(10)&amp;TEXTJOIN(" ",TRUE,"Paciente "&amp;I281&amp;", "&amp;IF(J281="","sem DVA","em uso de "&amp;J281)&amp;".",IF(K281&lt;&gt;"","Em "&amp;K281&amp;IF(L281&lt;&gt;""," ("&amp;L281&amp;")","")&amp;IF(M281&lt;&gt;"", ", "&amp;M281,"")&amp;IF(N281&lt;&gt;"", ", sob analgosedação com "&amp;N281,"")&amp;".",""),IF(O281&lt;&gt;"",O281&amp;IF(P281&lt;&gt;"", ", com "&amp;LOWER(P281),"")&amp;IF(Q281&lt;&gt;"", " — "&amp;Q281,"")&amp;".",""),IF(R281="Febre","Apresentou episódio febril nas últimas 24h"&amp;IF(S281&lt;&gt;""," ("&amp;S281&amp;")","")&amp;".",IF(R281="Afebril","Encontra-se afebril.","")),IF(T281&lt;&gt;"",IF(U281="Sim","Apresenta disfunção renal aguda ","Função renal preservada ")&amp;"("&amp;T281&amp;").",""),IF(V281&lt;&gt;"","Em uso do esquema antimicrobiano com "&amp;V281&amp;".",""),IF(TEXTJOIN(", ",TRUE,IF(W281&lt;&gt;"","TEV ("&amp;W281&amp;")",""),IF(X281&lt;&gt;"","LAMG ("&amp;X281&amp;")",""),IF(Y281&lt;&gt;"","úlcera de córnea com "&amp;Y281,""))&lt;&gt;"","Em uso de profilaxia: "&amp;TEXTJOIN(", ",TRUE,IF(W281&lt;&gt;"","TEV ("&amp;W281&amp;")",""),IF(X281&lt;&gt;"","LAMG ("&amp;X281&amp;")",""),IF(Y281&lt;&gt;"","úlcera de córnea com "&amp;Y281,""))&amp;".",""))&amp;CHAR(10)&amp;CHAR(10)&amp;"2. Farmacoterapia"&amp;CHAR(10)&amp;IF(Z281&lt;&gt;"","Corticoide/DART: "&amp;Z281,"Sem corticoide/DART registrado.")&amp;CHAR(10)&amp;CHAR(10)&amp;"3. Conduta Farmacêutica"&amp;CHAR(10)&amp;IF(TEXTJOIN(CHAR(10),TRUE,AB281,AC281,AD281)="","Nenhuma intervenção registrada hoje.",TEXTJOIN(CHAR(10),TRUE,AB281,AC281,AD281))&amp;CHAR(10)&amp;CHAR(10)&amp;"4. Plano Terapêutico"&amp;CHAR(10)&amp;IF(AA281&lt;&gt;"",AA281,"Não definido.")</f>
      </c>
    </row>
    <row r="282" spans="1:32" x14ac:dyDescent="0.25">
      <c r="A282" s="4"/>
      <c r="B282" s="6">
        <f>IFERROR(INDEX(Pacientes!$A:$A,MATCH($A282,Pacientes!$B:$B,0)),"")</f>
      </c>
      <c r="C282" s="6">
        <f>IFERROR(INDEX(Pacientes!$C:$C,MATCH($A282,Pacientes!$B:$B,0)),"")</f>
      </c>
      <c r="D282" s="6">
        <f>IFERROR(INDEX(Pacientes!$D:$D,MATCH($A282,Pacientes!$B:$B,0)),"")</f>
      </c>
      <c r="E282" s="6">
        <f>IFERROR(INDEX(Pacientes!$E:$E,MATCH($A282,Pacientes!$B:$B,0)),"")</f>
      </c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>
        <f>IFERROR(INDEX(Intervenções!$K$2:$K$300,AGGREGATE(15,6,(ROW(Intervenções!$K$2:$K$300)-ROW(Intervenções!$K$2)+1)/((Intervenções!$B$2:$B$300=A282)*(Intervenções!$A$2:$A$300=F282)*(Intervenções!$K$2:$K$300&lt;&gt;"")),1)),"")</f>
      </c>
      <c r="AC282" s="4">
        <f>IFERROR(INDEX(Intervenções!$K$2:$K$300,AGGREGATE(15,6,(ROW(Intervenções!$K$2:$K$300)-ROW(Intervenções!$K$2)+1)/((Intervenções!$B$2:$B$300=A282)*(Intervenções!$A$2:$A$300=F282)*(Intervenções!$K$2:$K$300&lt;&gt;"")),2)),"")</f>
      </c>
      <c r="AD282" s="4">
        <f>IFERROR(INDEX(Intervenções!$K$2:$K$300,AGGREGATE(15,6,(ROW(Intervenções!$K$2:$K$300)-ROW(Intervenções!$K$2)+1)/((Intervenções!$B$2:$B$300=A282)*(Intervenções!$A$2:$A$300=F282)*(Intervenções!$K$2:$K$300&lt;&gt;"")),3)),"")</f>
      </c>
      <c r="AE282" s="4">
        <f>"RECONCILIAÇÃO MEDICAMENTOSA"&amp;CHAR(10)&amp;IF(G282&lt;&gt;"","Medicamentos de uso prévio: "&amp;G282&amp;".","Sem medicamentos de uso prévio relatados.")&amp;CHAR(10)&amp;IF(H282&lt;&gt;"","Histórico de alergia/RAM: "&amp;H282&amp;".","Nega alergias/RAM conhecidas.")</f>
      </c>
      <c r="AF282" s="4">
        <f>AE282&amp;CHAR(10)&amp;CHAR(10)&amp;"1. Evolução Clínica"&amp;CHAR(10)&amp;TEXTJOIN(" ",TRUE,"Paciente "&amp;I282&amp;", "&amp;IF(J282="","sem DVA","em uso de "&amp;J282)&amp;".",IF(K282&lt;&gt;"","Em "&amp;K282&amp;IF(L282&lt;&gt;""," ("&amp;L282&amp;")","")&amp;IF(M282&lt;&gt;"", ", "&amp;M282,"")&amp;IF(N282&lt;&gt;"", ", sob analgosedação com "&amp;N282,"")&amp;".",""),IF(O282&lt;&gt;"",O282&amp;IF(P282&lt;&gt;"", ", com "&amp;LOWER(P282),"")&amp;IF(Q282&lt;&gt;"", " — "&amp;Q282,"")&amp;".",""),IF(R282="Febre","Apresentou episódio febril nas últimas 24h"&amp;IF(S282&lt;&gt;""," ("&amp;S282&amp;")","")&amp;".",IF(R282="Afebril","Encontra-se afebril.","")),IF(T282&lt;&gt;"",IF(U282="Sim","Apresenta disfunção renal aguda ","Função renal preservada ")&amp;"("&amp;T282&amp;").",""),IF(V282&lt;&gt;"","Em uso do esquema antimicrobiano com "&amp;V282&amp;".",""),IF(TEXTJOIN(", ",TRUE,IF(W282&lt;&gt;"","TEV ("&amp;W282&amp;")",""),IF(X282&lt;&gt;"","LAMG ("&amp;X282&amp;")",""),IF(Y282&lt;&gt;"","úlcera de córnea com "&amp;Y282,""))&lt;&gt;"","Em uso de profilaxia: "&amp;TEXTJOIN(", ",TRUE,IF(W282&lt;&gt;"","TEV ("&amp;W282&amp;")",""),IF(X282&lt;&gt;"","LAMG ("&amp;X282&amp;")",""),IF(Y282&lt;&gt;"","úlcera de córnea com "&amp;Y282,""))&amp;".",""))&amp;CHAR(10)&amp;CHAR(10)&amp;"2. Farmacoterapia"&amp;CHAR(10)&amp;IF(Z282&lt;&gt;"","Corticoide/DART: "&amp;Z282,"Sem corticoide/DART registrado.")&amp;CHAR(10)&amp;CHAR(10)&amp;"3. Conduta Farmacêutica"&amp;CHAR(10)&amp;IF(TEXTJOIN(CHAR(10),TRUE,AB282,AC282,AD282)="","Nenhuma intervenção registrada hoje.",TEXTJOIN(CHAR(10),TRUE,AB282,AC282,AD282))&amp;CHAR(10)&amp;CHAR(10)&amp;"4. Plano Terapêutico"&amp;CHAR(10)&amp;IF(AA282&lt;&gt;"",AA282,"Não definido.")</f>
      </c>
    </row>
    <row r="283" spans="1:32" x14ac:dyDescent="0.25">
      <c r="A283" s="4"/>
      <c r="B283" s="6">
        <f>IFERROR(INDEX(Pacientes!$A:$A,MATCH($A283,Pacientes!$B:$B,0)),"")</f>
      </c>
      <c r="C283" s="6">
        <f>IFERROR(INDEX(Pacientes!$C:$C,MATCH($A283,Pacientes!$B:$B,0)),"")</f>
      </c>
      <c r="D283" s="6">
        <f>IFERROR(INDEX(Pacientes!$D:$D,MATCH($A283,Pacientes!$B:$B,0)),"")</f>
      </c>
      <c r="E283" s="6">
        <f>IFERROR(INDEX(Pacientes!$E:$E,MATCH($A283,Pacientes!$B:$B,0)),"")</f>
      </c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>
        <f>IFERROR(INDEX(Intervenções!$K$2:$K$300,AGGREGATE(15,6,(ROW(Intervenções!$K$2:$K$300)-ROW(Intervenções!$K$2)+1)/((Intervenções!$B$2:$B$300=A283)*(Intervenções!$A$2:$A$300=F283)*(Intervenções!$K$2:$K$300&lt;&gt;"")),1)),"")</f>
      </c>
      <c r="AC283" s="4">
        <f>IFERROR(INDEX(Intervenções!$K$2:$K$300,AGGREGATE(15,6,(ROW(Intervenções!$K$2:$K$300)-ROW(Intervenções!$K$2)+1)/((Intervenções!$B$2:$B$300=A283)*(Intervenções!$A$2:$A$300=F283)*(Intervenções!$K$2:$K$300&lt;&gt;"")),2)),"")</f>
      </c>
      <c r="AD283" s="4">
        <f>IFERROR(INDEX(Intervenções!$K$2:$K$300,AGGREGATE(15,6,(ROW(Intervenções!$K$2:$K$300)-ROW(Intervenções!$K$2)+1)/((Intervenções!$B$2:$B$300=A283)*(Intervenções!$A$2:$A$300=F283)*(Intervenções!$K$2:$K$300&lt;&gt;"")),3)),"")</f>
      </c>
      <c r="AE283" s="4">
        <f>"RECONCILIAÇÃO MEDICAMENTOSA"&amp;CHAR(10)&amp;IF(G283&lt;&gt;"","Medicamentos de uso prévio: "&amp;G283&amp;".","Sem medicamentos de uso prévio relatados.")&amp;CHAR(10)&amp;IF(H283&lt;&gt;"","Histórico de alergia/RAM: "&amp;H283&amp;".","Nega alergias/RAM conhecidas.")</f>
      </c>
      <c r="AF283" s="4">
        <f>AE283&amp;CHAR(10)&amp;CHAR(10)&amp;"1. Evolução Clínica"&amp;CHAR(10)&amp;TEXTJOIN(" ",TRUE,"Paciente "&amp;I283&amp;", "&amp;IF(J283="","sem DVA","em uso de "&amp;J283)&amp;".",IF(K283&lt;&gt;"","Em "&amp;K283&amp;IF(L283&lt;&gt;""," ("&amp;L283&amp;")","")&amp;IF(M283&lt;&gt;"", ", "&amp;M283,"")&amp;IF(N283&lt;&gt;"", ", sob analgosedação com "&amp;N283,"")&amp;".",""),IF(O283&lt;&gt;"",O283&amp;IF(P283&lt;&gt;"", ", com "&amp;LOWER(P283),"")&amp;IF(Q283&lt;&gt;"", " — "&amp;Q283,"")&amp;".",""),IF(R283="Febre","Apresentou episódio febril nas últimas 24h"&amp;IF(S283&lt;&gt;""," ("&amp;S283&amp;")","")&amp;".",IF(R283="Afebril","Encontra-se afebril.","")),IF(T283&lt;&gt;"",IF(U283="Sim","Apresenta disfunção renal aguda ","Função renal preservada ")&amp;"("&amp;T283&amp;").",""),IF(V283&lt;&gt;"","Em uso do esquema antimicrobiano com "&amp;V283&amp;".",""),IF(TEXTJOIN(", ",TRUE,IF(W283&lt;&gt;"","TEV ("&amp;W283&amp;")",""),IF(X283&lt;&gt;"","LAMG ("&amp;X283&amp;")",""),IF(Y283&lt;&gt;"","úlcera de córnea com "&amp;Y283,""))&lt;&gt;"","Em uso de profilaxia: "&amp;TEXTJOIN(", ",TRUE,IF(W283&lt;&gt;"","TEV ("&amp;W283&amp;")",""),IF(X283&lt;&gt;"","LAMG ("&amp;X283&amp;")",""),IF(Y283&lt;&gt;"","úlcera de córnea com "&amp;Y283,""))&amp;".",""))&amp;CHAR(10)&amp;CHAR(10)&amp;"2. Farmacoterapia"&amp;CHAR(10)&amp;IF(Z283&lt;&gt;"","Corticoide/DART: "&amp;Z283,"Sem corticoide/DART registrado.")&amp;CHAR(10)&amp;CHAR(10)&amp;"3. Conduta Farmacêutica"&amp;CHAR(10)&amp;IF(TEXTJOIN(CHAR(10),TRUE,AB283,AC283,AD283)="","Nenhuma intervenção registrada hoje.",TEXTJOIN(CHAR(10),TRUE,AB283,AC283,AD283))&amp;CHAR(10)&amp;CHAR(10)&amp;"4. Plano Terapêutico"&amp;CHAR(10)&amp;IF(AA283&lt;&gt;"",AA283,"Não definido.")</f>
      </c>
    </row>
    <row r="284" spans="1:32" x14ac:dyDescent="0.25">
      <c r="A284" s="4"/>
      <c r="B284" s="6">
        <f>IFERROR(INDEX(Pacientes!$A:$A,MATCH($A284,Pacientes!$B:$B,0)),"")</f>
      </c>
      <c r="C284" s="6">
        <f>IFERROR(INDEX(Pacientes!$C:$C,MATCH($A284,Pacientes!$B:$B,0)),"")</f>
      </c>
      <c r="D284" s="6">
        <f>IFERROR(INDEX(Pacientes!$D:$D,MATCH($A284,Pacientes!$B:$B,0)),"")</f>
      </c>
      <c r="E284" s="6">
        <f>IFERROR(INDEX(Pacientes!$E:$E,MATCH($A284,Pacientes!$B:$B,0)),"")</f>
      </c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>
        <f>IFERROR(INDEX(Intervenções!$K$2:$K$300,AGGREGATE(15,6,(ROW(Intervenções!$K$2:$K$300)-ROW(Intervenções!$K$2)+1)/((Intervenções!$B$2:$B$300=A284)*(Intervenções!$A$2:$A$300=F284)*(Intervenções!$K$2:$K$300&lt;&gt;"")),1)),"")</f>
      </c>
      <c r="AC284" s="4">
        <f>IFERROR(INDEX(Intervenções!$K$2:$K$300,AGGREGATE(15,6,(ROW(Intervenções!$K$2:$K$300)-ROW(Intervenções!$K$2)+1)/((Intervenções!$B$2:$B$300=A284)*(Intervenções!$A$2:$A$300=F284)*(Intervenções!$K$2:$K$300&lt;&gt;"")),2)),"")</f>
      </c>
      <c r="AD284" s="4">
        <f>IFERROR(INDEX(Intervenções!$K$2:$K$300,AGGREGATE(15,6,(ROW(Intervenções!$K$2:$K$300)-ROW(Intervenções!$K$2)+1)/((Intervenções!$B$2:$B$300=A284)*(Intervenções!$A$2:$A$300=F284)*(Intervenções!$K$2:$K$300&lt;&gt;"")),3)),"")</f>
      </c>
      <c r="AE284" s="4">
        <f>"RECONCILIAÇÃO MEDICAMENTOSA"&amp;CHAR(10)&amp;IF(G284&lt;&gt;"","Medicamentos de uso prévio: "&amp;G284&amp;".","Sem medicamentos de uso prévio relatados.")&amp;CHAR(10)&amp;IF(H284&lt;&gt;"","Histórico de alergia/RAM: "&amp;H284&amp;".","Nega alergias/RAM conhecidas.")</f>
      </c>
      <c r="AF284" s="4">
        <f>AE284&amp;CHAR(10)&amp;CHAR(10)&amp;"1. Evolução Clínica"&amp;CHAR(10)&amp;TEXTJOIN(" ",TRUE,"Paciente "&amp;I284&amp;", "&amp;IF(J284="","sem DVA","em uso de "&amp;J284)&amp;".",IF(K284&lt;&gt;"","Em "&amp;K284&amp;IF(L284&lt;&gt;""," ("&amp;L284&amp;")","")&amp;IF(M284&lt;&gt;"", ", "&amp;M284,"")&amp;IF(N284&lt;&gt;"", ", sob analgosedação com "&amp;N284,"")&amp;".",""),IF(O284&lt;&gt;"",O284&amp;IF(P284&lt;&gt;"", ", com "&amp;LOWER(P284),"")&amp;IF(Q284&lt;&gt;"", " — "&amp;Q284,"")&amp;".",""),IF(R284="Febre","Apresentou episódio febril nas últimas 24h"&amp;IF(S284&lt;&gt;""," ("&amp;S284&amp;")","")&amp;".",IF(R284="Afebril","Encontra-se afebril.","")),IF(T284&lt;&gt;"",IF(U284="Sim","Apresenta disfunção renal aguda ","Função renal preservada ")&amp;"("&amp;T284&amp;").",""),IF(V284&lt;&gt;"","Em uso do esquema antimicrobiano com "&amp;V284&amp;".",""),IF(TEXTJOIN(", ",TRUE,IF(W284&lt;&gt;"","TEV ("&amp;W284&amp;")",""),IF(X284&lt;&gt;"","LAMG ("&amp;X284&amp;")",""),IF(Y284&lt;&gt;"","úlcera de córnea com "&amp;Y284,""))&lt;&gt;"","Em uso de profilaxia: "&amp;TEXTJOIN(", ",TRUE,IF(W284&lt;&gt;"","TEV ("&amp;W284&amp;")",""),IF(X284&lt;&gt;"","LAMG ("&amp;X284&amp;")",""),IF(Y284&lt;&gt;"","úlcera de córnea com "&amp;Y284,""))&amp;".",""))&amp;CHAR(10)&amp;CHAR(10)&amp;"2. Farmacoterapia"&amp;CHAR(10)&amp;IF(Z284&lt;&gt;"","Corticoide/DART: "&amp;Z284,"Sem corticoide/DART registrado.")&amp;CHAR(10)&amp;CHAR(10)&amp;"3. Conduta Farmacêutica"&amp;CHAR(10)&amp;IF(TEXTJOIN(CHAR(10),TRUE,AB284,AC284,AD284)="","Nenhuma intervenção registrada hoje.",TEXTJOIN(CHAR(10),TRUE,AB284,AC284,AD284))&amp;CHAR(10)&amp;CHAR(10)&amp;"4. Plano Terapêutico"&amp;CHAR(10)&amp;IF(AA284&lt;&gt;"",AA284,"Não definido.")</f>
      </c>
    </row>
    <row r="285" spans="1:32" x14ac:dyDescent="0.25">
      <c r="A285" s="4"/>
      <c r="B285" s="6">
        <f>IFERROR(INDEX(Pacientes!$A:$A,MATCH($A285,Pacientes!$B:$B,0)),"")</f>
      </c>
      <c r="C285" s="6">
        <f>IFERROR(INDEX(Pacientes!$C:$C,MATCH($A285,Pacientes!$B:$B,0)),"")</f>
      </c>
      <c r="D285" s="6">
        <f>IFERROR(INDEX(Pacientes!$D:$D,MATCH($A285,Pacientes!$B:$B,0)),"")</f>
      </c>
      <c r="E285" s="6">
        <f>IFERROR(INDEX(Pacientes!$E:$E,MATCH($A285,Pacientes!$B:$B,0)),"")</f>
      </c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>
        <f>IFERROR(INDEX(Intervenções!$K$2:$K$300,AGGREGATE(15,6,(ROW(Intervenções!$K$2:$K$300)-ROW(Intervenções!$K$2)+1)/((Intervenções!$B$2:$B$300=A285)*(Intervenções!$A$2:$A$300=F285)*(Intervenções!$K$2:$K$300&lt;&gt;"")),1)),"")</f>
      </c>
      <c r="AC285" s="4">
        <f>IFERROR(INDEX(Intervenções!$K$2:$K$300,AGGREGATE(15,6,(ROW(Intervenções!$K$2:$K$300)-ROW(Intervenções!$K$2)+1)/((Intervenções!$B$2:$B$300=A285)*(Intervenções!$A$2:$A$300=F285)*(Intervenções!$K$2:$K$300&lt;&gt;"")),2)),"")</f>
      </c>
      <c r="AD285" s="4">
        <f>IFERROR(INDEX(Intervenções!$K$2:$K$300,AGGREGATE(15,6,(ROW(Intervenções!$K$2:$K$300)-ROW(Intervenções!$K$2)+1)/((Intervenções!$B$2:$B$300=A285)*(Intervenções!$A$2:$A$300=F285)*(Intervenções!$K$2:$K$300&lt;&gt;"")),3)),"")</f>
      </c>
      <c r="AE285" s="4">
        <f>"RECONCILIAÇÃO MEDICAMENTOSA"&amp;CHAR(10)&amp;IF(G285&lt;&gt;"","Medicamentos de uso prévio: "&amp;G285&amp;".","Sem medicamentos de uso prévio relatados.")&amp;CHAR(10)&amp;IF(H285&lt;&gt;"","Histórico de alergia/RAM: "&amp;H285&amp;".","Nega alergias/RAM conhecidas.")</f>
      </c>
      <c r="AF285" s="4">
        <f>AE285&amp;CHAR(10)&amp;CHAR(10)&amp;"1. Evolução Clínica"&amp;CHAR(10)&amp;TEXTJOIN(" ",TRUE,"Paciente "&amp;I285&amp;", "&amp;IF(J285="","sem DVA","em uso de "&amp;J285)&amp;".",IF(K285&lt;&gt;"","Em "&amp;K285&amp;IF(L285&lt;&gt;""," ("&amp;L285&amp;")","")&amp;IF(M285&lt;&gt;"", ", "&amp;M285,"")&amp;IF(N285&lt;&gt;"", ", sob analgosedação com "&amp;N285,"")&amp;".",""),IF(O285&lt;&gt;"",O285&amp;IF(P285&lt;&gt;"", ", com "&amp;LOWER(P285),"")&amp;IF(Q285&lt;&gt;"", " — "&amp;Q285,"")&amp;".",""),IF(R285="Febre","Apresentou episódio febril nas últimas 24h"&amp;IF(S285&lt;&gt;""," ("&amp;S285&amp;")","")&amp;".",IF(R285="Afebril","Encontra-se afebril.","")),IF(T285&lt;&gt;"",IF(U285="Sim","Apresenta disfunção renal aguda ","Função renal preservada ")&amp;"("&amp;T285&amp;").",""),IF(V285&lt;&gt;"","Em uso do esquema antimicrobiano com "&amp;V285&amp;".",""),IF(TEXTJOIN(", ",TRUE,IF(W285&lt;&gt;"","TEV ("&amp;W285&amp;")",""),IF(X285&lt;&gt;"","LAMG ("&amp;X285&amp;")",""),IF(Y285&lt;&gt;"","úlcera de córnea com "&amp;Y285,""))&lt;&gt;"","Em uso de profilaxia: "&amp;TEXTJOIN(", ",TRUE,IF(W285&lt;&gt;"","TEV ("&amp;W285&amp;")",""),IF(X285&lt;&gt;"","LAMG ("&amp;X285&amp;")",""),IF(Y285&lt;&gt;"","úlcera de córnea com "&amp;Y285,""))&amp;".",""))&amp;CHAR(10)&amp;CHAR(10)&amp;"2. Farmacoterapia"&amp;CHAR(10)&amp;IF(Z285&lt;&gt;"","Corticoide/DART: "&amp;Z285,"Sem corticoide/DART registrado.")&amp;CHAR(10)&amp;CHAR(10)&amp;"3. Conduta Farmacêutica"&amp;CHAR(10)&amp;IF(TEXTJOIN(CHAR(10),TRUE,AB285,AC285,AD285)="","Nenhuma intervenção registrada hoje.",TEXTJOIN(CHAR(10),TRUE,AB285,AC285,AD285))&amp;CHAR(10)&amp;CHAR(10)&amp;"4. Plano Terapêutico"&amp;CHAR(10)&amp;IF(AA285&lt;&gt;"",AA285,"Não definido.")</f>
      </c>
    </row>
    <row r="286" spans="1:32" x14ac:dyDescent="0.25">
      <c r="A286" s="4"/>
      <c r="B286" s="6">
        <f>IFERROR(INDEX(Pacientes!$A:$A,MATCH($A286,Pacientes!$B:$B,0)),"")</f>
      </c>
      <c r="C286" s="6">
        <f>IFERROR(INDEX(Pacientes!$C:$C,MATCH($A286,Pacientes!$B:$B,0)),"")</f>
      </c>
      <c r="D286" s="6">
        <f>IFERROR(INDEX(Pacientes!$D:$D,MATCH($A286,Pacientes!$B:$B,0)),"")</f>
      </c>
      <c r="E286" s="6">
        <f>IFERROR(INDEX(Pacientes!$E:$E,MATCH($A286,Pacientes!$B:$B,0)),"")</f>
      </c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>
        <f>IFERROR(INDEX(Intervenções!$K$2:$K$300,AGGREGATE(15,6,(ROW(Intervenções!$K$2:$K$300)-ROW(Intervenções!$K$2)+1)/((Intervenções!$B$2:$B$300=A286)*(Intervenções!$A$2:$A$300=F286)*(Intervenções!$K$2:$K$300&lt;&gt;"")),1)),"")</f>
      </c>
      <c r="AC286" s="4">
        <f>IFERROR(INDEX(Intervenções!$K$2:$K$300,AGGREGATE(15,6,(ROW(Intervenções!$K$2:$K$300)-ROW(Intervenções!$K$2)+1)/((Intervenções!$B$2:$B$300=A286)*(Intervenções!$A$2:$A$300=F286)*(Intervenções!$K$2:$K$300&lt;&gt;"")),2)),"")</f>
      </c>
      <c r="AD286" s="4">
        <f>IFERROR(INDEX(Intervenções!$K$2:$K$300,AGGREGATE(15,6,(ROW(Intervenções!$K$2:$K$300)-ROW(Intervenções!$K$2)+1)/((Intervenções!$B$2:$B$300=A286)*(Intervenções!$A$2:$A$300=F286)*(Intervenções!$K$2:$K$300&lt;&gt;"")),3)),"")</f>
      </c>
      <c r="AE286" s="4">
        <f>"RECONCILIAÇÃO MEDICAMENTOSA"&amp;CHAR(10)&amp;IF(G286&lt;&gt;"","Medicamentos de uso prévio: "&amp;G286&amp;".","Sem medicamentos de uso prévio relatados.")&amp;CHAR(10)&amp;IF(H286&lt;&gt;"","Histórico de alergia/RAM: "&amp;H286&amp;".","Nega alergias/RAM conhecidas.")</f>
      </c>
      <c r="AF286" s="4">
        <f>AE286&amp;CHAR(10)&amp;CHAR(10)&amp;"1. Evolução Clínica"&amp;CHAR(10)&amp;TEXTJOIN(" ",TRUE,"Paciente "&amp;I286&amp;", "&amp;IF(J286="","sem DVA","em uso de "&amp;J286)&amp;".",IF(K286&lt;&gt;"","Em "&amp;K286&amp;IF(L286&lt;&gt;""," ("&amp;L286&amp;")","")&amp;IF(M286&lt;&gt;"", ", "&amp;M286,"")&amp;IF(N286&lt;&gt;"", ", sob analgosedação com "&amp;N286,"")&amp;".",""),IF(O286&lt;&gt;"",O286&amp;IF(P286&lt;&gt;"", ", com "&amp;LOWER(P286),"")&amp;IF(Q286&lt;&gt;"", " — "&amp;Q286,"")&amp;".",""),IF(R286="Febre","Apresentou episódio febril nas últimas 24h"&amp;IF(S286&lt;&gt;""," ("&amp;S286&amp;")","")&amp;".",IF(R286="Afebril","Encontra-se afebril.","")),IF(T286&lt;&gt;"",IF(U286="Sim","Apresenta disfunção renal aguda ","Função renal preservada ")&amp;"("&amp;T286&amp;").",""),IF(V286&lt;&gt;"","Em uso do esquema antimicrobiano com "&amp;V286&amp;".",""),IF(TEXTJOIN(", ",TRUE,IF(W286&lt;&gt;"","TEV ("&amp;W286&amp;")",""),IF(X286&lt;&gt;"","LAMG ("&amp;X286&amp;")",""),IF(Y286&lt;&gt;"","úlcera de córnea com "&amp;Y286,""))&lt;&gt;"","Em uso de profilaxia: "&amp;TEXTJOIN(", ",TRUE,IF(W286&lt;&gt;"","TEV ("&amp;W286&amp;")",""),IF(X286&lt;&gt;"","LAMG ("&amp;X286&amp;")",""),IF(Y286&lt;&gt;"","úlcera de córnea com "&amp;Y286,""))&amp;".",""))&amp;CHAR(10)&amp;CHAR(10)&amp;"2. Farmacoterapia"&amp;CHAR(10)&amp;IF(Z286&lt;&gt;"","Corticoide/DART: "&amp;Z286,"Sem corticoide/DART registrado.")&amp;CHAR(10)&amp;CHAR(10)&amp;"3. Conduta Farmacêutica"&amp;CHAR(10)&amp;IF(TEXTJOIN(CHAR(10),TRUE,AB286,AC286,AD286)="","Nenhuma intervenção registrada hoje.",TEXTJOIN(CHAR(10),TRUE,AB286,AC286,AD286))&amp;CHAR(10)&amp;CHAR(10)&amp;"4. Plano Terapêutico"&amp;CHAR(10)&amp;IF(AA286&lt;&gt;"",AA286,"Não definido.")</f>
      </c>
    </row>
    <row r="287" spans="1:32" x14ac:dyDescent="0.25">
      <c r="A287" s="4"/>
      <c r="B287" s="6">
        <f>IFERROR(INDEX(Pacientes!$A:$A,MATCH($A287,Pacientes!$B:$B,0)),"")</f>
      </c>
      <c r="C287" s="6">
        <f>IFERROR(INDEX(Pacientes!$C:$C,MATCH($A287,Pacientes!$B:$B,0)),"")</f>
      </c>
      <c r="D287" s="6">
        <f>IFERROR(INDEX(Pacientes!$D:$D,MATCH($A287,Pacientes!$B:$B,0)),"")</f>
      </c>
      <c r="E287" s="6">
        <f>IFERROR(INDEX(Pacientes!$E:$E,MATCH($A287,Pacientes!$B:$B,0)),"")</f>
      </c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>
        <f>IFERROR(INDEX(Intervenções!$K$2:$K$300,AGGREGATE(15,6,(ROW(Intervenções!$K$2:$K$300)-ROW(Intervenções!$K$2)+1)/((Intervenções!$B$2:$B$300=A287)*(Intervenções!$A$2:$A$300=F287)*(Intervenções!$K$2:$K$300&lt;&gt;"")),1)),"")</f>
      </c>
      <c r="AC287" s="4">
        <f>IFERROR(INDEX(Intervenções!$K$2:$K$300,AGGREGATE(15,6,(ROW(Intervenções!$K$2:$K$300)-ROW(Intervenções!$K$2)+1)/((Intervenções!$B$2:$B$300=A287)*(Intervenções!$A$2:$A$300=F287)*(Intervenções!$K$2:$K$300&lt;&gt;"")),2)),"")</f>
      </c>
      <c r="AD287" s="4">
        <f>IFERROR(INDEX(Intervenções!$K$2:$K$300,AGGREGATE(15,6,(ROW(Intervenções!$K$2:$K$300)-ROW(Intervenções!$K$2)+1)/((Intervenções!$B$2:$B$300=A287)*(Intervenções!$A$2:$A$300=F287)*(Intervenções!$K$2:$K$300&lt;&gt;"")),3)),"")</f>
      </c>
      <c r="AE287" s="4">
        <f>"RECONCILIAÇÃO MEDICAMENTOSA"&amp;CHAR(10)&amp;IF(G287&lt;&gt;"","Medicamentos de uso prévio: "&amp;G287&amp;".","Sem medicamentos de uso prévio relatados.")&amp;CHAR(10)&amp;IF(H287&lt;&gt;"","Histórico de alergia/RAM: "&amp;H287&amp;".","Nega alergias/RAM conhecidas.")</f>
      </c>
      <c r="AF287" s="4">
        <f>AE287&amp;CHAR(10)&amp;CHAR(10)&amp;"1. Evolução Clínica"&amp;CHAR(10)&amp;TEXTJOIN(" ",TRUE,"Paciente "&amp;I287&amp;", "&amp;IF(J287="","sem DVA","em uso de "&amp;J287)&amp;".",IF(K287&lt;&gt;"","Em "&amp;K287&amp;IF(L287&lt;&gt;""," ("&amp;L287&amp;")","")&amp;IF(M287&lt;&gt;"", ", "&amp;M287,"")&amp;IF(N287&lt;&gt;"", ", sob analgosedação com "&amp;N287,"")&amp;".",""),IF(O287&lt;&gt;"",O287&amp;IF(P287&lt;&gt;"", ", com "&amp;LOWER(P287),"")&amp;IF(Q287&lt;&gt;"", " — "&amp;Q287,"")&amp;".",""),IF(R287="Febre","Apresentou episódio febril nas últimas 24h"&amp;IF(S287&lt;&gt;""," ("&amp;S287&amp;")","")&amp;".",IF(R287="Afebril","Encontra-se afebril.","")),IF(T287&lt;&gt;"",IF(U287="Sim","Apresenta disfunção renal aguda ","Função renal preservada ")&amp;"("&amp;T287&amp;").",""),IF(V287&lt;&gt;"","Em uso do esquema antimicrobiano com "&amp;V287&amp;".",""),IF(TEXTJOIN(", ",TRUE,IF(W287&lt;&gt;"","TEV ("&amp;W287&amp;")",""),IF(X287&lt;&gt;"","LAMG ("&amp;X287&amp;")",""),IF(Y287&lt;&gt;"","úlcera de córnea com "&amp;Y287,""))&lt;&gt;"","Em uso de profilaxia: "&amp;TEXTJOIN(", ",TRUE,IF(W287&lt;&gt;"","TEV ("&amp;W287&amp;")",""),IF(X287&lt;&gt;"","LAMG ("&amp;X287&amp;")",""),IF(Y287&lt;&gt;"","úlcera de córnea com "&amp;Y287,""))&amp;".",""))&amp;CHAR(10)&amp;CHAR(10)&amp;"2. Farmacoterapia"&amp;CHAR(10)&amp;IF(Z287&lt;&gt;"","Corticoide/DART: "&amp;Z287,"Sem corticoide/DART registrado.")&amp;CHAR(10)&amp;CHAR(10)&amp;"3. Conduta Farmacêutica"&amp;CHAR(10)&amp;IF(TEXTJOIN(CHAR(10),TRUE,AB287,AC287,AD287)="","Nenhuma intervenção registrada hoje.",TEXTJOIN(CHAR(10),TRUE,AB287,AC287,AD287))&amp;CHAR(10)&amp;CHAR(10)&amp;"4. Plano Terapêutico"&amp;CHAR(10)&amp;IF(AA287&lt;&gt;"",AA287,"Não definido.")</f>
      </c>
    </row>
    <row r="288" spans="1:32" x14ac:dyDescent="0.25">
      <c r="A288" s="4"/>
      <c r="B288" s="6">
        <f>IFERROR(INDEX(Pacientes!$A:$A,MATCH($A288,Pacientes!$B:$B,0)),"")</f>
      </c>
      <c r="C288" s="6">
        <f>IFERROR(INDEX(Pacientes!$C:$C,MATCH($A288,Pacientes!$B:$B,0)),"")</f>
      </c>
      <c r="D288" s="6">
        <f>IFERROR(INDEX(Pacientes!$D:$D,MATCH($A288,Pacientes!$B:$B,0)),"")</f>
      </c>
      <c r="E288" s="6">
        <f>IFERROR(INDEX(Pacientes!$E:$E,MATCH($A288,Pacientes!$B:$B,0)),"")</f>
      </c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>
        <f>IFERROR(INDEX(Intervenções!$K$2:$K$300,AGGREGATE(15,6,(ROW(Intervenções!$K$2:$K$300)-ROW(Intervenções!$K$2)+1)/((Intervenções!$B$2:$B$300=A288)*(Intervenções!$A$2:$A$300=F288)*(Intervenções!$K$2:$K$300&lt;&gt;"")),1)),"")</f>
      </c>
      <c r="AC288" s="4">
        <f>IFERROR(INDEX(Intervenções!$K$2:$K$300,AGGREGATE(15,6,(ROW(Intervenções!$K$2:$K$300)-ROW(Intervenções!$K$2)+1)/((Intervenções!$B$2:$B$300=A288)*(Intervenções!$A$2:$A$300=F288)*(Intervenções!$K$2:$K$300&lt;&gt;"")),2)),"")</f>
      </c>
      <c r="AD288" s="4">
        <f>IFERROR(INDEX(Intervenções!$K$2:$K$300,AGGREGATE(15,6,(ROW(Intervenções!$K$2:$K$300)-ROW(Intervenções!$K$2)+1)/((Intervenções!$B$2:$B$300=A288)*(Intervenções!$A$2:$A$300=F288)*(Intervenções!$K$2:$K$300&lt;&gt;"")),3)),"")</f>
      </c>
      <c r="AE288" s="4">
        <f>"RECONCILIAÇÃO MEDICAMENTOSA"&amp;CHAR(10)&amp;IF(G288&lt;&gt;"","Medicamentos de uso prévio: "&amp;G288&amp;".","Sem medicamentos de uso prévio relatados.")&amp;CHAR(10)&amp;IF(H288&lt;&gt;"","Histórico de alergia/RAM: "&amp;H288&amp;".","Nega alergias/RAM conhecidas.")</f>
      </c>
      <c r="AF288" s="4">
        <f>AE288&amp;CHAR(10)&amp;CHAR(10)&amp;"1. Evolução Clínica"&amp;CHAR(10)&amp;TEXTJOIN(" ",TRUE,"Paciente "&amp;I288&amp;", "&amp;IF(J288="","sem DVA","em uso de "&amp;J288)&amp;".",IF(K288&lt;&gt;"","Em "&amp;K288&amp;IF(L288&lt;&gt;""," ("&amp;L288&amp;")","")&amp;IF(M288&lt;&gt;"", ", "&amp;M288,"")&amp;IF(N288&lt;&gt;"", ", sob analgosedação com "&amp;N288,"")&amp;".",""),IF(O288&lt;&gt;"",O288&amp;IF(P288&lt;&gt;"", ", com "&amp;LOWER(P288),"")&amp;IF(Q288&lt;&gt;"", " — "&amp;Q288,"")&amp;".",""),IF(R288="Febre","Apresentou episódio febril nas últimas 24h"&amp;IF(S288&lt;&gt;""," ("&amp;S288&amp;")","")&amp;".",IF(R288="Afebril","Encontra-se afebril.","")),IF(T288&lt;&gt;"",IF(U288="Sim","Apresenta disfunção renal aguda ","Função renal preservada ")&amp;"("&amp;T288&amp;").",""),IF(V288&lt;&gt;"","Em uso do esquema antimicrobiano com "&amp;V288&amp;".",""),IF(TEXTJOIN(", ",TRUE,IF(W288&lt;&gt;"","TEV ("&amp;W288&amp;")",""),IF(X288&lt;&gt;"","LAMG ("&amp;X288&amp;")",""),IF(Y288&lt;&gt;"","úlcera de córnea com "&amp;Y288,""))&lt;&gt;"","Em uso de profilaxia: "&amp;TEXTJOIN(", ",TRUE,IF(W288&lt;&gt;"","TEV ("&amp;W288&amp;")",""),IF(X288&lt;&gt;"","LAMG ("&amp;X288&amp;")",""),IF(Y288&lt;&gt;"","úlcera de córnea com "&amp;Y288,""))&amp;".",""))&amp;CHAR(10)&amp;CHAR(10)&amp;"2. Farmacoterapia"&amp;CHAR(10)&amp;IF(Z288&lt;&gt;"","Corticoide/DART: "&amp;Z288,"Sem corticoide/DART registrado.")&amp;CHAR(10)&amp;CHAR(10)&amp;"3. Conduta Farmacêutica"&amp;CHAR(10)&amp;IF(TEXTJOIN(CHAR(10),TRUE,AB288,AC288,AD288)="","Nenhuma intervenção registrada hoje.",TEXTJOIN(CHAR(10),TRUE,AB288,AC288,AD288))&amp;CHAR(10)&amp;CHAR(10)&amp;"4. Plano Terapêutico"&amp;CHAR(10)&amp;IF(AA288&lt;&gt;"",AA288,"Não definido.")</f>
      </c>
    </row>
    <row r="289" spans="1:32" x14ac:dyDescent="0.25">
      <c r="A289" s="4"/>
      <c r="B289" s="6">
        <f>IFERROR(INDEX(Pacientes!$A:$A,MATCH($A289,Pacientes!$B:$B,0)),"")</f>
      </c>
      <c r="C289" s="6">
        <f>IFERROR(INDEX(Pacientes!$C:$C,MATCH($A289,Pacientes!$B:$B,0)),"")</f>
      </c>
      <c r="D289" s="6">
        <f>IFERROR(INDEX(Pacientes!$D:$D,MATCH($A289,Pacientes!$B:$B,0)),"")</f>
      </c>
      <c r="E289" s="6">
        <f>IFERROR(INDEX(Pacientes!$E:$E,MATCH($A289,Pacientes!$B:$B,0)),"")</f>
      </c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>
        <f>IFERROR(INDEX(Intervenções!$K$2:$K$300,AGGREGATE(15,6,(ROW(Intervenções!$K$2:$K$300)-ROW(Intervenções!$K$2)+1)/((Intervenções!$B$2:$B$300=A289)*(Intervenções!$A$2:$A$300=F289)*(Intervenções!$K$2:$K$300&lt;&gt;"")),1)),"")</f>
      </c>
      <c r="AC289" s="4">
        <f>IFERROR(INDEX(Intervenções!$K$2:$K$300,AGGREGATE(15,6,(ROW(Intervenções!$K$2:$K$300)-ROW(Intervenções!$K$2)+1)/((Intervenções!$B$2:$B$300=A289)*(Intervenções!$A$2:$A$300=F289)*(Intervenções!$K$2:$K$300&lt;&gt;"")),2)),"")</f>
      </c>
      <c r="AD289" s="4">
        <f>IFERROR(INDEX(Intervenções!$K$2:$K$300,AGGREGATE(15,6,(ROW(Intervenções!$K$2:$K$300)-ROW(Intervenções!$K$2)+1)/((Intervenções!$B$2:$B$300=A289)*(Intervenções!$A$2:$A$300=F289)*(Intervenções!$K$2:$K$300&lt;&gt;"")),3)),"")</f>
      </c>
      <c r="AE289" s="4">
        <f>"RECONCILIAÇÃO MEDICAMENTOSA"&amp;CHAR(10)&amp;IF(G289&lt;&gt;"","Medicamentos de uso prévio: "&amp;G289&amp;".","Sem medicamentos de uso prévio relatados.")&amp;CHAR(10)&amp;IF(H289&lt;&gt;"","Histórico de alergia/RAM: "&amp;H289&amp;".","Nega alergias/RAM conhecidas.")</f>
      </c>
      <c r="AF289" s="4">
        <f>AE289&amp;CHAR(10)&amp;CHAR(10)&amp;"1. Evolução Clínica"&amp;CHAR(10)&amp;TEXTJOIN(" ",TRUE,"Paciente "&amp;I289&amp;", "&amp;IF(J289="","sem DVA","em uso de "&amp;J289)&amp;".",IF(K289&lt;&gt;"","Em "&amp;K289&amp;IF(L289&lt;&gt;""," ("&amp;L289&amp;")","")&amp;IF(M289&lt;&gt;"", ", "&amp;M289,"")&amp;IF(N289&lt;&gt;"", ", sob analgosedação com "&amp;N289,"")&amp;".",""),IF(O289&lt;&gt;"",O289&amp;IF(P289&lt;&gt;"", ", com "&amp;LOWER(P289),"")&amp;IF(Q289&lt;&gt;"", " — "&amp;Q289,"")&amp;".",""),IF(R289="Febre","Apresentou episódio febril nas últimas 24h"&amp;IF(S289&lt;&gt;""," ("&amp;S289&amp;")","")&amp;".",IF(R289="Afebril","Encontra-se afebril.","")),IF(T289&lt;&gt;"",IF(U289="Sim","Apresenta disfunção renal aguda ","Função renal preservada ")&amp;"("&amp;T289&amp;").",""),IF(V289&lt;&gt;"","Em uso do esquema antimicrobiano com "&amp;V289&amp;".",""),IF(TEXTJOIN(", ",TRUE,IF(W289&lt;&gt;"","TEV ("&amp;W289&amp;")",""),IF(X289&lt;&gt;"","LAMG ("&amp;X289&amp;")",""),IF(Y289&lt;&gt;"","úlcera de córnea com "&amp;Y289,""))&lt;&gt;"","Em uso de profilaxia: "&amp;TEXTJOIN(", ",TRUE,IF(W289&lt;&gt;"","TEV ("&amp;W289&amp;")",""),IF(X289&lt;&gt;"","LAMG ("&amp;X289&amp;")",""),IF(Y289&lt;&gt;"","úlcera de córnea com "&amp;Y289,""))&amp;".",""))&amp;CHAR(10)&amp;CHAR(10)&amp;"2. Farmacoterapia"&amp;CHAR(10)&amp;IF(Z289&lt;&gt;"","Corticoide/DART: "&amp;Z289,"Sem corticoide/DART registrado.")&amp;CHAR(10)&amp;CHAR(10)&amp;"3. Conduta Farmacêutica"&amp;CHAR(10)&amp;IF(TEXTJOIN(CHAR(10),TRUE,AB289,AC289,AD289)="","Nenhuma intervenção registrada hoje.",TEXTJOIN(CHAR(10),TRUE,AB289,AC289,AD289))&amp;CHAR(10)&amp;CHAR(10)&amp;"4. Plano Terapêutico"&amp;CHAR(10)&amp;IF(AA289&lt;&gt;"",AA289,"Não definido.")</f>
      </c>
    </row>
    <row r="290" spans="1:32" x14ac:dyDescent="0.25">
      <c r="A290" s="4"/>
      <c r="B290" s="6">
        <f>IFERROR(INDEX(Pacientes!$A:$A,MATCH($A290,Pacientes!$B:$B,0)),"")</f>
      </c>
      <c r="C290" s="6">
        <f>IFERROR(INDEX(Pacientes!$C:$C,MATCH($A290,Pacientes!$B:$B,0)),"")</f>
      </c>
      <c r="D290" s="6">
        <f>IFERROR(INDEX(Pacientes!$D:$D,MATCH($A290,Pacientes!$B:$B,0)),"")</f>
      </c>
      <c r="E290" s="6">
        <f>IFERROR(INDEX(Pacientes!$E:$E,MATCH($A290,Pacientes!$B:$B,0)),"")</f>
      </c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>
        <f>IFERROR(INDEX(Intervenções!$K$2:$K$300,AGGREGATE(15,6,(ROW(Intervenções!$K$2:$K$300)-ROW(Intervenções!$K$2)+1)/((Intervenções!$B$2:$B$300=A290)*(Intervenções!$A$2:$A$300=F290)*(Intervenções!$K$2:$K$300&lt;&gt;"")),1)),"")</f>
      </c>
      <c r="AC290" s="4">
        <f>IFERROR(INDEX(Intervenções!$K$2:$K$300,AGGREGATE(15,6,(ROW(Intervenções!$K$2:$K$300)-ROW(Intervenções!$K$2)+1)/((Intervenções!$B$2:$B$300=A290)*(Intervenções!$A$2:$A$300=F290)*(Intervenções!$K$2:$K$300&lt;&gt;"")),2)),"")</f>
      </c>
      <c r="AD290" s="4">
        <f>IFERROR(INDEX(Intervenções!$K$2:$K$300,AGGREGATE(15,6,(ROW(Intervenções!$K$2:$K$300)-ROW(Intervenções!$K$2)+1)/((Intervenções!$B$2:$B$300=A290)*(Intervenções!$A$2:$A$300=F290)*(Intervenções!$K$2:$K$300&lt;&gt;"")),3)),"")</f>
      </c>
      <c r="AE290" s="4">
        <f>"RECONCILIAÇÃO MEDICAMENTOSA"&amp;CHAR(10)&amp;IF(G290&lt;&gt;"","Medicamentos de uso prévio: "&amp;G290&amp;".","Sem medicamentos de uso prévio relatados.")&amp;CHAR(10)&amp;IF(H290&lt;&gt;"","Histórico de alergia/RAM: "&amp;H290&amp;".","Nega alergias/RAM conhecidas.")</f>
      </c>
      <c r="AF290" s="4">
        <f>AE290&amp;CHAR(10)&amp;CHAR(10)&amp;"1. Evolução Clínica"&amp;CHAR(10)&amp;TEXTJOIN(" ",TRUE,"Paciente "&amp;I290&amp;", "&amp;IF(J290="","sem DVA","em uso de "&amp;J290)&amp;".",IF(K290&lt;&gt;"","Em "&amp;K290&amp;IF(L290&lt;&gt;""," ("&amp;L290&amp;")","")&amp;IF(M290&lt;&gt;"", ", "&amp;M290,"")&amp;IF(N290&lt;&gt;"", ", sob analgosedação com "&amp;N290,"")&amp;".",""),IF(O290&lt;&gt;"",O290&amp;IF(P290&lt;&gt;"", ", com "&amp;LOWER(P290),"")&amp;IF(Q290&lt;&gt;"", " — "&amp;Q290,"")&amp;".",""),IF(R290="Febre","Apresentou episódio febril nas últimas 24h"&amp;IF(S290&lt;&gt;""," ("&amp;S290&amp;")","")&amp;".",IF(R290="Afebril","Encontra-se afebril.","")),IF(T290&lt;&gt;"",IF(U290="Sim","Apresenta disfunção renal aguda ","Função renal preservada ")&amp;"("&amp;T290&amp;").",""),IF(V290&lt;&gt;"","Em uso do esquema antimicrobiano com "&amp;V290&amp;".",""),IF(TEXTJOIN(", ",TRUE,IF(W290&lt;&gt;"","TEV ("&amp;W290&amp;")",""),IF(X290&lt;&gt;"","LAMG ("&amp;X290&amp;")",""),IF(Y290&lt;&gt;"","úlcera de córnea com "&amp;Y290,""))&lt;&gt;"","Em uso de profilaxia: "&amp;TEXTJOIN(", ",TRUE,IF(W290&lt;&gt;"","TEV ("&amp;W290&amp;")",""),IF(X290&lt;&gt;"","LAMG ("&amp;X290&amp;")",""),IF(Y290&lt;&gt;"","úlcera de córnea com "&amp;Y290,""))&amp;".",""))&amp;CHAR(10)&amp;CHAR(10)&amp;"2. Farmacoterapia"&amp;CHAR(10)&amp;IF(Z290&lt;&gt;"","Corticoide/DART: "&amp;Z290,"Sem corticoide/DART registrado.")&amp;CHAR(10)&amp;CHAR(10)&amp;"3. Conduta Farmacêutica"&amp;CHAR(10)&amp;IF(TEXTJOIN(CHAR(10),TRUE,AB290,AC290,AD290)="","Nenhuma intervenção registrada hoje.",TEXTJOIN(CHAR(10),TRUE,AB290,AC290,AD290))&amp;CHAR(10)&amp;CHAR(10)&amp;"4. Plano Terapêutico"&amp;CHAR(10)&amp;IF(AA290&lt;&gt;"",AA290,"Não definido.")</f>
      </c>
    </row>
    <row r="291" spans="1:32" x14ac:dyDescent="0.25">
      <c r="A291" s="4"/>
      <c r="B291" s="6">
        <f>IFERROR(INDEX(Pacientes!$A:$A,MATCH($A291,Pacientes!$B:$B,0)),"")</f>
      </c>
      <c r="C291" s="6">
        <f>IFERROR(INDEX(Pacientes!$C:$C,MATCH($A291,Pacientes!$B:$B,0)),"")</f>
      </c>
      <c r="D291" s="6">
        <f>IFERROR(INDEX(Pacientes!$D:$D,MATCH($A291,Pacientes!$B:$B,0)),"")</f>
      </c>
      <c r="E291" s="6">
        <f>IFERROR(INDEX(Pacientes!$E:$E,MATCH($A291,Pacientes!$B:$B,0)),"")</f>
      </c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>
        <f>IFERROR(INDEX(Intervenções!$K$2:$K$300,AGGREGATE(15,6,(ROW(Intervenções!$K$2:$K$300)-ROW(Intervenções!$K$2)+1)/((Intervenções!$B$2:$B$300=A291)*(Intervenções!$A$2:$A$300=F291)*(Intervenções!$K$2:$K$300&lt;&gt;"")),1)),"")</f>
      </c>
      <c r="AC291" s="4">
        <f>IFERROR(INDEX(Intervenções!$K$2:$K$300,AGGREGATE(15,6,(ROW(Intervenções!$K$2:$K$300)-ROW(Intervenções!$K$2)+1)/((Intervenções!$B$2:$B$300=A291)*(Intervenções!$A$2:$A$300=F291)*(Intervenções!$K$2:$K$300&lt;&gt;"")),2)),"")</f>
      </c>
      <c r="AD291" s="4">
        <f>IFERROR(INDEX(Intervenções!$K$2:$K$300,AGGREGATE(15,6,(ROW(Intervenções!$K$2:$K$300)-ROW(Intervenções!$K$2)+1)/((Intervenções!$B$2:$B$300=A291)*(Intervenções!$A$2:$A$300=F291)*(Intervenções!$K$2:$K$300&lt;&gt;"")),3)),"")</f>
      </c>
      <c r="AE291" s="4">
        <f>"RECONCILIAÇÃO MEDICAMENTOSA"&amp;CHAR(10)&amp;IF(G291&lt;&gt;"","Medicamentos de uso prévio: "&amp;G291&amp;".","Sem medicamentos de uso prévio relatados.")&amp;CHAR(10)&amp;IF(H291&lt;&gt;"","Histórico de alergia/RAM: "&amp;H291&amp;".","Nega alergias/RAM conhecidas.")</f>
      </c>
      <c r="AF291" s="4">
        <f>AE291&amp;CHAR(10)&amp;CHAR(10)&amp;"1. Evolução Clínica"&amp;CHAR(10)&amp;TEXTJOIN(" ",TRUE,"Paciente "&amp;I291&amp;", "&amp;IF(J291="","sem DVA","em uso de "&amp;J291)&amp;".",IF(K291&lt;&gt;"","Em "&amp;K291&amp;IF(L291&lt;&gt;""," ("&amp;L291&amp;")","")&amp;IF(M291&lt;&gt;"", ", "&amp;M291,"")&amp;IF(N291&lt;&gt;"", ", sob analgosedação com "&amp;N291,"")&amp;".",""),IF(O291&lt;&gt;"",O291&amp;IF(P291&lt;&gt;"", ", com "&amp;LOWER(P291),"")&amp;IF(Q291&lt;&gt;"", " — "&amp;Q291,"")&amp;".",""),IF(R291="Febre","Apresentou episódio febril nas últimas 24h"&amp;IF(S291&lt;&gt;""," ("&amp;S291&amp;")","")&amp;".",IF(R291="Afebril","Encontra-se afebril.","")),IF(T291&lt;&gt;"",IF(U291="Sim","Apresenta disfunção renal aguda ","Função renal preservada ")&amp;"("&amp;T291&amp;").",""),IF(V291&lt;&gt;"","Em uso do esquema antimicrobiano com "&amp;V291&amp;".",""),IF(TEXTJOIN(", ",TRUE,IF(W291&lt;&gt;"","TEV ("&amp;W291&amp;")",""),IF(X291&lt;&gt;"","LAMG ("&amp;X291&amp;")",""),IF(Y291&lt;&gt;"","úlcera de córnea com "&amp;Y291,""))&lt;&gt;"","Em uso de profilaxia: "&amp;TEXTJOIN(", ",TRUE,IF(W291&lt;&gt;"","TEV ("&amp;W291&amp;")",""),IF(X291&lt;&gt;"","LAMG ("&amp;X291&amp;")",""),IF(Y291&lt;&gt;"","úlcera de córnea com "&amp;Y291,""))&amp;".",""))&amp;CHAR(10)&amp;CHAR(10)&amp;"2. Farmacoterapia"&amp;CHAR(10)&amp;IF(Z291&lt;&gt;"","Corticoide/DART: "&amp;Z291,"Sem corticoide/DART registrado.")&amp;CHAR(10)&amp;CHAR(10)&amp;"3. Conduta Farmacêutica"&amp;CHAR(10)&amp;IF(TEXTJOIN(CHAR(10),TRUE,AB291,AC291,AD291)="","Nenhuma intervenção registrada hoje.",TEXTJOIN(CHAR(10),TRUE,AB291,AC291,AD291))&amp;CHAR(10)&amp;CHAR(10)&amp;"4. Plano Terapêutico"&amp;CHAR(10)&amp;IF(AA291&lt;&gt;"",AA291,"Não definido.")</f>
      </c>
    </row>
    <row r="292" spans="1:32" x14ac:dyDescent="0.25">
      <c r="A292" s="4"/>
      <c r="B292" s="6">
        <f>IFERROR(INDEX(Pacientes!$A:$A,MATCH($A292,Pacientes!$B:$B,0)),"")</f>
      </c>
      <c r="C292" s="6">
        <f>IFERROR(INDEX(Pacientes!$C:$C,MATCH($A292,Pacientes!$B:$B,0)),"")</f>
      </c>
      <c r="D292" s="6">
        <f>IFERROR(INDEX(Pacientes!$D:$D,MATCH($A292,Pacientes!$B:$B,0)),"")</f>
      </c>
      <c r="E292" s="6">
        <f>IFERROR(INDEX(Pacientes!$E:$E,MATCH($A292,Pacientes!$B:$B,0)),"")</f>
      </c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>
        <f>IFERROR(INDEX(Intervenções!$K$2:$K$300,AGGREGATE(15,6,(ROW(Intervenções!$K$2:$K$300)-ROW(Intervenções!$K$2)+1)/((Intervenções!$B$2:$B$300=A292)*(Intervenções!$A$2:$A$300=F292)*(Intervenções!$K$2:$K$300&lt;&gt;"")),1)),"")</f>
      </c>
      <c r="AC292" s="4">
        <f>IFERROR(INDEX(Intervenções!$K$2:$K$300,AGGREGATE(15,6,(ROW(Intervenções!$K$2:$K$300)-ROW(Intervenções!$K$2)+1)/((Intervenções!$B$2:$B$300=A292)*(Intervenções!$A$2:$A$300=F292)*(Intervenções!$K$2:$K$300&lt;&gt;"")),2)),"")</f>
      </c>
      <c r="AD292" s="4">
        <f>IFERROR(INDEX(Intervenções!$K$2:$K$300,AGGREGATE(15,6,(ROW(Intervenções!$K$2:$K$300)-ROW(Intervenções!$K$2)+1)/((Intervenções!$B$2:$B$300=A292)*(Intervenções!$A$2:$A$300=F292)*(Intervenções!$K$2:$K$300&lt;&gt;"")),3)),"")</f>
      </c>
      <c r="AE292" s="4">
        <f>"RECONCILIAÇÃO MEDICAMENTOSA"&amp;CHAR(10)&amp;IF(G292&lt;&gt;"","Medicamentos de uso prévio: "&amp;G292&amp;".","Sem medicamentos de uso prévio relatados.")&amp;CHAR(10)&amp;IF(H292&lt;&gt;"","Histórico de alergia/RAM: "&amp;H292&amp;".","Nega alergias/RAM conhecidas.")</f>
      </c>
      <c r="AF292" s="4">
        <f>AE292&amp;CHAR(10)&amp;CHAR(10)&amp;"1. Evolução Clínica"&amp;CHAR(10)&amp;TEXTJOIN(" ",TRUE,"Paciente "&amp;I292&amp;", "&amp;IF(J292="","sem DVA","em uso de "&amp;J292)&amp;".",IF(K292&lt;&gt;"","Em "&amp;K292&amp;IF(L292&lt;&gt;""," ("&amp;L292&amp;")","")&amp;IF(M292&lt;&gt;"", ", "&amp;M292,"")&amp;IF(N292&lt;&gt;"", ", sob analgosedação com "&amp;N292,"")&amp;".",""),IF(O292&lt;&gt;"",O292&amp;IF(P292&lt;&gt;"", ", com "&amp;LOWER(P292),"")&amp;IF(Q292&lt;&gt;"", " — "&amp;Q292,"")&amp;".",""),IF(R292="Febre","Apresentou episódio febril nas últimas 24h"&amp;IF(S292&lt;&gt;""," ("&amp;S292&amp;")","")&amp;".",IF(R292="Afebril","Encontra-se afebril.","")),IF(T292&lt;&gt;"",IF(U292="Sim","Apresenta disfunção renal aguda ","Função renal preservada ")&amp;"("&amp;T292&amp;").",""),IF(V292&lt;&gt;"","Em uso do esquema antimicrobiano com "&amp;V292&amp;".",""),IF(TEXTJOIN(", ",TRUE,IF(W292&lt;&gt;"","TEV ("&amp;W292&amp;")",""),IF(X292&lt;&gt;"","LAMG ("&amp;X292&amp;")",""),IF(Y292&lt;&gt;"","úlcera de córnea com "&amp;Y292,""))&lt;&gt;"","Em uso de profilaxia: "&amp;TEXTJOIN(", ",TRUE,IF(W292&lt;&gt;"","TEV ("&amp;W292&amp;")",""),IF(X292&lt;&gt;"","LAMG ("&amp;X292&amp;")",""),IF(Y292&lt;&gt;"","úlcera de córnea com "&amp;Y292,""))&amp;".",""))&amp;CHAR(10)&amp;CHAR(10)&amp;"2. Farmacoterapia"&amp;CHAR(10)&amp;IF(Z292&lt;&gt;"","Corticoide/DART: "&amp;Z292,"Sem corticoide/DART registrado.")&amp;CHAR(10)&amp;CHAR(10)&amp;"3. Conduta Farmacêutica"&amp;CHAR(10)&amp;IF(TEXTJOIN(CHAR(10),TRUE,AB292,AC292,AD292)="","Nenhuma intervenção registrada hoje.",TEXTJOIN(CHAR(10),TRUE,AB292,AC292,AD292))&amp;CHAR(10)&amp;CHAR(10)&amp;"4. Plano Terapêutico"&amp;CHAR(10)&amp;IF(AA292&lt;&gt;"",AA292,"Não definido.")</f>
      </c>
    </row>
    <row r="293" spans="1:32" x14ac:dyDescent="0.25">
      <c r="A293" s="4"/>
      <c r="B293" s="6">
        <f>IFERROR(INDEX(Pacientes!$A:$A,MATCH($A293,Pacientes!$B:$B,0)),"")</f>
      </c>
      <c r="C293" s="6">
        <f>IFERROR(INDEX(Pacientes!$C:$C,MATCH($A293,Pacientes!$B:$B,0)),"")</f>
      </c>
      <c r="D293" s="6">
        <f>IFERROR(INDEX(Pacientes!$D:$D,MATCH($A293,Pacientes!$B:$B,0)),"")</f>
      </c>
      <c r="E293" s="6">
        <f>IFERROR(INDEX(Pacientes!$E:$E,MATCH($A293,Pacientes!$B:$B,0)),"")</f>
      </c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>
        <f>IFERROR(INDEX(Intervenções!$K$2:$K$300,AGGREGATE(15,6,(ROW(Intervenções!$K$2:$K$300)-ROW(Intervenções!$K$2)+1)/((Intervenções!$B$2:$B$300=A293)*(Intervenções!$A$2:$A$300=F293)*(Intervenções!$K$2:$K$300&lt;&gt;"")),1)),"")</f>
      </c>
      <c r="AC293" s="4">
        <f>IFERROR(INDEX(Intervenções!$K$2:$K$300,AGGREGATE(15,6,(ROW(Intervenções!$K$2:$K$300)-ROW(Intervenções!$K$2)+1)/((Intervenções!$B$2:$B$300=A293)*(Intervenções!$A$2:$A$300=F293)*(Intervenções!$K$2:$K$300&lt;&gt;"")),2)),"")</f>
      </c>
      <c r="AD293" s="4">
        <f>IFERROR(INDEX(Intervenções!$K$2:$K$300,AGGREGATE(15,6,(ROW(Intervenções!$K$2:$K$300)-ROW(Intervenções!$K$2)+1)/((Intervenções!$B$2:$B$300=A293)*(Intervenções!$A$2:$A$300=F293)*(Intervenções!$K$2:$K$300&lt;&gt;"")),3)),"")</f>
      </c>
      <c r="AE293" s="4">
        <f>"RECONCILIAÇÃO MEDICAMENTOSA"&amp;CHAR(10)&amp;IF(G293&lt;&gt;"","Medicamentos de uso prévio: "&amp;G293&amp;".","Sem medicamentos de uso prévio relatados.")&amp;CHAR(10)&amp;IF(H293&lt;&gt;"","Histórico de alergia/RAM: "&amp;H293&amp;".","Nega alergias/RAM conhecidas.")</f>
      </c>
      <c r="AF293" s="4">
        <f>AE293&amp;CHAR(10)&amp;CHAR(10)&amp;"1. Evolução Clínica"&amp;CHAR(10)&amp;TEXTJOIN(" ",TRUE,"Paciente "&amp;I293&amp;", "&amp;IF(J293="","sem DVA","em uso de "&amp;J293)&amp;".",IF(K293&lt;&gt;"","Em "&amp;K293&amp;IF(L293&lt;&gt;""," ("&amp;L293&amp;")","")&amp;IF(M293&lt;&gt;"", ", "&amp;M293,"")&amp;IF(N293&lt;&gt;"", ", sob analgosedação com "&amp;N293,"")&amp;".",""),IF(O293&lt;&gt;"",O293&amp;IF(P293&lt;&gt;"", ", com "&amp;LOWER(P293),"")&amp;IF(Q293&lt;&gt;"", " — "&amp;Q293,"")&amp;".",""),IF(R293="Febre","Apresentou episódio febril nas últimas 24h"&amp;IF(S293&lt;&gt;""," ("&amp;S293&amp;")","")&amp;".",IF(R293="Afebril","Encontra-se afebril.","")),IF(T293&lt;&gt;"",IF(U293="Sim","Apresenta disfunção renal aguda ","Função renal preservada ")&amp;"("&amp;T293&amp;").",""),IF(V293&lt;&gt;"","Em uso do esquema antimicrobiano com "&amp;V293&amp;".",""),IF(TEXTJOIN(", ",TRUE,IF(W293&lt;&gt;"","TEV ("&amp;W293&amp;")",""),IF(X293&lt;&gt;"","LAMG ("&amp;X293&amp;")",""),IF(Y293&lt;&gt;"","úlcera de córnea com "&amp;Y293,""))&lt;&gt;"","Em uso de profilaxia: "&amp;TEXTJOIN(", ",TRUE,IF(W293&lt;&gt;"","TEV ("&amp;W293&amp;")",""),IF(X293&lt;&gt;"","LAMG ("&amp;X293&amp;")",""),IF(Y293&lt;&gt;"","úlcera de córnea com "&amp;Y293,""))&amp;".",""))&amp;CHAR(10)&amp;CHAR(10)&amp;"2. Farmacoterapia"&amp;CHAR(10)&amp;IF(Z293&lt;&gt;"","Corticoide/DART: "&amp;Z293,"Sem corticoide/DART registrado.")&amp;CHAR(10)&amp;CHAR(10)&amp;"3. Conduta Farmacêutica"&amp;CHAR(10)&amp;IF(TEXTJOIN(CHAR(10),TRUE,AB293,AC293,AD293)="","Nenhuma intervenção registrada hoje.",TEXTJOIN(CHAR(10),TRUE,AB293,AC293,AD293))&amp;CHAR(10)&amp;CHAR(10)&amp;"4. Plano Terapêutico"&amp;CHAR(10)&amp;IF(AA293&lt;&gt;"",AA293,"Não definido.")</f>
      </c>
    </row>
    <row r="294" spans="1:32" x14ac:dyDescent="0.25">
      <c r="A294" s="4"/>
      <c r="B294" s="6">
        <f>IFERROR(INDEX(Pacientes!$A:$A,MATCH($A294,Pacientes!$B:$B,0)),"")</f>
      </c>
      <c r="C294" s="6">
        <f>IFERROR(INDEX(Pacientes!$C:$C,MATCH($A294,Pacientes!$B:$B,0)),"")</f>
      </c>
      <c r="D294" s="6">
        <f>IFERROR(INDEX(Pacientes!$D:$D,MATCH($A294,Pacientes!$B:$B,0)),"")</f>
      </c>
      <c r="E294" s="6">
        <f>IFERROR(INDEX(Pacientes!$E:$E,MATCH($A294,Pacientes!$B:$B,0)),"")</f>
      </c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>
        <f>IFERROR(INDEX(Intervenções!$K$2:$K$300,AGGREGATE(15,6,(ROW(Intervenções!$K$2:$K$300)-ROW(Intervenções!$K$2)+1)/((Intervenções!$B$2:$B$300=A294)*(Intervenções!$A$2:$A$300=F294)*(Intervenções!$K$2:$K$300&lt;&gt;"")),1)),"")</f>
      </c>
      <c r="AC294" s="4">
        <f>IFERROR(INDEX(Intervenções!$K$2:$K$300,AGGREGATE(15,6,(ROW(Intervenções!$K$2:$K$300)-ROW(Intervenções!$K$2)+1)/((Intervenções!$B$2:$B$300=A294)*(Intervenções!$A$2:$A$300=F294)*(Intervenções!$K$2:$K$300&lt;&gt;"")),2)),"")</f>
      </c>
      <c r="AD294" s="4">
        <f>IFERROR(INDEX(Intervenções!$K$2:$K$300,AGGREGATE(15,6,(ROW(Intervenções!$K$2:$K$300)-ROW(Intervenções!$K$2)+1)/((Intervenções!$B$2:$B$300=A294)*(Intervenções!$A$2:$A$300=F294)*(Intervenções!$K$2:$K$300&lt;&gt;"")),3)),"")</f>
      </c>
      <c r="AE294" s="4">
        <f>"RECONCILIAÇÃO MEDICAMENTOSA"&amp;CHAR(10)&amp;IF(G294&lt;&gt;"","Medicamentos de uso prévio: "&amp;G294&amp;".","Sem medicamentos de uso prévio relatados.")&amp;CHAR(10)&amp;IF(H294&lt;&gt;"","Histórico de alergia/RAM: "&amp;H294&amp;".","Nega alergias/RAM conhecidas.")</f>
      </c>
      <c r="AF294" s="4">
        <f>AE294&amp;CHAR(10)&amp;CHAR(10)&amp;"1. Evolução Clínica"&amp;CHAR(10)&amp;TEXTJOIN(" ",TRUE,"Paciente "&amp;I294&amp;", "&amp;IF(J294="","sem DVA","em uso de "&amp;J294)&amp;".",IF(K294&lt;&gt;"","Em "&amp;K294&amp;IF(L294&lt;&gt;""," ("&amp;L294&amp;")","")&amp;IF(M294&lt;&gt;"", ", "&amp;M294,"")&amp;IF(N294&lt;&gt;"", ", sob analgosedação com "&amp;N294,"")&amp;".",""),IF(O294&lt;&gt;"",O294&amp;IF(P294&lt;&gt;"", ", com "&amp;LOWER(P294),"")&amp;IF(Q294&lt;&gt;"", " — "&amp;Q294,"")&amp;".",""),IF(R294="Febre","Apresentou episódio febril nas últimas 24h"&amp;IF(S294&lt;&gt;""," ("&amp;S294&amp;")","")&amp;".",IF(R294="Afebril","Encontra-se afebril.","")),IF(T294&lt;&gt;"",IF(U294="Sim","Apresenta disfunção renal aguda ","Função renal preservada ")&amp;"("&amp;T294&amp;").",""),IF(V294&lt;&gt;"","Em uso do esquema antimicrobiano com "&amp;V294&amp;".",""),IF(TEXTJOIN(", ",TRUE,IF(W294&lt;&gt;"","TEV ("&amp;W294&amp;")",""),IF(X294&lt;&gt;"","LAMG ("&amp;X294&amp;")",""),IF(Y294&lt;&gt;"","úlcera de córnea com "&amp;Y294,""))&lt;&gt;"","Em uso de profilaxia: "&amp;TEXTJOIN(", ",TRUE,IF(W294&lt;&gt;"","TEV ("&amp;W294&amp;")",""),IF(X294&lt;&gt;"","LAMG ("&amp;X294&amp;")",""),IF(Y294&lt;&gt;"","úlcera de córnea com "&amp;Y294,""))&amp;".",""))&amp;CHAR(10)&amp;CHAR(10)&amp;"2. Farmacoterapia"&amp;CHAR(10)&amp;IF(Z294&lt;&gt;"","Corticoide/DART: "&amp;Z294,"Sem corticoide/DART registrado.")&amp;CHAR(10)&amp;CHAR(10)&amp;"3. Conduta Farmacêutica"&amp;CHAR(10)&amp;IF(TEXTJOIN(CHAR(10),TRUE,AB294,AC294,AD294)="","Nenhuma intervenção registrada hoje.",TEXTJOIN(CHAR(10),TRUE,AB294,AC294,AD294))&amp;CHAR(10)&amp;CHAR(10)&amp;"4. Plano Terapêutico"&amp;CHAR(10)&amp;IF(AA294&lt;&gt;"",AA294,"Não definido.")</f>
      </c>
    </row>
    <row r="295" spans="1:32" x14ac:dyDescent="0.25">
      <c r="A295" s="4"/>
      <c r="B295" s="6">
        <f>IFERROR(INDEX(Pacientes!$A:$A,MATCH($A295,Pacientes!$B:$B,0)),"")</f>
      </c>
      <c r="C295" s="6">
        <f>IFERROR(INDEX(Pacientes!$C:$C,MATCH($A295,Pacientes!$B:$B,0)),"")</f>
      </c>
      <c r="D295" s="6">
        <f>IFERROR(INDEX(Pacientes!$D:$D,MATCH($A295,Pacientes!$B:$B,0)),"")</f>
      </c>
      <c r="E295" s="6">
        <f>IFERROR(INDEX(Pacientes!$E:$E,MATCH($A295,Pacientes!$B:$B,0)),"")</f>
      </c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>
        <f>IFERROR(INDEX(Intervenções!$K$2:$K$300,AGGREGATE(15,6,(ROW(Intervenções!$K$2:$K$300)-ROW(Intervenções!$K$2)+1)/((Intervenções!$B$2:$B$300=A295)*(Intervenções!$A$2:$A$300=F295)*(Intervenções!$K$2:$K$300&lt;&gt;"")),1)),"")</f>
      </c>
      <c r="AC295" s="4">
        <f>IFERROR(INDEX(Intervenções!$K$2:$K$300,AGGREGATE(15,6,(ROW(Intervenções!$K$2:$K$300)-ROW(Intervenções!$K$2)+1)/((Intervenções!$B$2:$B$300=A295)*(Intervenções!$A$2:$A$300=F295)*(Intervenções!$K$2:$K$300&lt;&gt;"")),2)),"")</f>
      </c>
      <c r="AD295" s="4">
        <f>IFERROR(INDEX(Intervenções!$K$2:$K$300,AGGREGATE(15,6,(ROW(Intervenções!$K$2:$K$300)-ROW(Intervenções!$K$2)+1)/((Intervenções!$B$2:$B$300=A295)*(Intervenções!$A$2:$A$300=F295)*(Intervenções!$K$2:$K$300&lt;&gt;"")),3)),"")</f>
      </c>
      <c r="AE295" s="4">
        <f>"RECONCILIAÇÃO MEDICAMENTOSA"&amp;CHAR(10)&amp;IF(G295&lt;&gt;"","Medicamentos de uso prévio: "&amp;G295&amp;".","Sem medicamentos de uso prévio relatados.")&amp;CHAR(10)&amp;IF(H295&lt;&gt;"","Histórico de alergia/RAM: "&amp;H295&amp;".","Nega alergias/RAM conhecidas.")</f>
      </c>
      <c r="AF295" s="4">
        <f>AE295&amp;CHAR(10)&amp;CHAR(10)&amp;"1. Evolução Clínica"&amp;CHAR(10)&amp;TEXTJOIN(" ",TRUE,"Paciente "&amp;I295&amp;", "&amp;IF(J295="","sem DVA","em uso de "&amp;J295)&amp;".",IF(K295&lt;&gt;"","Em "&amp;K295&amp;IF(L295&lt;&gt;""," ("&amp;L295&amp;")","")&amp;IF(M295&lt;&gt;"", ", "&amp;M295,"")&amp;IF(N295&lt;&gt;"", ", sob analgosedação com "&amp;N295,"")&amp;".",""),IF(O295&lt;&gt;"",O295&amp;IF(P295&lt;&gt;"", ", com "&amp;LOWER(P295),"")&amp;IF(Q295&lt;&gt;"", " — "&amp;Q295,"")&amp;".",""),IF(R295="Febre","Apresentou episódio febril nas últimas 24h"&amp;IF(S295&lt;&gt;""," ("&amp;S295&amp;")","")&amp;".",IF(R295="Afebril","Encontra-se afebril.","")),IF(T295&lt;&gt;"",IF(U295="Sim","Apresenta disfunção renal aguda ","Função renal preservada ")&amp;"("&amp;T295&amp;").",""),IF(V295&lt;&gt;"","Em uso do esquema antimicrobiano com "&amp;V295&amp;".",""),IF(TEXTJOIN(", ",TRUE,IF(W295&lt;&gt;"","TEV ("&amp;W295&amp;")",""),IF(X295&lt;&gt;"","LAMG ("&amp;X295&amp;")",""),IF(Y295&lt;&gt;"","úlcera de córnea com "&amp;Y295,""))&lt;&gt;"","Em uso de profilaxia: "&amp;TEXTJOIN(", ",TRUE,IF(W295&lt;&gt;"","TEV ("&amp;W295&amp;")",""),IF(X295&lt;&gt;"","LAMG ("&amp;X295&amp;")",""),IF(Y295&lt;&gt;"","úlcera de córnea com "&amp;Y295,""))&amp;".",""))&amp;CHAR(10)&amp;CHAR(10)&amp;"2. Farmacoterapia"&amp;CHAR(10)&amp;IF(Z295&lt;&gt;"","Corticoide/DART: "&amp;Z295,"Sem corticoide/DART registrado.")&amp;CHAR(10)&amp;CHAR(10)&amp;"3. Conduta Farmacêutica"&amp;CHAR(10)&amp;IF(TEXTJOIN(CHAR(10),TRUE,AB295,AC295,AD295)="","Nenhuma intervenção registrada hoje.",TEXTJOIN(CHAR(10),TRUE,AB295,AC295,AD295))&amp;CHAR(10)&amp;CHAR(10)&amp;"4. Plano Terapêutico"&amp;CHAR(10)&amp;IF(AA295&lt;&gt;"",AA295,"Não definido.")</f>
      </c>
    </row>
    <row r="296" spans="1:32" x14ac:dyDescent="0.25">
      <c r="A296" s="4"/>
      <c r="B296" s="6">
        <f>IFERROR(INDEX(Pacientes!$A:$A,MATCH($A296,Pacientes!$B:$B,0)),"")</f>
      </c>
      <c r="C296" s="6">
        <f>IFERROR(INDEX(Pacientes!$C:$C,MATCH($A296,Pacientes!$B:$B,0)),"")</f>
      </c>
      <c r="D296" s="6">
        <f>IFERROR(INDEX(Pacientes!$D:$D,MATCH($A296,Pacientes!$B:$B,0)),"")</f>
      </c>
      <c r="E296" s="6">
        <f>IFERROR(INDEX(Pacientes!$E:$E,MATCH($A296,Pacientes!$B:$B,0)),"")</f>
      </c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>
        <f>IFERROR(INDEX(Intervenções!$K$2:$K$300,AGGREGATE(15,6,(ROW(Intervenções!$K$2:$K$300)-ROW(Intervenções!$K$2)+1)/((Intervenções!$B$2:$B$300=A296)*(Intervenções!$A$2:$A$300=F296)*(Intervenções!$K$2:$K$300&lt;&gt;"")),1)),"")</f>
      </c>
      <c r="AC296" s="4">
        <f>IFERROR(INDEX(Intervenções!$K$2:$K$300,AGGREGATE(15,6,(ROW(Intervenções!$K$2:$K$300)-ROW(Intervenções!$K$2)+1)/((Intervenções!$B$2:$B$300=A296)*(Intervenções!$A$2:$A$300=F296)*(Intervenções!$K$2:$K$300&lt;&gt;"")),2)),"")</f>
      </c>
      <c r="AD296" s="4">
        <f>IFERROR(INDEX(Intervenções!$K$2:$K$300,AGGREGATE(15,6,(ROW(Intervenções!$K$2:$K$300)-ROW(Intervenções!$K$2)+1)/((Intervenções!$B$2:$B$300=A296)*(Intervenções!$A$2:$A$300=F296)*(Intervenções!$K$2:$K$300&lt;&gt;"")),3)),"")</f>
      </c>
      <c r="AE296" s="4">
        <f>"RECONCILIAÇÃO MEDICAMENTOSA"&amp;CHAR(10)&amp;IF(G296&lt;&gt;"","Medicamentos de uso prévio: "&amp;G296&amp;".","Sem medicamentos de uso prévio relatados.")&amp;CHAR(10)&amp;IF(H296&lt;&gt;"","Histórico de alergia/RAM: "&amp;H296&amp;".","Nega alergias/RAM conhecidas.")</f>
      </c>
      <c r="AF296" s="4">
        <f>AE296&amp;CHAR(10)&amp;CHAR(10)&amp;"1. Evolução Clínica"&amp;CHAR(10)&amp;TEXTJOIN(" ",TRUE,"Paciente "&amp;I296&amp;", "&amp;IF(J296="","sem DVA","em uso de "&amp;J296)&amp;".",IF(K296&lt;&gt;"","Em "&amp;K296&amp;IF(L296&lt;&gt;""," ("&amp;L296&amp;")","")&amp;IF(M296&lt;&gt;"", ", "&amp;M296,"")&amp;IF(N296&lt;&gt;"", ", sob analgosedação com "&amp;N296,"")&amp;".",""),IF(O296&lt;&gt;"",O296&amp;IF(P296&lt;&gt;"", ", com "&amp;LOWER(P296),"")&amp;IF(Q296&lt;&gt;"", " — "&amp;Q296,"")&amp;".",""),IF(R296="Febre","Apresentou episódio febril nas últimas 24h"&amp;IF(S296&lt;&gt;""," ("&amp;S296&amp;")","")&amp;".",IF(R296="Afebril","Encontra-se afebril.","")),IF(T296&lt;&gt;"",IF(U296="Sim","Apresenta disfunção renal aguda ","Função renal preservada ")&amp;"("&amp;T296&amp;").",""),IF(V296&lt;&gt;"","Em uso do esquema antimicrobiano com "&amp;V296&amp;".",""),IF(TEXTJOIN(", ",TRUE,IF(W296&lt;&gt;"","TEV ("&amp;W296&amp;")",""),IF(X296&lt;&gt;"","LAMG ("&amp;X296&amp;")",""),IF(Y296&lt;&gt;"","úlcera de córnea com "&amp;Y296,""))&lt;&gt;"","Em uso de profilaxia: "&amp;TEXTJOIN(", ",TRUE,IF(W296&lt;&gt;"","TEV ("&amp;W296&amp;")",""),IF(X296&lt;&gt;"","LAMG ("&amp;X296&amp;")",""),IF(Y296&lt;&gt;"","úlcera de córnea com "&amp;Y296,""))&amp;".",""))&amp;CHAR(10)&amp;CHAR(10)&amp;"2. Farmacoterapia"&amp;CHAR(10)&amp;IF(Z296&lt;&gt;"","Corticoide/DART: "&amp;Z296,"Sem corticoide/DART registrado.")&amp;CHAR(10)&amp;CHAR(10)&amp;"3. Conduta Farmacêutica"&amp;CHAR(10)&amp;IF(TEXTJOIN(CHAR(10),TRUE,AB296,AC296,AD296)="","Nenhuma intervenção registrada hoje.",TEXTJOIN(CHAR(10),TRUE,AB296,AC296,AD296))&amp;CHAR(10)&amp;CHAR(10)&amp;"4. Plano Terapêutico"&amp;CHAR(10)&amp;IF(AA296&lt;&gt;"",AA296,"Não definido.")</f>
      </c>
    </row>
    <row r="297" spans="1:32" x14ac:dyDescent="0.25">
      <c r="A297" s="4"/>
      <c r="B297" s="6">
        <f>IFERROR(INDEX(Pacientes!$A:$A,MATCH($A297,Pacientes!$B:$B,0)),"")</f>
      </c>
      <c r="C297" s="6">
        <f>IFERROR(INDEX(Pacientes!$C:$C,MATCH($A297,Pacientes!$B:$B,0)),"")</f>
      </c>
      <c r="D297" s="6">
        <f>IFERROR(INDEX(Pacientes!$D:$D,MATCH($A297,Pacientes!$B:$B,0)),"")</f>
      </c>
      <c r="E297" s="6">
        <f>IFERROR(INDEX(Pacientes!$E:$E,MATCH($A297,Pacientes!$B:$B,0)),"")</f>
      </c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>
        <f>IFERROR(INDEX(Intervenções!$K$2:$K$300,AGGREGATE(15,6,(ROW(Intervenções!$K$2:$K$300)-ROW(Intervenções!$K$2)+1)/((Intervenções!$B$2:$B$300=A297)*(Intervenções!$A$2:$A$300=F297)*(Intervenções!$K$2:$K$300&lt;&gt;"")),1)),"")</f>
      </c>
      <c r="AC297" s="4">
        <f>IFERROR(INDEX(Intervenções!$K$2:$K$300,AGGREGATE(15,6,(ROW(Intervenções!$K$2:$K$300)-ROW(Intervenções!$K$2)+1)/((Intervenções!$B$2:$B$300=A297)*(Intervenções!$A$2:$A$300=F297)*(Intervenções!$K$2:$K$300&lt;&gt;"")),2)),"")</f>
      </c>
      <c r="AD297" s="4">
        <f>IFERROR(INDEX(Intervenções!$K$2:$K$300,AGGREGATE(15,6,(ROW(Intervenções!$K$2:$K$300)-ROW(Intervenções!$K$2)+1)/((Intervenções!$B$2:$B$300=A297)*(Intervenções!$A$2:$A$300=F297)*(Intervenções!$K$2:$K$300&lt;&gt;"")),3)),"")</f>
      </c>
      <c r="AE297" s="4">
        <f>"RECONCILIAÇÃO MEDICAMENTOSA"&amp;CHAR(10)&amp;IF(G297&lt;&gt;"","Medicamentos de uso prévio: "&amp;G297&amp;".","Sem medicamentos de uso prévio relatados.")&amp;CHAR(10)&amp;IF(H297&lt;&gt;"","Histórico de alergia/RAM: "&amp;H297&amp;".","Nega alergias/RAM conhecidas.")</f>
      </c>
      <c r="AF297" s="4">
        <f>AE297&amp;CHAR(10)&amp;CHAR(10)&amp;"1. Evolução Clínica"&amp;CHAR(10)&amp;TEXTJOIN(" ",TRUE,"Paciente "&amp;I297&amp;", "&amp;IF(J297="","sem DVA","em uso de "&amp;J297)&amp;".",IF(K297&lt;&gt;"","Em "&amp;K297&amp;IF(L297&lt;&gt;""," ("&amp;L297&amp;")","")&amp;IF(M297&lt;&gt;"", ", "&amp;M297,"")&amp;IF(N297&lt;&gt;"", ", sob analgosedação com "&amp;N297,"")&amp;".",""),IF(O297&lt;&gt;"",O297&amp;IF(P297&lt;&gt;"", ", com "&amp;LOWER(P297),"")&amp;IF(Q297&lt;&gt;"", " — "&amp;Q297,"")&amp;".",""),IF(R297="Febre","Apresentou episódio febril nas últimas 24h"&amp;IF(S297&lt;&gt;""," ("&amp;S297&amp;")","")&amp;".",IF(R297="Afebril","Encontra-se afebril.","")),IF(T297&lt;&gt;"",IF(U297="Sim","Apresenta disfunção renal aguda ","Função renal preservada ")&amp;"("&amp;T297&amp;").",""),IF(V297&lt;&gt;"","Em uso do esquema antimicrobiano com "&amp;V297&amp;".",""),IF(TEXTJOIN(", ",TRUE,IF(W297&lt;&gt;"","TEV ("&amp;W297&amp;")",""),IF(X297&lt;&gt;"","LAMG ("&amp;X297&amp;")",""),IF(Y297&lt;&gt;"","úlcera de córnea com "&amp;Y297,""))&lt;&gt;"","Em uso de profilaxia: "&amp;TEXTJOIN(", ",TRUE,IF(W297&lt;&gt;"","TEV ("&amp;W297&amp;")",""),IF(X297&lt;&gt;"","LAMG ("&amp;X297&amp;")",""),IF(Y297&lt;&gt;"","úlcera de córnea com "&amp;Y297,""))&amp;".",""))&amp;CHAR(10)&amp;CHAR(10)&amp;"2. Farmacoterapia"&amp;CHAR(10)&amp;IF(Z297&lt;&gt;"","Corticoide/DART: "&amp;Z297,"Sem corticoide/DART registrado.")&amp;CHAR(10)&amp;CHAR(10)&amp;"3. Conduta Farmacêutica"&amp;CHAR(10)&amp;IF(TEXTJOIN(CHAR(10),TRUE,AB297,AC297,AD297)="","Nenhuma intervenção registrada hoje.",TEXTJOIN(CHAR(10),TRUE,AB297,AC297,AD297))&amp;CHAR(10)&amp;CHAR(10)&amp;"4. Plano Terapêutico"&amp;CHAR(10)&amp;IF(AA297&lt;&gt;"",AA297,"Não definido.")</f>
      </c>
    </row>
    <row r="298" spans="1:32" x14ac:dyDescent="0.25">
      <c r="A298" s="4"/>
      <c r="B298" s="6">
        <f>IFERROR(INDEX(Pacientes!$A:$A,MATCH($A298,Pacientes!$B:$B,0)),"")</f>
      </c>
      <c r="C298" s="6">
        <f>IFERROR(INDEX(Pacientes!$C:$C,MATCH($A298,Pacientes!$B:$B,0)),"")</f>
      </c>
      <c r="D298" s="6">
        <f>IFERROR(INDEX(Pacientes!$D:$D,MATCH($A298,Pacientes!$B:$B,0)),"")</f>
      </c>
      <c r="E298" s="6">
        <f>IFERROR(INDEX(Pacientes!$E:$E,MATCH($A298,Pacientes!$B:$B,0)),"")</f>
      </c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>
        <f>IFERROR(INDEX(Intervenções!$K$2:$K$300,AGGREGATE(15,6,(ROW(Intervenções!$K$2:$K$300)-ROW(Intervenções!$K$2)+1)/((Intervenções!$B$2:$B$300=A298)*(Intervenções!$A$2:$A$300=F298)*(Intervenções!$K$2:$K$300&lt;&gt;"")),1)),"")</f>
      </c>
      <c r="AC298" s="4">
        <f>IFERROR(INDEX(Intervenções!$K$2:$K$300,AGGREGATE(15,6,(ROW(Intervenções!$K$2:$K$300)-ROW(Intervenções!$K$2)+1)/((Intervenções!$B$2:$B$300=A298)*(Intervenções!$A$2:$A$300=F298)*(Intervenções!$K$2:$K$300&lt;&gt;"")),2)),"")</f>
      </c>
      <c r="AD298" s="4">
        <f>IFERROR(INDEX(Intervenções!$K$2:$K$300,AGGREGATE(15,6,(ROW(Intervenções!$K$2:$K$300)-ROW(Intervenções!$K$2)+1)/((Intervenções!$B$2:$B$300=A298)*(Intervenções!$A$2:$A$300=F298)*(Intervenções!$K$2:$K$300&lt;&gt;"")),3)),"")</f>
      </c>
      <c r="AE298" s="4">
        <f>"RECONCILIAÇÃO MEDICAMENTOSA"&amp;CHAR(10)&amp;IF(G298&lt;&gt;"","Medicamentos de uso prévio: "&amp;G298&amp;".","Sem medicamentos de uso prévio relatados.")&amp;CHAR(10)&amp;IF(H298&lt;&gt;"","Histórico de alergia/RAM: "&amp;H298&amp;".","Nega alergias/RAM conhecidas.")</f>
      </c>
      <c r="AF298" s="4">
        <f>AE298&amp;CHAR(10)&amp;CHAR(10)&amp;"1. Evolução Clínica"&amp;CHAR(10)&amp;TEXTJOIN(" ",TRUE,"Paciente "&amp;I298&amp;", "&amp;IF(J298="","sem DVA","em uso de "&amp;J298)&amp;".",IF(K298&lt;&gt;"","Em "&amp;K298&amp;IF(L298&lt;&gt;""," ("&amp;L298&amp;")","")&amp;IF(M298&lt;&gt;"", ", "&amp;M298,"")&amp;IF(N298&lt;&gt;"", ", sob analgosedação com "&amp;N298,"")&amp;".",""),IF(O298&lt;&gt;"",O298&amp;IF(P298&lt;&gt;"", ", com "&amp;LOWER(P298),"")&amp;IF(Q298&lt;&gt;"", " — "&amp;Q298,"")&amp;".",""),IF(R298="Febre","Apresentou episódio febril nas últimas 24h"&amp;IF(S298&lt;&gt;""," ("&amp;S298&amp;")","")&amp;".",IF(R298="Afebril","Encontra-se afebril.","")),IF(T298&lt;&gt;"",IF(U298="Sim","Apresenta disfunção renal aguda ","Função renal preservada ")&amp;"("&amp;T298&amp;").",""),IF(V298&lt;&gt;"","Em uso do esquema antimicrobiano com "&amp;V298&amp;".",""),IF(TEXTJOIN(", ",TRUE,IF(W298&lt;&gt;"","TEV ("&amp;W298&amp;")",""),IF(X298&lt;&gt;"","LAMG ("&amp;X298&amp;")",""),IF(Y298&lt;&gt;"","úlcera de córnea com "&amp;Y298,""))&lt;&gt;"","Em uso de profilaxia: "&amp;TEXTJOIN(", ",TRUE,IF(W298&lt;&gt;"","TEV ("&amp;W298&amp;")",""),IF(X298&lt;&gt;"","LAMG ("&amp;X298&amp;")",""),IF(Y298&lt;&gt;"","úlcera de córnea com "&amp;Y298,""))&amp;".",""))&amp;CHAR(10)&amp;CHAR(10)&amp;"2. Farmacoterapia"&amp;CHAR(10)&amp;IF(Z298&lt;&gt;"","Corticoide/DART: "&amp;Z298,"Sem corticoide/DART registrado.")&amp;CHAR(10)&amp;CHAR(10)&amp;"3. Conduta Farmacêutica"&amp;CHAR(10)&amp;IF(TEXTJOIN(CHAR(10),TRUE,AB298,AC298,AD298)="","Nenhuma intervenção registrada hoje.",TEXTJOIN(CHAR(10),TRUE,AB298,AC298,AD298))&amp;CHAR(10)&amp;CHAR(10)&amp;"4. Plano Terapêutico"&amp;CHAR(10)&amp;IF(AA298&lt;&gt;"",AA298,"Não definido.")</f>
      </c>
    </row>
    <row r="299" spans="1:32" x14ac:dyDescent="0.25">
      <c r="A299" s="4"/>
      <c r="B299" s="6">
        <f>IFERROR(INDEX(Pacientes!$A:$A,MATCH($A299,Pacientes!$B:$B,0)),"")</f>
      </c>
      <c r="C299" s="6">
        <f>IFERROR(INDEX(Pacientes!$C:$C,MATCH($A299,Pacientes!$B:$B,0)),"")</f>
      </c>
      <c r="D299" s="6">
        <f>IFERROR(INDEX(Pacientes!$D:$D,MATCH($A299,Pacientes!$B:$B,0)),"")</f>
      </c>
      <c r="E299" s="6">
        <f>IFERROR(INDEX(Pacientes!$E:$E,MATCH($A299,Pacientes!$B:$B,0)),"")</f>
      </c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>
        <f>IFERROR(INDEX(Intervenções!$K$2:$K$300,AGGREGATE(15,6,(ROW(Intervenções!$K$2:$K$300)-ROW(Intervenções!$K$2)+1)/((Intervenções!$B$2:$B$300=A299)*(Intervenções!$A$2:$A$300=F299)*(Intervenções!$K$2:$K$300&lt;&gt;"")),1)),"")</f>
      </c>
      <c r="AC299" s="4">
        <f>IFERROR(INDEX(Intervenções!$K$2:$K$300,AGGREGATE(15,6,(ROW(Intervenções!$K$2:$K$300)-ROW(Intervenções!$K$2)+1)/((Intervenções!$B$2:$B$300=A299)*(Intervenções!$A$2:$A$300=F299)*(Intervenções!$K$2:$K$300&lt;&gt;"")),2)),"")</f>
      </c>
      <c r="AD299" s="4">
        <f>IFERROR(INDEX(Intervenções!$K$2:$K$300,AGGREGATE(15,6,(ROW(Intervenções!$K$2:$K$300)-ROW(Intervenções!$K$2)+1)/((Intervenções!$B$2:$B$300=A299)*(Intervenções!$A$2:$A$300=F299)*(Intervenções!$K$2:$K$300&lt;&gt;"")),3)),"")</f>
      </c>
      <c r="AE299" s="4">
        <f>"RECONCILIAÇÃO MEDICAMENTOSA"&amp;CHAR(10)&amp;IF(G299&lt;&gt;"","Medicamentos de uso prévio: "&amp;G299&amp;".","Sem medicamentos de uso prévio relatados.")&amp;CHAR(10)&amp;IF(H299&lt;&gt;"","Histórico de alergia/RAM: "&amp;H299&amp;".","Nega alergias/RAM conhecidas.")</f>
      </c>
      <c r="AF299" s="4">
        <f>AE299&amp;CHAR(10)&amp;CHAR(10)&amp;"1. Evolução Clínica"&amp;CHAR(10)&amp;TEXTJOIN(" ",TRUE,"Paciente "&amp;I299&amp;", "&amp;IF(J299="","sem DVA","em uso de "&amp;J299)&amp;".",IF(K299&lt;&gt;"","Em "&amp;K299&amp;IF(L299&lt;&gt;""," ("&amp;L299&amp;")","")&amp;IF(M299&lt;&gt;"", ", "&amp;M299,"")&amp;IF(N299&lt;&gt;"", ", sob analgosedação com "&amp;N299,"")&amp;".",""),IF(O299&lt;&gt;"",O299&amp;IF(P299&lt;&gt;"", ", com "&amp;LOWER(P299),"")&amp;IF(Q299&lt;&gt;"", " — "&amp;Q299,"")&amp;".",""),IF(R299="Febre","Apresentou episódio febril nas últimas 24h"&amp;IF(S299&lt;&gt;""," ("&amp;S299&amp;")","")&amp;".",IF(R299="Afebril","Encontra-se afebril.","")),IF(T299&lt;&gt;"",IF(U299="Sim","Apresenta disfunção renal aguda ","Função renal preservada ")&amp;"("&amp;T299&amp;").",""),IF(V299&lt;&gt;"","Em uso do esquema antimicrobiano com "&amp;V299&amp;".",""),IF(TEXTJOIN(", ",TRUE,IF(W299&lt;&gt;"","TEV ("&amp;W299&amp;")",""),IF(X299&lt;&gt;"","LAMG ("&amp;X299&amp;")",""),IF(Y299&lt;&gt;"","úlcera de córnea com "&amp;Y299,""))&lt;&gt;"","Em uso de profilaxia: "&amp;TEXTJOIN(", ",TRUE,IF(W299&lt;&gt;"","TEV ("&amp;W299&amp;")",""),IF(X299&lt;&gt;"","LAMG ("&amp;X299&amp;")",""),IF(Y299&lt;&gt;"","úlcera de córnea com "&amp;Y299,""))&amp;".",""))&amp;CHAR(10)&amp;CHAR(10)&amp;"2. Farmacoterapia"&amp;CHAR(10)&amp;IF(Z299&lt;&gt;"","Corticoide/DART: "&amp;Z299,"Sem corticoide/DART registrado.")&amp;CHAR(10)&amp;CHAR(10)&amp;"3. Conduta Farmacêutica"&amp;CHAR(10)&amp;IF(TEXTJOIN(CHAR(10),TRUE,AB299,AC299,AD299)="","Nenhuma intervenção registrada hoje.",TEXTJOIN(CHAR(10),TRUE,AB299,AC299,AD299))&amp;CHAR(10)&amp;CHAR(10)&amp;"4. Plano Terapêutico"&amp;CHAR(10)&amp;IF(AA299&lt;&gt;"",AA299,"Não definido.")</f>
      </c>
    </row>
    <row r="300" spans="1:32" x14ac:dyDescent="0.25">
      <c r="A300" s="4"/>
      <c r="B300" s="6">
        <f>IFERROR(INDEX(Pacientes!$A:$A,MATCH($A300,Pacientes!$B:$B,0)),"")</f>
      </c>
      <c r="C300" s="6">
        <f>IFERROR(INDEX(Pacientes!$C:$C,MATCH($A300,Pacientes!$B:$B,0)),"")</f>
      </c>
      <c r="D300" s="6">
        <f>IFERROR(INDEX(Pacientes!$D:$D,MATCH($A300,Pacientes!$B:$B,0)),"")</f>
      </c>
      <c r="E300" s="6">
        <f>IFERROR(INDEX(Pacientes!$E:$E,MATCH($A300,Pacientes!$B:$B,0)),"")</f>
      </c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>
        <f>IFERROR(INDEX(Intervenções!$K$2:$K$300,AGGREGATE(15,6,(ROW(Intervenções!$K$2:$K$300)-ROW(Intervenções!$K$2)+1)/((Intervenções!$B$2:$B$300=A300)*(Intervenções!$A$2:$A$300=F300)*(Intervenções!$K$2:$K$300&lt;&gt;"")),1)),"")</f>
      </c>
      <c r="AC300" s="4">
        <f>IFERROR(INDEX(Intervenções!$K$2:$K$300,AGGREGATE(15,6,(ROW(Intervenções!$K$2:$K$300)-ROW(Intervenções!$K$2)+1)/((Intervenções!$B$2:$B$300=A300)*(Intervenções!$A$2:$A$300=F300)*(Intervenções!$K$2:$K$300&lt;&gt;"")),2)),"")</f>
      </c>
      <c r="AD300" s="4">
        <f>IFERROR(INDEX(Intervenções!$K$2:$K$300,AGGREGATE(15,6,(ROW(Intervenções!$K$2:$K$300)-ROW(Intervenções!$K$2)+1)/((Intervenções!$B$2:$B$300=A300)*(Intervenções!$A$2:$A$300=F300)*(Intervenções!$K$2:$K$300&lt;&gt;"")),3)),"")</f>
      </c>
      <c r="AE300" s="4">
        <f>"RECONCILIAÇÃO MEDICAMENTOSA"&amp;CHAR(10)&amp;IF(G300&lt;&gt;"","Medicamentos de uso prévio: "&amp;G300&amp;".","Sem medicamentos de uso prévio relatados.")&amp;CHAR(10)&amp;IF(H300&lt;&gt;"","Histórico de alergia/RAM: "&amp;H300&amp;".","Nega alergias/RAM conhecidas.")</f>
      </c>
      <c r="AF300" s="4">
        <f>AE300&amp;CHAR(10)&amp;CHAR(10)&amp;"1. Evolução Clínica"&amp;CHAR(10)&amp;TEXTJOIN(" ",TRUE,"Paciente "&amp;I300&amp;", "&amp;IF(J300="","sem DVA","em uso de "&amp;J300)&amp;".",IF(K300&lt;&gt;"","Em "&amp;K300&amp;IF(L300&lt;&gt;""," ("&amp;L300&amp;")","")&amp;IF(M300&lt;&gt;"", ", "&amp;M300,"")&amp;IF(N300&lt;&gt;"", ", sob analgosedação com "&amp;N300,"")&amp;".",""),IF(O300&lt;&gt;"",O300&amp;IF(P300&lt;&gt;"", ", com "&amp;LOWER(P300),"")&amp;IF(Q300&lt;&gt;"", " — "&amp;Q300,"")&amp;".",""),IF(R300="Febre","Apresentou episódio febril nas últimas 24h"&amp;IF(S300&lt;&gt;""," ("&amp;S300&amp;")","")&amp;".",IF(R300="Afebril","Encontra-se afebril.","")),IF(T300&lt;&gt;"",IF(U300="Sim","Apresenta disfunção renal aguda ","Função renal preservada ")&amp;"("&amp;T300&amp;").",""),IF(V300&lt;&gt;"","Em uso do esquema antimicrobiano com "&amp;V300&amp;".",""),IF(TEXTJOIN(", ",TRUE,IF(W300&lt;&gt;"","TEV ("&amp;W300&amp;")",""),IF(X300&lt;&gt;"","LAMG ("&amp;X300&amp;")",""),IF(Y300&lt;&gt;"","úlcera de córnea com "&amp;Y300,""))&lt;&gt;"","Em uso de profilaxia: "&amp;TEXTJOIN(", ",TRUE,IF(W300&lt;&gt;"","TEV ("&amp;W300&amp;")",""),IF(X300&lt;&gt;"","LAMG ("&amp;X300&amp;")",""),IF(Y300&lt;&gt;"","úlcera de córnea com "&amp;Y300,""))&amp;".",""))&amp;CHAR(10)&amp;CHAR(10)&amp;"2. Farmacoterapia"&amp;CHAR(10)&amp;IF(Z300&lt;&gt;"","Corticoide/DART: "&amp;Z300,"Sem corticoide/DART registrado.")&amp;CHAR(10)&amp;CHAR(10)&amp;"3. Conduta Farmacêutica"&amp;CHAR(10)&amp;IF(TEXTJOIN(CHAR(10),TRUE,AB300,AC300,AD300)="","Nenhuma intervenção registrada hoje.",TEXTJOIN(CHAR(10),TRUE,AB300,AC300,AD300))&amp;CHAR(10)&amp;CHAR(10)&amp;"4. Plano Terapêutico"&amp;CHAR(10)&amp;IF(AA300&lt;&gt;"",AA300,"Não definido.")</f>
      </c>
    </row>
  </sheetData>
  <conditionalFormatting sqref="A2:AF300">
    <cfRule type="expression" dxfId="7" priority="10">
      <formula>MOD(ROW(),2)=0</formula>
    </cfRule>
  </conditionalFormatting>
  <dataValidations count="16">
    <dataValidation type="list" allowBlank="1" sqref="A10:A300">
      <formula1>Pacientes!$B$2:$B$300</formula1>
    </dataValidation>
    <dataValidation type="list" allowBlank="1" sqref="A2:A300">
      <formula1>Pacientes!$B$2:$B$300</formula1>
    </dataValidation>
    <dataValidation type="list" allowBlank="1" sqref="I10:I300">
      <formula1>Listas!$C$2:$C$3</formula1>
    </dataValidation>
    <dataValidation type="list" allowBlank="1" sqref="I2:I300">
      <formula1>Listas!$C$2:$C$3</formula1>
    </dataValidation>
    <dataValidation type="list" allowBlank="1" sqref="K10:K300">
      <formula1>Listas!$D$2:$D$7</formula1>
    </dataValidation>
    <dataValidation type="list" allowBlank="1" sqref="K2:K300">
      <formula1>Listas!$D$2:$D$7</formula1>
    </dataValidation>
    <dataValidation type="list" allowBlank="1" sqref="M10:M300">
      <formula1>Listas!$E$2:$E$6</formula1>
    </dataValidation>
    <dataValidation type="list" allowBlank="1" sqref="M2:M300">
      <formula1>Listas!$E$2:$E$6</formula1>
    </dataValidation>
    <dataValidation type="list" allowBlank="1" sqref="O10:O300">
      <formula1>Listas!$G$2:$G$8</formula1>
    </dataValidation>
    <dataValidation type="list" allowBlank="1" sqref="O2:O300">
      <formula1>Listas!$G$2:$G$8</formula1>
    </dataValidation>
    <dataValidation type="list" allowBlank="1" sqref="P10:P300">
      <formula1>Listas!$H$2:$H$4</formula1>
    </dataValidation>
    <dataValidation type="list" allowBlank="1" sqref="P2:P300">
      <formula1>Listas!$H$2:$H$4</formula1>
    </dataValidation>
    <dataValidation type="list" allowBlank="1" sqref="R10:R300">
      <formula1>Listas!$I$2:$I$3</formula1>
    </dataValidation>
    <dataValidation type="list" allowBlank="1" sqref="R2:R300">
      <formula1>Listas!$I$2:$I$3</formula1>
    </dataValidation>
    <dataValidation type="list" allowBlank="1" sqref="U10:U300">
      <formula1>Listas!$F$2:$F$3</formula1>
    </dataValidation>
    <dataValidation type="list" allowBlank="1" sqref="U2:U300">
      <formula1>Listas!$F$2:$F$3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D28D9"/>
  </sheetPr>
  <dimension ref="A1:E27"/>
  <sheetFormatPr defaultRowHeight="15" outlineLevelRow="0" outlineLevelCol="0" x14ac:dyDescent="55"/>
  <cols>
    <col min="1" max="1" width="34" customWidth="1"/>
    <col min="2" max="2" width="24" customWidth="1"/>
    <col min="3" max="3" width="4" customWidth="1"/>
    <col min="4" max="4" width="45" customWidth="1"/>
    <col min="5" max="5" width="12" customWidth="1"/>
  </cols>
  <sheetData>
    <row r="1" spans="1:1" x14ac:dyDescent="0.25">
      <c r="A1" s="9" t="s">
        <v>255</v>
      </c>
    </row>
    <row r="3" spans="1:2" x14ac:dyDescent="0.25">
      <c r="A3" s="10" t="s">
        <v>256</v>
      </c>
      <c r="B3" s="11" t="s">
        <v>159</v>
      </c>
    </row>
    <row r="4" spans="1:2" x14ac:dyDescent="0.25">
      <c r="A4" s="10" t="s">
        <v>257</v>
      </c>
      <c r="B4" s="11">
        <v>2026</v>
      </c>
    </row>
    <row r="5" spans="1:2" x14ac:dyDescent="0.25">
      <c r="A5" s="10" t="s">
        <v>97</v>
      </c>
      <c r="B5" s="11" t="s">
        <v>124</v>
      </c>
    </row>
    <row r="7" spans="1:2" x14ac:dyDescent="0.25">
      <c r="A7" s="12" t="s">
        <v>258</v>
      </c>
      <c r="B7" s="12">
        <f>VALUE(LEFT(B3,FIND(" ",B3)-1))</f>
      </c>
    </row>
    <row r="8" spans="1:2" x14ac:dyDescent="0.25">
      <c r="A8" s="12" t="s">
        <v>259</v>
      </c>
      <c r="B8" s="13">
        <f>DATE(B4,B7,1)</f>
      </c>
    </row>
    <row r="9" spans="1:2" x14ac:dyDescent="0.25">
      <c r="A9" s="12" t="s">
        <v>260</v>
      </c>
      <c r="B9" s="13">
        <f>EOMONTH(B8,0)</f>
      </c>
    </row>
    <row r="12" spans="1:4" x14ac:dyDescent="0.25">
      <c r="A12" s="14" t="s">
        <v>261</v>
      </c>
      <c r="D12" s="15" t="s">
        <v>262</v>
      </c>
    </row>
    <row r="13" spans="1:5" x14ac:dyDescent="0.25">
      <c r="A13" s="16" t="s">
        <v>263</v>
      </c>
      <c r="B13" s="17">
        <f>SUMPRODUCT((Intervenções!$A$2:$A$300&gt;=$B$8)*(Intervenções!$A$2:$A$300&lt;=$B$9)*(($B$5="Todos")+(Intervenções!$D$2:$D$300=$B$5))*(Intervenções!$E$2:$E$300&lt;&gt;""))</f>
      </c>
      <c r="D13" s="10" t="s">
        <v>106</v>
      </c>
      <c r="E13" s="10" t="s">
        <v>264</v>
      </c>
    </row>
    <row r="14" spans="1:5" x14ac:dyDescent="0.25">
      <c r="A14" s="16" t="s">
        <v>265</v>
      </c>
      <c r="B14" s="17">
        <f>SUMPRODUCT((Intervenções!$A$2:$A$300&gt;=$B$8)*(Intervenções!$A$2:$A$300&lt;=$B$9)*(($B$5="Todos")+(Intervenções!$D$2:$D$300=$B$5))*ISNUMBER(SEARCH("Aceita",Intervenções!$I$2:$I$300)))</f>
      </c>
      <c r="D14" s="18" t="s">
        <v>120</v>
      </c>
      <c r="E14" s="18">
        <f>SUMPRODUCT((Intervenções!$A$2:$A$300&gt;=$B$8)*(Intervenções!$A$2:$A$300&lt;=$B$9)*(($B$5="Todos")+(Intervenções!$D$2:$D$300=$B$5))*(Intervenções!$E$2:$E$300=D14))</f>
      </c>
    </row>
    <row r="15" spans="1:5" x14ac:dyDescent="0.25">
      <c r="A15" s="16" t="s">
        <v>266</v>
      </c>
      <c r="B15" s="17">
        <f>IF(B13=0,0,ROUND(B14/B13*100,1))</f>
      </c>
      <c r="D15" s="19" t="s">
        <v>133</v>
      </c>
      <c r="E15" s="19">
        <f>SUMPRODUCT((Intervenções!$A$2:$A$300&gt;=$B$8)*(Intervenções!$A$2:$A$300&lt;=$B$9)*(($B$5="Todos")+(Intervenções!$D$2:$D$300=$B$5))*(Intervenções!$E$2:$E$300=D15))</f>
      </c>
    </row>
    <row r="16" spans="1:5" x14ac:dyDescent="0.25">
      <c r="A16" s="16" t="s">
        <v>267</v>
      </c>
      <c r="B16" s="17">
        <f>COUNTIF(Pacientes!$E:$E,"Ativo")</f>
      </c>
      <c r="D16" s="18" t="s">
        <v>142</v>
      </c>
      <c r="E16" s="18">
        <f>SUMPRODUCT((Intervenções!$A$2:$A$300&gt;=$B$8)*(Intervenções!$A$2:$A$300&lt;=$B$9)*(($B$5="Todos")+(Intervenções!$D$2:$D$300=$B$5))*(Intervenções!$E$2:$E$300=D16))</f>
      </c>
    </row>
    <row r="17" spans="1:5" x14ac:dyDescent="0.25">
      <c r="A17" s="16" t="s">
        <v>268</v>
      </c>
      <c r="B17" s="17">
        <f>COUNTIF(Pacientes!$E:$E,"Alta")</f>
      </c>
      <c r="D17" s="19" t="s">
        <v>149</v>
      </c>
      <c r="E17" s="19">
        <f>SUMPRODUCT((Intervenções!$A$2:$A$300&gt;=$B$8)*(Intervenções!$A$2:$A$300&lt;=$B$9)*(($B$5="Todos")+(Intervenções!$D$2:$D$300=$B$5))*(Intervenções!$E$2:$E$300=D17))</f>
      </c>
    </row>
    <row r="18" spans="1:5" x14ac:dyDescent="0.25">
      <c r="A18" s="16" t="s">
        <v>269</v>
      </c>
      <c r="B18" s="17">
        <f>COUNTIF(Pacientes!$I:$I,"Sim")</f>
      </c>
      <c r="D18" s="18" t="s">
        <v>156</v>
      </c>
      <c r="E18" s="18">
        <f>SUMPRODUCT((Intervenções!$A$2:$A$300&gt;=$B$8)*(Intervenções!$A$2:$A$300&lt;=$B$9)*(($B$5="Todos")+(Intervenções!$D$2:$D$300=$B$5))*(Intervenções!$E$2:$E$300=D18))</f>
      </c>
    </row>
    <row r="19" spans="4:5" x14ac:dyDescent="0.25">
      <c r="D19" s="19" t="s">
        <v>162</v>
      </c>
      <c r="E19" s="19">
        <f>SUMPRODUCT((Intervenções!$A$2:$A$300&gt;=$B$8)*(Intervenções!$A$2:$A$300&lt;=$B$9)*(($B$5="Todos")+(Intervenções!$D$2:$D$300=$B$5))*(Intervenções!$E$2:$E$300=D19))</f>
      </c>
    </row>
    <row r="20" spans="4:5" x14ac:dyDescent="0.25">
      <c r="D20" s="18" t="s">
        <v>166</v>
      </c>
      <c r="E20" s="18">
        <f>SUMPRODUCT((Intervenções!$A$2:$A$300&gt;=$B$8)*(Intervenções!$A$2:$A$300&lt;=$B$9)*(($B$5="Todos")+(Intervenções!$D$2:$D$300=$B$5))*(Intervenções!$E$2:$E$300=D20))</f>
      </c>
    </row>
    <row r="21" spans="4:5" x14ac:dyDescent="0.25">
      <c r="D21" s="19" t="s">
        <v>169</v>
      </c>
      <c r="E21" s="19">
        <f>SUMPRODUCT((Intervenções!$A$2:$A$300&gt;=$B$8)*(Intervenções!$A$2:$A$300&lt;=$B$9)*(($B$5="Todos")+(Intervenções!$D$2:$D$300=$B$5))*(Intervenções!$E$2:$E$300=D21))</f>
      </c>
    </row>
    <row r="22" spans="4:5" x14ac:dyDescent="0.25">
      <c r="D22" s="18" t="s">
        <v>172</v>
      </c>
      <c r="E22" s="18">
        <f>SUMPRODUCT((Intervenções!$A$2:$A$300&gt;=$B$8)*(Intervenções!$A$2:$A$300&lt;=$B$9)*(($B$5="Todos")+(Intervenções!$D$2:$D$300=$B$5))*(Intervenções!$E$2:$E$300=D22))</f>
      </c>
    </row>
    <row r="23" spans="4:5" x14ac:dyDescent="0.25">
      <c r="D23" s="19" t="s">
        <v>174</v>
      </c>
      <c r="E23" s="19">
        <f>SUMPRODUCT((Intervenções!$A$2:$A$300&gt;=$B$8)*(Intervenções!$A$2:$A$300&lt;=$B$9)*(($B$5="Todos")+(Intervenções!$D$2:$D$300=$B$5))*(Intervenções!$E$2:$E$300=D23))</f>
      </c>
    </row>
    <row r="24" spans="4:5" x14ac:dyDescent="0.25">
      <c r="D24" s="18" t="s">
        <v>176</v>
      </c>
      <c r="E24" s="18">
        <f>SUMPRODUCT((Intervenções!$A$2:$A$300&gt;=$B$8)*(Intervenções!$A$2:$A$300&lt;=$B$9)*(($B$5="Todos")+(Intervenções!$D$2:$D$300=$B$5))*(Intervenções!$E$2:$E$300=D24))</f>
      </c>
    </row>
    <row r="25" spans="4:5" x14ac:dyDescent="0.25">
      <c r="D25" s="19" t="s">
        <v>178</v>
      </c>
      <c r="E25" s="19">
        <f>SUMPRODUCT((Intervenções!$A$2:$A$300&gt;=$B$8)*(Intervenções!$A$2:$A$300&lt;=$B$9)*(($B$5="Todos")+(Intervenções!$D$2:$D$300=$B$5))*(Intervenções!$E$2:$E$300=D25))</f>
      </c>
    </row>
    <row r="27" spans="1:1" x14ac:dyDescent="0.25">
      <c r="A27" s="20" t="s">
        <v>270</v>
      </c>
    </row>
  </sheetData>
  <dataValidations count="2">
    <dataValidation type="list" allowBlank="1" sqref="B3">
      <formula1>Listas!$M$2:$M$13</formula1>
    </dataValidation>
    <dataValidation type="list" allowBlank="1" sqref="B5">
      <formula1>Listas!$N$2:$N$5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I22"/>
  <sheetViews>
    <sheetView workbookViewId="0" showGridLines="0"/>
  </sheetViews>
  <sheetFormatPr defaultRowHeight="15" outlineLevelRow="0" outlineLevelCol="0" x14ac:dyDescent="55"/>
  <cols>
    <col min="1" max="1" width="4" customWidth="1"/>
    <col min="2" max="9" width="16" customWidth="1"/>
  </cols>
  <sheetData>
    <row r="2" spans="2:2" x14ac:dyDescent="0.25">
      <c r="B2" s="21" t="s">
        <v>271</v>
      </c>
    </row>
    <row r="3" spans="2:2" x14ac:dyDescent="0.25">
      <c r="B3" s="22" t="s">
        <v>272</v>
      </c>
    </row>
    <row r="5" ht="22" customHeight="1" spans="2:9" x14ac:dyDescent="0.25">
      <c r="B5" s="23">
        <f>HYPERLINK("#'Pacientes'!A1","👤  PACIENTES")</f>
      </c>
      <c r="C5" s="23"/>
      <c r="D5" s="23"/>
      <c r="E5" s="23"/>
      <c r="F5" s="23"/>
      <c r="G5" s="23"/>
      <c r="H5" s="23"/>
      <c r="I5" s="23"/>
    </row>
    <row r="6" ht="22" customHeight="1" spans="2:9" x14ac:dyDescent="0.25">
      <c r="B6" s="23"/>
      <c r="C6" s="23"/>
      <c r="D6" s="23"/>
      <c r="E6" s="23"/>
      <c r="F6" s="23"/>
      <c r="G6" s="23"/>
      <c r="H6" s="23"/>
      <c r="I6" s="23"/>
    </row>
    <row r="7" ht="22" customHeight="1" spans="2:9" x14ac:dyDescent="0.25">
      <c r="B7" s="23"/>
      <c r="C7" s="23"/>
      <c r="D7" s="23"/>
      <c r="E7" s="23"/>
      <c r="F7" s="23"/>
      <c r="G7" s="23"/>
      <c r="H7" s="23"/>
      <c r="I7" s="23"/>
    </row>
    <row r="9" ht="22" customHeight="1" spans="2:9" x14ac:dyDescent="0.25">
      <c r="B9" s="24">
        <f>HYPERLINK("#'Ficha Diária'!A1","📋  FICHA DIÁRIA")</f>
      </c>
      <c r="C9" s="24"/>
      <c r="D9" s="24"/>
      <c r="E9" s="24"/>
      <c r="F9" s="24"/>
      <c r="G9" s="24"/>
      <c r="H9" s="24"/>
      <c r="I9" s="24"/>
    </row>
    <row r="10" ht="22" customHeight="1" spans="2:9" x14ac:dyDescent="0.25">
      <c r="B10" s="24"/>
      <c r="C10" s="24"/>
      <c r="D10" s="24"/>
      <c r="E10" s="24"/>
      <c r="F10" s="24"/>
      <c r="G10" s="24"/>
      <c r="H10" s="24"/>
      <c r="I10" s="24"/>
    </row>
    <row r="11" ht="22" customHeight="1" spans="2:9" x14ac:dyDescent="0.25">
      <c r="B11" s="24"/>
      <c r="C11" s="24"/>
      <c r="D11" s="24"/>
      <c r="E11" s="24"/>
      <c r="F11" s="24"/>
      <c r="G11" s="24"/>
      <c r="H11" s="24"/>
      <c r="I11" s="24"/>
    </row>
    <row r="13" ht="22" customHeight="1" spans="2:9" x14ac:dyDescent="0.25">
      <c r="B13" s="25">
        <f>HYPERLINK("#'Intervenções'!A1","💊  INTERVENÇÕES")</f>
      </c>
      <c r="C13" s="25"/>
      <c r="D13" s="25"/>
      <c r="E13" s="25"/>
      <c r="F13" s="25"/>
      <c r="G13" s="25"/>
      <c r="H13" s="25"/>
      <c r="I13" s="25"/>
    </row>
    <row r="14" ht="22" customHeight="1" spans="2:9" x14ac:dyDescent="0.25">
      <c r="B14" s="25"/>
      <c r="C14" s="25"/>
      <c r="D14" s="25"/>
      <c r="E14" s="25"/>
      <c r="F14" s="25"/>
      <c r="G14" s="25"/>
      <c r="H14" s="25"/>
      <c r="I14" s="25"/>
    </row>
    <row r="15" ht="22" customHeight="1" spans="2:9" x14ac:dyDescent="0.25">
      <c r="B15" s="25"/>
      <c r="C15" s="25"/>
      <c r="D15" s="25"/>
      <c r="E15" s="25"/>
      <c r="F15" s="25"/>
      <c r="G15" s="25"/>
      <c r="H15" s="25"/>
      <c r="I15" s="25"/>
    </row>
    <row r="17" ht="22" customHeight="1" spans="2:9" x14ac:dyDescent="0.25">
      <c r="B17" s="26">
        <f>HYPERLINK("#'Indicadores'!A1","📊  INDICADORES")</f>
      </c>
      <c r="C17" s="26"/>
      <c r="D17" s="26"/>
      <c r="E17" s="26"/>
      <c r="F17" s="26"/>
      <c r="G17" s="26"/>
      <c r="H17" s="26"/>
      <c r="I17" s="26"/>
    </row>
    <row r="18" ht="22" customHeight="1" spans="2:9" x14ac:dyDescent="0.25">
      <c r="B18" s="26"/>
      <c r="C18" s="26"/>
      <c r="D18" s="26"/>
      <c r="E18" s="26"/>
      <c r="F18" s="26"/>
      <c r="G18" s="26"/>
      <c r="H18" s="26"/>
      <c r="I18" s="26"/>
    </row>
    <row r="19" ht="22" customHeight="1" spans="2:9" x14ac:dyDescent="0.25">
      <c r="B19" s="26"/>
      <c r="C19" s="26"/>
      <c r="D19" s="26"/>
      <c r="E19" s="26"/>
      <c r="F19" s="26"/>
      <c r="G19" s="26"/>
      <c r="H19" s="26"/>
      <c r="I19" s="26"/>
    </row>
    <row r="22" spans="2:9" x14ac:dyDescent="0.25">
      <c r="B22" s="27" t="s">
        <v>273</v>
      </c>
      <c r="C22" s="27"/>
      <c r="D22" s="27"/>
      <c r="E22" s="27"/>
      <c r="F22" s="27"/>
      <c r="G22" s="27"/>
      <c r="H22" s="27"/>
      <c r="I22" s="27"/>
    </row>
  </sheetData>
  <mergeCells count="5">
    <mergeCell ref="B5:I7"/>
    <mergeCell ref="B9:I11"/>
    <mergeCell ref="B13:I15"/>
    <mergeCell ref="B17:I19"/>
    <mergeCell ref="B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21"/>
  <sheetFormatPr defaultRowHeight="15" outlineLevelRow="0" outlineLevelCol="0" x14ac:dyDescent="55"/>
  <cols>
    <col min="1" max="1" width="105" customWidth="1"/>
  </cols>
  <sheetData>
    <row r="1" spans="1:1" s="28" customFormat="1" x14ac:dyDescent="0.25">
      <c r="A1" s="28" t="s">
        <v>274</v>
      </c>
    </row>
    <row r="2" spans="1:1" x14ac:dyDescent="0.25">
      <c r="A2" t="s">
        <v>192</v>
      </c>
    </row>
    <row r="3" spans="1:1" x14ac:dyDescent="0.25">
      <c r="A3" t="s">
        <v>275</v>
      </c>
    </row>
    <row r="4" spans="1:1" x14ac:dyDescent="0.25">
      <c r="A4" t="s">
        <v>276</v>
      </c>
    </row>
    <row r="5" spans="1:1" x14ac:dyDescent="0.25">
      <c r="A5" t="s">
        <v>277</v>
      </c>
    </row>
    <row r="6" spans="1:1" x14ac:dyDescent="0.25">
      <c r="A6" t="s">
        <v>278</v>
      </c>
    </row>
    <row r="7" spans="1:1" x14ac:dyDescent="0.25">
      <c r="A7" t="s">
        <v>279</v>
      </c>
    </row>
    <row r="8" spans="1:1" x14ac:dyDescent="0.25">
      <c r="A8" t="s">
        <v>280</v>
      </c>
    </row>
    <row r="9" spans="1:1" x14ac:dyDescent="0.25">
      <c r="A9" t="s">
        <v>281</v>
      </c>
    </row>
    <row r="10" spans="1:1" x14ac:dyDescent="0.25">
      <c r="A10" t="s">
        <v>282</v>
      </c>
    </row>
    <row r="11" spans="1:1" s="29" customFormat="1" x14ac:dyDescent="0.25">
      <c r="A11" s="29" t="s">
        <v>283</v>
      </c>
    </row>
    <row r="12" spans="1:1" x14ac:dyDescent="0.25">
      <c r="A12" t="s">
        <v>192</v>
      </c>
    </row>
    <row r="13" spans="1:1" x14ac:dyDescent="0.25">
      <c r="A13" t="s">
        <v>284</v>
      </c>
    </row>
    <row r="14" spans="1:1" x14ac:dyDescent="0.25">
      <c r="A14" t="s">
        <v>285</v>
      </c>
    </row>
    <row r="15" spans="1:1" x14ac:dyDescent="0.25">
      <c r="A15" t="s">
        <v>286</v>
      </c>
    </row>
    <row r="16" spans="1:1" x14ac:dyDescent="0.25">
      <c r="A16" t="s">
        <v>287</v>
      </c>
    </row>
    <row r="17" spans="1:1" x14ac:dyDescent="0.25">
      <c r="A17" t="s">
        <v>288</v>
      </c>
    </row>
    <row r="18" spans="1:1" x14ac:dyDescent="0.25">
      <c r="A18" t="s">
        <v>289</v>
      </c>
    </row>
    <row r="19" spans="1:1" x14ac:dyDescent="0.25">
      <c r="A19" t="s">
        <v>192</v>
      </c>
    </row>
    <row r="20" spans="1:1" x14ac:dyDescent="0.25">
      <c r="A20" t="s">
        <v>290</v>
      </c>
    </row>
    <row r="21" spans="1:1" x14ac:dyDescent="0.25">
      <c r="A21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Taxonomia</vt:lpstr>
      <vt:lpstr>Listas</vt:lpstr>
      <vt:lpstr>Pacientes</vt:lpstr>
      <vt:lpstr>Intervenções</vt:lpstr>
      <vt:lpstr>Ficha Diária</vt:lpstr>
      <vt:lpstr>Indicadores</vt:lpstr>
      <vt:lpstr>Menu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Farmácia Clínica - HMAF (v5)</dc:creator>
  <dc:title/>
  <dc:subject/>
  <dc:description/>
  <cp:keywords/>
  <cp:category/>
  <cp:lastModifiedBy>Unknown</cp:lastModifiedBy>
  <dcterms:created xsi:type="dcterms:W3CDTF">2026-08-23T13:24:07Z</dcterms:created>
  <dcterms:modified xsi:type="dcterms:W3CDTF">2026-08-23T13:24:07Z</dcterms:modified>
</cp:coreProperties>
</file>