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ções" state="visible" r:id="rId4"/>
    <sheet sheetId="2" name="Listas" state="visible" r:id="rId5"/>
    <sheet sheetId="3" name="Pacientes" state="visible" r:id="rId6"/>
    <sheet sheetId="4" name="Ficha Diária" state="visible" r:id="rId7"/>
    <sheet sheetId="5" name="Indicadores" state="visible" r:id="rId8"/>
  </sheets>
  <calcPr calcId="171027"/>
</workbook>
</file>

<file path=xl/sharedStrings.xml><?xml version="1.0" encoding="utf-8"?>
<sst xmlns="http://schemas.openxmlformats.org/spreadsheetml/2006/main" count="214" uniqueCount="163">
  <si>
    <t>COMO USAR — VERSÃO 3 (planilha de apoio, caso não use o app)</t>
  </si>
  <si>
    <t/>
  </si>
  <si>
    <t>O que mudou em relação à primeira tentativa:</t>
  </si>
  <si>
    <t>• Medicamentos (DVA, sedação, antimicrobianos, profilaxias) agora são campos de texto livre — cole tudo numa célula só.</t>
  </si>
  <si>
    <t>• Aba "Pacientes": muda de cor sozinha (verde = Ativo, cinza = Alta) assim que você troca o status na coluna correspondente.</t>
  </si>
  <si>
    <t>• Aba "Indicadores": tem seletores de Mês/Ano e Setor no topo. Os números recalculam sozinhos ao trocar — não precisa de uma aba por mês.</t>
  </si>
  <si>
    <t>Fluxo de uso:</t>
  </si>
  <si>
    <t>1. Cadastre o paciente na aba "Pacientes" (uma linha por paciente).</t>
  </si>
  <si>
    <t>2. A cada dia de acompanhamento, adicione uma linha na aba "Ficha Diária" (pode repetir o mesmo paciente em dias diferentes).</t>
  </si>
  <si>
    <t>3. A última coluna da Ficha Diária já monta o texto da evolução daquele dia.</t>
  </si>
  <si>
    <t>4. Vá em "Indicadores", escolha o mês e o setor, e veja os números daquele recorte.</t>
  </si>
  <si>
    <t>Limitações honestas (o que ainda fica melhor no app):</t>
  </si>
  <si>
    <t>• Não existem campos que aparecem/somem sozinhos (tipo "só mostra Via TOT/TQT se marcar VMI") — aqui todos os campos ficam sempre visíveis.</t>
  </si>
  <si>
    <t>• A cor por status é só na aba "Pacientes" — a "Ficha Diária" não muda de cor por linha.</t>
  </si>
  <si>
    <t>• A taxa de reconciliação é calculada por linha de ficha, não por paciente único — se o mesmo paciente tiver reconciliação em 2 dias diferentes, conta 2 vezes.</t>
  </si>
  <si>
    <t>• Sem geração de texto por IA — só o texto simples calculado por fórmula, igual ao motor do app, mas mais resumido.</t>
  </si>
  <si>
    <t>Setor</t>
  </si>
  <si>
    <t>StatusPaciente</t>
  </si>
  <si>
    <t>HemoStatus</t>
  </si>
  <si>
    <t>Ventilacao</t>
  </si>
  <si>
    <t>EstadoNeuro</t>
  </si>
  <si>
    <t>SimNao</t>
  </si>
  <si>
    <t>Dieta</t>
  </si>
  <si>
    <t>Aceitacao</t>
  </si>
  <si>
    <t>Febre</t>
  </si>
  <si>
    <t>Categoria</t>
  </si>
  <si>
    <t>StatusIntervencao</t>
  </si>
  <si>
    <t>Profissional</t>
  </si>
  <si>
    <t>Meses</t>
  </si>
  <si>
    <t>SetorFiltro</t>
  </si>
  <si>
    <t>UTI neo</t>
  </si>
  <si>
    <t>Ativo</t>
  </si>
  <si>
    <t>hemodinamicamente estável</t>
  </si>
  <si>
    <t>Ar Ambiente</t>
  </si>
  <si>
    <t>Confortável</t>
  </si>
  <si>
    <t>Sim</t>
  </si>
  <si>
    <t>Zero/Jejum</t>
  </si>
  <si>
    <t>Boa Aceitação</t>
  </si>
  <si>
    <t>Afebril</t>
  </si>
  <si>
    <t>Dose</t>
  </si>
  <si>
    <t>Sem intervenção hoje</t>
  </si>
  <si>
    <t>Médico</t>
  </si>
  <si>
    <t>1 - Janeiro</t>
  </si>
  <si>
    <t>Todos</t>
  </si>
  <si>
    <t>UTI ped</t>
  </si>
  <si>
    <t>Alta</t>
  </si>
  <si>
    <t>hemodinamicamente instável</t>
  </si>
  <si>
    <t>VMI</t>
  </si>
  <si>
    <t>Agitado</t>
  </si>
  <si>
    <t>Não</t>
  </si>
  <si>
    <t>Oral</t>
  </si>
  <si>
    <t>Aceitação Parcial</t>
  </si>
  <si>
    <t>Dispensação</t>
  </si>
  <si>
    <t>Aceita e implementada</t>
  </si>
  <si>
    <t>Residente</t>
  </si>
  <si>
    <t>2 - Fevereiro</t>
  </si>
  <si>
    <t>UCSIN</t>
  </si>
  <si>
    <t>Cateter Nasal</t>
  </si>
  <si>
    <t>Comatoso</t>
  </si>
  <si>
    <t>Enteral</t>
  </si>
  <si>
    <t>Intolerância à Dieta</t>
  </si>
  <si>
    <t>Frequência de Administração</t>
  </si>
  <si>
    <t>Aceita, porém não implementada</t>
  </si>
  <si>
    <t>Enfermeiro</t>
  </si>
  <si>
    <t>3 - Março</t>
  </si>
  <si>
    <t>Máscara de Venturi</t>
  </si>
  <si>
    <t>Arreativo</t>
  </si>
  <si>
    <t>NPT</t>
  </si>
  <si>
    <t>Via / Forma Farmacêutica</t>
  </si>
  <si>
    <t>Não aceita com justificativa clínica</t>
  </si>
  <si>
    <t>Técnico de Enfermagem</t>
  </si>
  <si>
    <t>4 - Abril</t>
  </si>
  <si>
    <t>VNI/CPAP</t>
  </si>
  <si>
    <t>Reativo</t>
  </si>
  <si>
    <t>Administração por Sonda</t>
  </si>
  <si>
    <t>Não aceita sem justificativa clínica</t>
  </si>
  <si>
    <t>Fisioterapeuta</t>
  </si>
  <si>
    <t>5 - Maio</t>
  </si>
  <si>
    <t>Tempo de Infusão &amp; Diluição</t>
  </si>
  <si>
    <t>Pendente de resposta</t>
  </si>
  <si>
    <t>Fonoaudiólogo</t>
  </si>
  <si>
    <t>6 - Junho</t>
  </si>
  <si>
    <t>Indicação &amp; Resposta Terapêutica</t>
  </si>
  <si>
    <t>Nutricionista</t>
  </si>
  <si>
    <t>7 - Julho</t>
  </si>
  <si>
    <t>Exames &amp; Dispositivos</t>
  </si>
  <si>
    <t>Outro</t>
  </si>
  <si>
    <t>8 - Agosto</t>
  </si>
  <si>
    <t>Reação Adversa (RAM)</t>
  </si>
  <si>
    <t>9 - Setembro</t>
  </si>
  <si>
    <t>Incompatibilidade &amp; Interações</t>
  </si>
  <si>
    <t>10 - Outubro</t>
  </si>
  <si>
    <t>Gerenciamento de Antimicrobianos (Stewardship)</t>
  </si>
  <si>
    <t>11 - Novembro</t>
  </si>
  <si>
    <t>Analgesia Multimodal</t>
  </si>
  <si>
    <t>12 - Dezembro</t>
  </si>
  <si>
    <t>Nome</t>
  </si>
  <si>
    <t>Prontuário</t>
  </si>
  <si>
    <t>Leito</t>
  </si>
  <si>
    <t>Status</t>
  </si>
  <si>
    <t>Data Admissão</t>
  </si>
  <si>
    <t>Data Alta</t>
  </si>
  <si>
    <t>Diagnóstico</t>
  </si>
  <si>
    <t>M.L.C.A.</t>
  </si>
  <si>
    <t>PED-8942</t>
  </si>
  <si>
    <t>UTIP-04</t>
  </si>
  <si>
    <t>2026-05-10</t>
  </si>
  <si>
    <t>Bronquiolite Viral Aguda Grave</t>
  </si>
  <si>
    <t>J.S.O.</t>
  </si>
  <si>
    <t>PED-7731</t>
  </si>
  <si>
    <t>UTIN-02</t>
  </si>
  <si>
    <t>2026-04-02</t>
  </si>
  <si>
    <t>2026-04-20</t>
  </si>
  <si>
    <t>Sepse neonatal precoce</t>
  </si>
  <si>
    <t>Data</t>
  </si>
  <si>
    <t>Status Hemodinâmico</t>
  </si>
  <si>
    <t>Drogas Vasoativas (texto livre)</t>
  </si>
  <si>
    <t>Suporte Ventilatório</t>
  </si>
  <si>
    <t>Via (TOT/TQT)</t>
  </si>
  <si>
    <t>Parâmetros Ventilatórios (FiO2/PEEP)</t>
  </si>
  <si>
    <t>Estado Neurológico</t>
  </si>
  <si>
    <t>Sedoanalgesia (texto livre)</t>
  </si>
  <si>
    <t>Aceitação</t>
  </si>
  <si>
    <t>Observação Dieta/Aceitação (resíduo, regurgitação etc.)</t>
  </si>
  <si>
    <t>Detalhe Febre (Tmax / episódios)</t>
  </si>
  <si>
    <t>Função Renal (Cr/Ur/Diurese - texto)</t>
  </si>
  <si>
    <t>Ajuste Renal?</t>
  </si>
  <si>
    <t>Antimicrobiano(s) (texto livre)</t>
  </si>
  <si>
    <t>Profilaxias (texto livre)</t>
  </si>
  <si>
    <t>Corticoide / DART (texto livre)</t>
  </si>
  <si>
    <t>Categoria da Intervenção</t>
  </si>
  <si>
    <t>Descrição da Conduta (hoje)</t>
  </si>
  <si>
    <t>Status da Intervenção</t>
  </si>
  <si>
    <t>Profissional Contatado</t>
  </si>
  <si>
    <t>Reconciliação Realizada?</t>
  </si>
  <si>
    <t>Plano Terapêutico</t>
  </si>
  <si>
    <t>EVOLUÇÃO GERADA (fórmula automática)</t>
  </si>
  <si>
    <t>2026-05-14</t>
  </si>
  <si>
    <t>Noradrenalina 0.15 mcg/kg/min</t>
  </si>
  <si>
    <t>TOT</t>
  </si>
  <si>
    <t>FiO2 40% | PEEP 7,0</t>
  </si>
  <si>
    <t>Dexmedetomidina 0.4 mcg/kg/h</t>
  </si>
  <si>
    <t>Tmax 38.4°C, 2 episódios</t>
  </si>
  <si>
    <t>Cr 1.8 mg/dL, Ur 82 mg/dL, Diurese 0.6 mL/kg/h</t>
  </si>
  <si>
    <t>Piperacilina + Tazobactam 4.5g IV 6/6h (DTA 2)</t>
  </si>
  <si>
    <t>TEV: Enoxaparina 40mg SC; LAMG: Omeprazol 40mg IV; Córnea: Vidisic gel</t>
  </si>
  <si>
    <t>Recomendado ajuste renal do antimicrobiano.</t>
  </si>
  <si>
    <t>Mantenho acompanhamento farmacoterapêutico diário. Monitoro função renal e ajusto doses conforme necessário.</t>
  </si>
  <si>
    <t>Filtros</t>
  </si>
  <si>
    <t>Mês</t>
  </si>
  <si>
    <t>Ano</t>
  </si>
  <si>
    <t>Mês (nº) [auxiliar]</t>
  </si>
  <si>
    <t>Data Início [auxiliar]</t>
  </si>
  <si>
    <t>Data Fim [auxiliar]</t>
  </si>
  <si>
    <t>Indicadores do Período</t>
  </si>
  <si>
    <t>Intervenções por Categoria (no período/setor filtrado)</t>
  </si>
  <si>
    <t>Total de Intervenções</t>
  </si>
  <si>
    <t>Contagem</t>
  </si>
  <si>
    <t>Intervenções Aceitas</t>
  </si>
  <si>
    <t>Taxa de Aceitação (%)</t>
  </si>
  <si>
    <t>Total de Reconciliações</t>
  </si>
  <si>
    <t>Fichas no Período (denominador aprox.)</t>
  </si>
  <si>
    <t>Taxa de Reconciliação (%) [aprox., por ficha]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</si>
</sst>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8" x14ac:knownFonts="1">
    <font>
      <color theme="1"/>
      <family val="2"/>
      <scheme val="minor"/>
      <sz val="11"/>
      <name val="Calibri"/>
    </font>
    <font>
      <b/>
      <color rgb="FF2563EB"/>
      <sz val="14"/>
    </font>
    <font>
      <b/>
    </font>
    <font>
      <b/>
      <color rgb="FFFFFFFF"/>
      <sz val="10"/>
    </font>
    <font>
      <b/>
      <color rgb="FF2563EB"/>
      <sz val="13"/>
    </font>
    <font>
      <b/>
      <color rgb="FFFFFFFF"/>
    </font>
    <font>
      <i/>
      <color rgb="FF4B615D"/>
      <sz val="9"/>
    </font>
    <font>
      <b/>
      <color rgb="FF2563EB"/>
      <sz val="12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4" fillId="0" borderId="0" xfId="0" applyFont="1"/>
    <xf numFmtId="0" fontId="5" fillId="3" borderId="0" xfId="0" applyFont="1" applyFill="1"/>
    <xf numFmtId="0" fontId="6" fillId="0" borderId="0" xfId="0" applyFont="1"/>
    <xf numFmtId="164" fontId="6" fillId="0" borderId="0" xfId="0" applyNumberFormat="1" applyFont="1"/>
    <xf numFmtId="0" fontId="7" fillId="0" borderId="0" xfId="0" applyFont="1"/>
  </cellXfs>
  <cellStyles count="1">
    <cellStyle name="Normal" xfId="0" builtinId="0"/>
  </cellStyles>
  <dxfs count="2">
    <dxf>
      <fill>
        <patternFill patternType="solid">
          <bgColor rgb="FFDCFCE7"/>
        </patternFill>
      </fill>
    </dxf>
    <dxf>
      <fill>
        <patternFill patternType="solid">
          <bgColor rgb="FFE7E9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"/>
  <sheetFormatPr defaultRowHeight="15" outlineLevelRow="0" outlineLevelCol="0" x14ac:dyDescent="55"/>
  <cols>
    <col min="1" max="1" width="10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1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FormatPr defaultRowHeight="15" outlineLevelRow="0" outlineLevelCol="0" x14ac:dyDescent="55"/>
  <cols>
    <col min="1" max="14" width="42" customWidth="1"/>
  </cols>
  <sheetData>
    <row r="1" spans="1:14" x14ac:dyDescent="0.25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  <c r="J1" s="2" t="s">
        <v>25</v>
      </c>
      <c r="K1" s="2" t="s">
        <v>26</v>
      </c>
      <c r="L1" s="2" t="s">
        <v>27</v>
      </c>
      <c r="M1" s="2" t="s">
        <v>28</v>
      </c>
      <c r="N1" s="2" t="s">
        <v>29</v>
      </c>
    </row>
    <row r="2" spans="1:14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</row>
    <row r="3" spans="1:14" x14ac:dyDescent="0.25">
      <c r="A3" t="s">
        <v>44</v>
      </c>
      <c r="B3" t="s">
        <v>45</v>
      </c>
      <c r="C3" t="s">
        <v>46</v>
      </c>
      <c r="D3" t="s">
        <v>47</v>
      </c>
      <c r="E3" t="s">
        <v>48</v>
      </c>
      <c r="F3" t="s">
        <v>49</v>
      </c>
      <c r="G3" t="s">
        <v>50</v>
      </c>
      <c r="H3" t="s">
        <v>51</v>
      </c>
      <c r="I3" t="s">
        <v>24</v>
      </c>
      <c r="J3" t="s">
        <v>52</v>
      </c>
      <c r="K3" t="s">
        <v>53</v>
      </c>
      <c r="L3" t="s">
        <v>54</v>
      </c>
      <c r="M3" t="s">
        <v>55</v>
      </c>
      <c r="N3" t="s">
        <v>30</v>
      </c>
    </row>
    <row r="4" spans="1:14" x14ac:dyDescent="0.25">
      <c r="A4" t="s">
        <v>56</v>
      </c>
      <c r="D4" t="s">
        <v>57</v>
      </c>
      <c r="E4" t="s">
        <v>58</v>
      </c>
      <c r="G4" t="s">
        <v>59</v>
      </c>
      <c r="H4" t="s">
        <v>60</v>
      </c>
      <c r="J4" t="s">
        <v>61</v>
      </c>
      <c r="K4" t="s">
        <v>62</v>
      </c>
      <c r="L4" t="s">
        <v>63</v>
      </c>
      <c r="M4" t="s">
        <v>64</v>
      </c>
      <c r="N4" t="s">
        <v>44</v>
      </c>
    </row>
    <row r="5" spans="4:14" x14ac:dyDescent="0.25">
      <c r="D5" t="s">
        <v>65</v>
      </c>
      <c r="E5" t="s">
        <v>66</v>
      </c>
      <c r="G5" t="s">
        <v>67</v>
      </c>
      <c r="J5" t="s">
        <v>68</v>
      </c>
      <c r="K5" t="s">
        <v>69</v>
      </c>
      <c r="L5" t="s">
        <v>70</v>
      </c>
      <c r="M5" t="s">
        <v>71</v>
      </c>
      <c r="N5" t="s">
        <v>56</v>
      </c>
    </row>
    <row r="6" spans="4:13" x14ac:dyDescent="0.25">
      <c r="D6" t="s">
        <v>72</v>
      </c>
      <c r="E6" t="s">
        <v>73</v>
      </c>
      <c r="J6" t="s">
        <v>74</v>
      </c>
      <c r="K6" t="s">
        <v>75</v>
      </c>
      <c r="L6" t="s">
        <v>76</v>
      </c>
      <c r="M6" t="s">
        <v>77</v>
      </c>
    </row>
    <row r="7" spans="10:13" x14ac:dyDescent="0.25">
      <c r="J7" t="s">
        <v>78</v>
      </c>
      <c r="K7" t="s">
        <v>79</v>
      </c>
      <c r="L7" t="s">
        <v>80</v>
      </c>
      <c r="M7" t="s">
        <v>81</v>
      </c>
    </row>
    <row r="8" spans="10:13" x14ac:dyDescent="0.25">
      <c r="J8" t="s">
        <v>82</v>
      </c>
      <c r="L8" t="s">
        <v>83</v>
      </c>
      <c r="M8" t="s">
        <v>84</v>
      </c>
    </row>
    <row r="9" spans="10:13" x14ac:dyDescent="0.25">
      <c r="J9" t="s">
        <v>85</v>
      </c>
      <c r="L9" t="s">
        <v>86</v>
      </c>
      <c r="M9" t="s">
        <v>87</v>
      </c>
    </row>
    <row r="10" spans="10:13" x14ac:dyDescent="0.25">
      <c r="J10" t="s">
        <v>88</v>
      </c>
      <c r="M10" t="s">
        <v>89</v>
      </c>
    </row>
    <row r="11" spans="10:13" x14ac:dyDescent="0.25">
      <c r="J11" t="s">
        <v>90</v>
      </c>
      <c r="M11" t="s">
        <v>91</v>
      </c>
    </row>
    <row r="12" spans="10:13" x14ac:dyDescent="0.25">
      <c r="J12" t="s">
        <v>92</v>
      </c>
      <c r="M12" t="s">
        <v>93</v>
      </c>
    </row>
    <row r="13" spans="10:13" x14ac:dyDescent="0.25">
      <c r="J13" t="s">
        <v>94</v>
      </c>
      <c r="M13" t="s">
        <v>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0"/>
  <sheetFormatPr defaultRowHeight="15" outlineLevelRow="0" outlineLevelCol="0" x14ac:dyDescent="55"/>
  <cols>
    <col min="1" max="1" width="24" customWidth="1"/>
    <col min="2" max="2" width="14" customWidth="1"/>
    <col min="3" max="4" width="12" customWidth="1"/>
    <col min="5" max="5" width="10" customWidth="1"/>
    <col min="6" max="7" width="14" customWidth="1"/>
    <col min="8" max="8" width="34" customWidth="1"/>
  </cols>
  <sheetData>
    <row r="1" ht="38" customHeight="1" spans="1:8" x14ac:dyDescent="0.25">
      <c r="A1" s="3" t="s">
        <v>96</v>
      </c>
      <c r="B1" s="3" t="s">
        <v>97</v>
      </c>
      <c r="C1" s="4" t="s">
        <v>16</v>
      </c>
      <c r="D1" s="3" t="s">
        <v>98</v>
      </c>
      <c r="E1" s="4" t="s">
        <v>99</v>
      </c>
      <c r="F1" s="3" t="s">
        <v>100</v>
      </c>
      <c r="G1" s="3" t="s">
        <v>101</v>
      </c>
      <c r="H1" s="3" t="s">
        <v>102</v>
      </c>
    </row>
    <row r="2" spans="1:8" x14ac:dyDescent="0.25">
      <c r="A2" t="s">
        <v>103</v>
      </c>
      <c r="B2" t="s">
        <v>104</v>
      </c>
      <c r="C2" t="s">
        <v>44</v>
      </c>
      <c r="D2" t="s">
        <v>105</v>
      </c>
      <c r="E2" t="s">
        <v>31</v>
      </c>
      <c r="F2" t="s">
        <v>106</v>
      </c>
      <c r="G2" t="s">
        <v>1</v>
      </c>
      <c r="H2" t="s">
        <v>107</v>
      </c>
    </row>
    <row r="3" spans="1:8" x14ac:dyDescent="0.25">
      <c r="A3" t="s">
        <v>108</v>
      </c>
      <c r="B3" t="s">
        <v>109</v>
      </c>
      <c r="C3" t="s">
        <v>30</v>
      </c>
      <c r="D3" t="s">
        <v>110</v>
      </c>
      <c r="E3" t="s">
        <v>45</v>
      </c>
      <c r="F3" t="s">
        <v>111</v>
      </c>
      <c r="G3" t="s">
        <v>112</v>
      </c>
      <c r="H3" t="s">
        <v>113</v>
      </c>
    </row>
    <row r="4" spans="3:5" x14ac:dyDescent="0.25"/>
    <row r="5" spans="3:5" x14ac:dyDescent="0.25"/>
    <row r="6" spans="3:5" x14ac:dyDescent="0.25"/>
    <row r="7" spans="3:5" x14ac:dyDescent="0.25"/>
    <row r="8" spans="3:5" x14ac:dyDescent="0.25"/>
    <row r="9" spans="3:5" x14ac:dyDescent="0.25"/>
    <row r="10" spans="3:5" x14ac:dyDescent="0.25"/>
    <row r="11" spans="3:5" x14ac:dyDescent="0.25"/>
    <row r="12" spans="3:5" x14ac:dyDescent="0.25"/>
    <row r="13" spans="3:5" x14ac:dyDescent="0.25"/>
    <row r="14" spans="3:5" x14ac:dyDescent="0.25"/>
    <row r="15" spans="3:5" x14ac:dyDescent="0.25"/>
    <row r="16" spans="3:5" x14ac:dyDescent="0.25"/>
    <row r="17" spans="3:5" x14ac:dyDescent="0.25"/>
    <row r="18" spans="3:5" x14ac:dyDescent="0.25"/>
    <row r="19" spans="3:5" x14ac:dyDescent="0.25"/>
    <row r="20" spans="3:5" x14ac:dyDescent="0.25"/>
    <row r="21" spans="3:5" x14ac:dyDescent="0.25"/>
    <row r="22" spans="3:5" x14ac:dyDescent="0.25"/>
    <row r="23" spans="3:5" x14ac:dyDescent="0.25"/>
    <row r="24" spans="3:5" x14ac:dyDescent="0.25"/>
    <row r="25" spans="3:5" x14ac:dyDescent="0.25"/>
    <row r="26" spans="3:5" x14ac:dyDescent="0.25"/>
    <row r="27" spans="3:5" x14ac:dyDescent="0.25"/>
    <row r="28" spans="3:5" x14ac:dyDescent="0.25"/>
    <row r="29" spans="3:5" x14ac:dyDescent="0.25"/>
    <row r="30" spans="3:5" x14ac:dyDescent="0.25"/>
    <row r="31" spans="3:5" x14ac:dyDescent="0.25"/>
    <row r="32" spans="3:5" x14ac:dyDescent="0.25"/>
    <row r="33" spans="3:5" x14ac:dyDescent="0.25"/>
    <row r="34" spans="3:5" x14ac:dyDescent="0.25"/>
    <row r="35" spans="3:5" x14ac:dyDescent="0.25"/>
    <row r="36" spans="3:5" x14ac:dyDescent="0.25"/>
    <row r="37" spans="3:5" x14ac:dyDescent="0.25"/>
    <row r="38" spans="3:5" x14ac:dyDescent="0.25"/>
    <row r="39" spans="3:5" x14ac:dyDescent="0.25"/>
    <row r="40" spans="3:5" x14ac:dyDescent="0.25"/>
    <row r="41" spans="3:5" x14ac:dyDescent="0.25"/>
    <row r="42" spans="3:5" x14ac:dyDescent="0.25"/>
    <row r="43" spans="3:5" x14ac:dyDescent="0.25"/>
    <row r="44" spans="3:5" x14ac:dyDescent="0.25"/>
    <row r="45" spans="3:5" x14ac:dyDescent="0.25"/>
    <row r="46" spans="3:5" x14ac:dyDescent="0.25"/>
    <row r="47" spans="3:5" x14ac:dyDescent="0.25"/>
    <row r="48" spans="3:5" x14ac:dyDescent="0.25"/>
    <row r="49" spans="3:5" x14ac:dyDescent="0.25"/>
    <row r="50" spans="3:5" x14ac:dyDescent="0.25"/>
    <row r="51" spans="3:5" x14ac:dyDescent="0.25"/>
    <row r="52" spans="3:5" x14ac:dyDescent="0.25"/>
    <row r="53" spans="3:5" x14ac:dyDescent="0.25"/>
    <row r="54" spans="3:5" x14ac:dyDescent="0.25"/>
    <row r="55" spans="3:5" x14ac:dyDescent="0.25"/>
    <row r="56" spans="3:5" x14ac:dyDescent="0.25"/>
    <row r="57" spans="3:5" x14ac:dyDescent="0.25"/>
    <row r="58" spans="3:5" x14ac:dyDescent="0.25"/>
    <row r="59" spans="3:5" x14ac:dyDescent="0.25"/>
    <row r="60" spans="3:5" x14ac:dyDescent="0.25"/>
    <row r="61" spans="3:5" x14ac:dyDescent="0.25"/>
    <row r="62" spans="3:5" x14ac:dyDescent="0.25"/>
    <row r="63" spans="3:5" x14ac:dyDescent="0.25"/>
    <row r="64" spans="3:5" x14ac:dyDescent="0.25"/>
    <row r="65" spans="3:5" x14ac:dyDescent="0.25"/>
    <row r="66" spans="3:5" x14ac:dyDescent="0.25"/>
    <row r="67" spans="3:5" x14ac:dyDescent="0.25"/>
    <row r="68" spans="3:5" x14ac:dyDescent="0.25"/>
    <row r="69" spans="3:5" x14ac:dyDescent="0.25"/>
    <row r="70" spans="3:5" x14ac:dyDescent="0.25"/>
    <row r="71" spans="3:5" x14ac:dyDescent="0.25"/>
    <row r="72" spans="3:5" x14ac:dyDescent="0.25"/>
    <row r="73" spans="3:5" x14ac:dyDescent="0.25"/>
    <row r="74" spans="3:5" x14ac:dyDescent="0.25"/>
    <row r="75" spans="3:5" x14ac:dyDescent="0.25"/>
    <row r="76" spans="3:5" x14ac:dyDescent="0.25"/>
    <row r="77" spans="3:5" x14ac:dyDescent="0.25"/>
    <row r="78" spans="3:5" x14ac:dyDescent="0.25"/>
    <row r="79" spans="3:5" x14ac:dyDescent="0.25"/>
    <row r="80" spans="3:5" x14ac:dyDescent="0.25"/>
    <row r="81" spans="3:5" x14ac:dyDescent="0.25"/>
    <row r="82" spans="3:5" x14ac:dyDescent="0.25"/>
    <row r="83" spans="3:5" x14ac:dyDescent="0.25"/>
    <row r="84" spans="3:5" x14ac:dyDescent="0.25"/>
    <row r="85" spans="3:5" x14ac:dyDescent="0.25"/>
    <row r="86" spans="3:5" x14ac:dyDescent="0.25"/>
    <row r="87" spans="3:5" x14ac:dyDescent="0.25"/>
    <row r="88" spans="3:5" x14ac:dyDescent="0.25"/>
    <row r="89" spans="3:5" x14ac:dyDescent="0.25"/>
    <row r="90" spans="3:5" x14ac:dyDescent="0.25"/>
    <row r="91" spans="3:5" x14ac:dyDescent="0.25"/>
    <row r="92" spans="3:5" x14ac:dyDescent="0.25"/>
    <row r="93" spans="3:5" x14ac:dyDescent="0.25"/>
    <row r="94" spans="3:5" x14ac:dyDescent="0.25"/>
    <row r="95" spans="3:5" x14ac:dyDescent="0.25"/>
    <row r="96" spans="3:5" x14ac:dyDescent="0.25"/>
    <row r="97" spans="3:5" x14ac:dyDescent="0.25"/>
    <row r="98" spans="3:5" x14ac:dyDescent="0.25"/>
    <row r="99" spans="3:5" x14ac:dyDescent="0.25"/>
    <row r="100" spans="3:5" x14ac:dyDescent="0.25"/>
    <row r="101" spans="3:5" x14ac:dyDescent="0.25"/>
    <row r="102" spans="3:5" x14ac:dyDescent="0.25"/>
    <row r="103" spans="3:5" x14ac:dyDescent="0.25"/>
    <row r="104" spans="3:5" x14ac:dyDescent="0.25"/>
    <row r="105" spans="3:5" x14ac:dyDescent="0.25"/>
    <row r="106" spans="3:5" x14ac:dyDescent="0.25"/>
    <row r="107" spans="3:5" x14ac:dyDescent="0.25"/>
    <row r="108" spans="3:5" x14ac:dyDescent="0.25"/>
    <row r="109" spans="3:5" x14ac:dyDescent="0.25"/>
    <row r="110" spans="3:5" x14ac:dyDescent="0.25"/>
    <row r="111" spans="3:5" x14ac:dyDescent="0.25"/>
    <row r="112" spans="3:5" x14ac:dyDescent="0.25"/>
    <row r="113" spans="3:5" x14ac:dyDescent="0.25"/>
    <row r="114" spans="3:5" x14ac:dyDescent="0.25"/>
    <row r="115" spans="3:5" x14ac:dyDescent="0.25"/>
    <row r="116" spans="3:5" x14ac:dyDescent="0.25"/>
    <row r="117" spans="3:5" x14ac:dyDescent="0.25"/>
    <row r="118" spans="3:5" x14ac:dyDescent="0.25"/>
    <row r="119" spans="3:5" x14ac:dyDescent="0.25"/>
    <row r="120" spans="3:5" x14ac:dyDescent="0.25"/>
    <row r="121" spans="3:5" x14ac:dyDescent="0.25"/>
    <row r="122" spans="3:5" x14ac:dyDescent="0.25"/>
    <row r="123" spans="3:5" x14ac:dyDescent="0.25"/>
    <row r="124" spans="3:5" x14ac:dyDescent="0.25"/>
    <row r="125" spans="3:5" x14ac:dyDescent="0.25"/>
    <row r="126" spans="3:5" x14ac:dyDescent="0.25"/>
    <row r="127" spans="3:5" x14ac:dyDescent="0.25"/>
    <row r="128" spans="3:5" x14ac:dyDescent="0.25"/>
    <row r="129" spans="3:5" x14ac:dyDescent="0.25"/>
    <row r="130" spans="3:5" x14ac:dyDescent="0.25"/>
    <row r="131" spans="3:5" x14ac:dyDescent="0.25"/>
    <row r="132" spans="3:5" x14ac:dyDescent="0.25"/>
    <row r="133" spans="3:5" x14ac:dyDescent="0.25"/>
    <row r="134" spans="3:5" x14ac:dyDescent="0.25"/>
    <row r="135" spans="3:5" x14ac:dyDescent="0.25"/>
    <row r="136" spans="3:5" x14ac:dyDescent="0.25"/>
    <row r="137" spans="3:5" x14ac:dyDescent="0.25"/>
    <row r="138" spans="3:5" x14ac:dyDescent="0.25"/>
    <row r="139" spans="3:5" x14ac:dyDescent="0.25"/>
    <row r="140" spans="3:5" x14ac:dyDescent="0.25"/>
    <row r="141" spans="3:5" x14ac:dyDescent="0.25"/>
    <row r="142" spans="3:5" x14ac:dyDescent="0.25"/>
    <row r="143" spans="3:5" x14ac:dyDescent="0.25"/>
    <row r="144" spans="3:5" x14ac:dyDescent="0.25"/>
    <row r="145" spans="3:5" x14ac:dyDescent="0.25"/>
    <row r="146" spans="3:5" x14ac:dyDescent="0.25"/>
    <row r="147" spans="3:5" x14ac:dyDescent="0.25"/>
    <row r="148" spans="3:5" x14ac:dyDescent="0.25"/>
    <row r="149" spans="3:5" x14ac:dyDescent="0.25"/>
    <row r="150" spans="3:5" x14ac:dyDescent="0.25"/>
    <row r="151" spans="3:5" x14ac:dyDescent="0.25"/>
    <row r="152" spans="3:5" x14ac:dyDescent="0.25"/>
    <row r="153" spans="3:5" x14ac:dyDescent="0.25"/>
    <row r="154" spans="3:5" x14ac:dyDescent="0.25"/>
    <row r="155" spans="3:5" x14ac:dyDescent="0.25"/>
    <row r="156" spans="3:5" x14ac:dyDescent="0.25"/>
    <row r="157" spans="3:5" x14ac:dyDescent="0.25"/>
    <row r="158" spans="3:5" x14ac:dyDescent="0.25"/>
    <row r="159" spans="3:5" x14ac:dyDescent="0.25"/>
    <row r="160" spans="3:5" x14ac:dyDescent="0.25"/>
    <row r="161" spans="3:5" x14ac:dyDescent="0.25"/>
    <row r="162" spans="3:5" x14ac:dyDescent="0.25"/>
    <row r="163" spans="3:5" x14ac:dyDescent="0.25"/>
    <row r="164" spans="3:5" x14ac:dyDescent="0.25"/>
    <row r="165" spans="3:5" x14ac:dyDescent="0.25"/>
    <row r="166" spans="3:5" x14ac:dyDescent="0.25"/>
    <row r="167" spans="3:5" x14ac:dyDescent="0.25"/>
    <row r="168" spans="3:5" x14ac:dyDescent="0.25"/>
    <row r="169" spans="3:5" x14ac:dyDescent="0.25"/>
    <row r="170" spans="3:5" x14ac:dyDescent="0.25"/>
    <row r="171" spans="3:5" x14ac:dyDescent="0.25"/>
    <row r="172" spans="3:5" x14ac:dyDescent="0.25"/>
    <row r="173" spans="3:5" x14ac:dyDescent="0.25"/>
    <row r="174" spans="3:5" x14ac:dyDescent="0.25"/>
    <row r="175" spans="3:5" x14ac:dyDescent="0.25"/>
    <row r="176" spans="3:5" x14ac:dyDescent="0.25"/>
    <row r="177" spans="3:5" x14ac:dyDescent="0.25"/>
    <row r="178" spans="3:5" x14ac:dyDescent="0.25"/>
    <row r="179" spans="3:5" x14ac:dyDescent="0.25"/>
    <row r="180" spans="3:5" x14ac:dyDescent="0.25"/>
    <row r="181" spans="3:5" x14ac:dyDescent="0.25"/>
    <row r="182" spans="3:5" x14ac:dyDescent="0.25"/>
    <row r="183" spans="3:5" x14ac:dyDescent="0.25"/>
    <row r="184" spans="3:5" x14ac:dyDescent="0.25"/>
    <row r="185" spans="3:5" x14ac:dyDescent="0.25"/>
    <row r="186" spans="3:5" x14ac:dyDescent="0.25"/>
    <row r="187" spans="3:5" x14ac:dyDescent="0.25"/>
    <row r="188" spans="3:5" x14ac:dyDescent="0.25"/>
    <row r="189" spans="3:5" x14ac:dyDescent="0.25"/>
    <row r="190" spans="3:5" x14ac:dyDescent="0.25"/>
    <row r="191" spans="3:5" x14ac:dyDescent="0.25"/>
    <row r="192" spans="3:5" x14ac:dyDescent="0.25"/>
    <row r="193" spans="3:5" x14ac:dyDescent="0.25"/>
    <row r="194" spans="3:5" x14ac:dyDescent="0.25"/>
    <row r="195" spans="3:5" x14ac:dyDescent="0.25"/>
    <row r="196" spans="3:5" x14ac:dyDescent="0.25"/>
    <row r="197" spans="3:5" x14ac:dyDescent="0.25"/>
    <row r="198" spans="3:5" x14ac:dyDescent="0.25"/>
    <row r="199" spans="3:5" x14ac:dyDescent="0.25"/>
    <row r="200" spans="3:5" x14ac:dyDescent="0.25"/>
    <row r="201" spans="3:5" x14ac:dyDescent="0.25"/>
    <row r="202" spans="3:5" x14ac:dyDescent="0.25"/>
    <row r="203" spans="3:5" x14ac:dyDescent="0.25"/>
    <row r="204" spans="3:5" x14ac:dyDescent="0.25"/>
    <row r="205" spans="3:5" x14ac:dyDescent="0.25"/>
    <row r="206" spans="3:5" x14ac:dyDescent="0.25"/>
    <row r="207" spans="3:5" x14ac:dyDescent="0.25"/>
    <row r="208" spans="3:5" x14ac:dyDescent="0.25"/>
    <row r="209" spans="3:5" x14ac:dyDescent="0.25"/>
    <row r="210" spans="3:5" x14ac:dyDescent="0.25"/>
    <row r="211" spans="3:5" x14ac:dyDescent="0.25"/>
    <row r="212" spans="3:5" x14ac:dyDescent="0.25"/>
    <row r="213" spans="3:5" x14ac:dyDescent="0.25"/>
    <row r="214" spans="3:5" x14ac:dyDescent="0.25"/>
    <row r="215" spans="3:5" x14ac:dyDescent="0.25"/>
    <row r="216" spans="3:5" x14ac:dyDescent="0.25"/>
    <row r="217" spans="3:5" x14ac:dyDescent="0.25"/>
    <row r="218" spans="3:5" x14ac:dyDescent="0.25"/>
    <row r="219" spans="3:5" x14ac:dyDescent="0.25"/>
    <row r="220" spans="3:5" x14ac:dyDescent="0.25"/>
    <row r="221" spans="3:5" x14ac:dyDescent="0.25"/>
    <row r="222" spans="3:5" x14ac:dyDescent="0.25"/>
    <row r="223" spans="3:5" x14ac:dyDescent="0.25"/>
    <row r="224" spans="3:5" x14ac:dyDescent="0.25"/>
    <row r="225" spans="3:5" x14ac:dyDescent="0.25"/>
    <row r="226" spans="3:5" x14ac:dyDescent="0.25"/>
    <row r="227" spans="3:5" x14ac:dyDescent="0.25"/>
    <row r="228" spans="3:5" x14ac:dyDescent="0.25"/>
    <row r="229" spans="3:5" x14ac:dyDescent="0.25"/>
    <row r="230" spans="3:5" x14ac:dyDescent="0.25"/>
    <row r="231" spans="3:5" x14ac:dyDescent="0.25"/>
    <row r="232" spans="3:5" x14ac:dyDescent="0.25"/>
    <row r="233" spans="3:5" x14ac:dyDescent="0.25"/>
    <row r="234" spans="3:5" x14ac:dyDescent="0.25"/>
    <row r="235" spans="3:5" x14ac:dyDescent="0.25"/>
    <row r="236" spans="3:5" x14ac:dyDescent="0.25"/>
    <row r="237" spans="3:5" x14ac:dyDescent="0.25"/>
    <row r="238" spans="3:5" x14ac:dyDescent="0.25"/>
    <row r="239" spans="3:5" x14ac:dyDescent="0.25"/>
    <row r="240" spans="3:5" x14ac:dyDescent="0.25"/>
    <row r="241" spans="3:5" x14ac:dyDescent="0.25"/>
    <row r="242" spans="3:5" x14ac:dyDescent="0.25"/>
    <row r="243" spans="3:5" x14ac:dyDescent="0.25"/>
    <row r="244" spans="3:5" x14ac:dyDescent="0.25"/>
    <row r="245" spans="3:5" x14ac:dyDescent="0.25"/>
    <row r="246" spans="3:5" x14ac:dyDescent="0.25"/>
    <row r="247" spans="3:5" x14ac:dyDescent="0.25"/>
    <row r="248" spans="3:5" x14ac:dyDescent="0.25"/>
    <row r="249" spans="3:5" x14ac:dyDescent="0.25"/>
    <row r="250" spans="3:5" x14ac:dyDescent="0.25"/>
    <row r="251" spans="3:5" x14ac:dyDescent="0.25"/>
    <row r="252" spans="3:5" x14ac:dyDescent="0.25"/>
    <row r="253" spans="3:5" x14ac:dyDescent="0.25"/>
    <row r="254" spans="3:5" x14ac:dyDescent="0.25"/>
    <row r="255" spans="3:5" x14ac:dyDescent="0.25"/>
    <row r="256" spans="3:5" x14ac:dyDescent="0.25"/>
    <row r="257" spans="3:5" x14ac:dyDescent="0.25"/>
    <row r="258" spans="3:5" x14ac:dyDescent="0.25"/>
    <row r="259" spans="3:5" x14ac:dyDescent="0.25"/>
    <row r="260" spans="3:5" x14ac:dyDescent="0.25"/>
    <row r="261" spans="3:5" x14ac:dyDescent="0.25"/>
    <row r="262" spans="3:5" x14ac:dyDescent="0.25"/>
    <row r="263" spans="3:5" x14ac:dyDescent="0.25"/>
    <row r="264" spans="3:5" x14ac:dyDescent="0.25"/>
    <row r="265" spans="3:5" x14ac:dyDescent="0.25"/>
    <row r="266" spans="3:5" x14ac:dyDescent="0.25"/>
    <row r="267" spans="3:5" x14ac:dyDescent="0.25"/>
    <row r="268" spans="3:5" x14ac:dyDescent="0.25"/>
    <row r="269" spans="3:5" x14ac:dyDescent="0.25"/>
    <row r="270" spans="3:5" x14ac:dyDescent="0.25"/>
    <row r="271" spans="3:5" x14ac:dyDescent="0.25"/>
    <row r="272" spans="3:5" x14ac:dyDescent="0.25"/>
    <row r="273" spans="3:5" x14ac:dyDescent="0.25"/>
    <row r="274" spans="3:5" x14ac:dyDescent="0.25"/>
    <row r="275" spans="3:5" x14ac:dyDescent="0.25"/>
    <row r="276" spans="3:5" x14ac:dyDescent="0.25"/>
    <row r="277" spans="3:5" x14ac:dyDescent="0.25"/>
    <row r="278" spans="3:5" x14ac:dyDescent="0.25"/>
    <row r="279" spans="3:5" x14ac:dyDescent="0.25"/>
    <row r="280" spans="3:5" x14ac:dyDescent="0.25"/>
    <row r="281" spans="3:5" x14ac:dyDescent="0.25"/>
    <row r="282" spans="3:5" x14ac:dyDescent="0.25"/>
    <row r="283" spans="3:5" x14ac:dyDescent="0.25"/>
    <row r="284" spans="3:5" x14ac:dyDescent="0.25"/>
    <row r="285" spans="3:5" x14ac:dyDescent="0.25"/>
    <row r="286" spans="3:5" x14ac:dyDescent="0.25"/>
    <row r="287" spans="3:5" x14ac:dyDescent="0.25"/>
    <row r="288" spans="3:5" x14ac:dyDescent="0.25"/>
    <row r="289" spans="3:5" x14ac:dyDescent="0.25"/>
    <row r="290" spans="3:5" x14ac:dyDescent="0.25"/>
    <row r="291" spans="3:5" x14ac:dyDescent="0.25"/>
    <row r="292" spans="3:5" x14ac:dyDescent="0.25"/>
    <row r="293" spans="3:5" x14ac:dyDescent="0.25"/>
    <row r="294" spans="3:5" x14ac:dyDescent="0.25"/>
    <row r="295" spans="3:5" x14ac:dyDescent="0.25"/>
    <row r="296" spans="3:5" x14ac:dyDescent="0.25"/>
    <row r="297" spans="3:5" x14ac:dyDescent="0.25"/>
    <row r="298" spans="3:5" x14ac:dyDescent="0.25"/>
    <row r="299" spans="3:5" x14ac:dyDescent="0.25"/>
    <row r="300" spans="3:5" x14ac:dyDescent="0.25"/>
  </sheetData>
  <conditionalFormatting sqref="A2:H300">
    <cfRule type="expression" dxfId="0" priority="1">
      <formula>$E2="Ativo"</formula>
    </cfRule>
    <cfRule type="expression" dxfId="1" priority="2">
      <formula>$E2="Alta"</formula>
    </cfRule>
  </conditionalFormatting>
  <dataValidations count="4">
    <dataValidation type="list" allowBlank="1" sqref="C10:C300">
      <formula1>Listas!$A$2:$A$4</formula1>
    </dataValidation>
    <dataValidation type="list" allowBlank="1" sqref="C2:C300">
      <formula1>Listas!$A$2:$A$4</formula1>
    </dataValidation>
    <dataValidation type="list" allowBlank="1" sqref="E10:E300">
      <formula1>Listas!$B$2:$B$3</formula1>
    </dataValidation>
    <dataValidation type="list" allowBlank="1" sqref="E2:E300">
      <formula1>Listas!$B$2:$B$3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00"/>
  <sheetViews>
    <sheetView workbookViewId="0">
      <pane xSplit="5" ySplit="1" topLeftCell="F2" activePane="bottomRight" state="frozen"/>
      <selection pane="bottomRight"/>
    </sheetView>
  </sheetViews>
  <sheetFormatPr defaultRowHeight="15" outlineLevelRow="0" outlineLevelCol="0" x14ac:dyDescent="55"/>
  <cols>
    <col min="1" max="1" width="18" customWidth="1"/>
    <col min="2" max="2" width="12" customWidth="1"/>
    <col min="3" max="4" width="10" customWidth="1"/>
    <col min="5" max="5" width="11" customWidth="1"/>
    <col min="6" max="6" width="15" customWidth="1"/>
    <col min="7" max="7" width="20" customWidth="1"/>
    <col min="8" max="8" width="13" customWidth="1"/>
    <col min="9" max="9" width="10" customWidth="1"/>
    <col min="10" max="10" width="20" customWidth="1"/>
    <col min="11" max="11" width="13" customWidth="1"/>
    <col min="12" max="12" width="20" customWidth="1"/>
    <col min="13" max="13" width="10" customWidth="1"/>
    <col min="14" max="14" width="14" customWidth="1"/>
    <col min="15" max="15" width="22" customWidth="1"/>
    <col min="16" max="16" width="10" customWidth="1"/>
    <col min="17" max="17" width="18" customWidth="1"/>
    <col min="18" max="18" width="20" customWidth="1"/>
    <col min="19" max="19" width="10" customWidth="1"/>
    <col min="20" max="20" width="22" customWidth="1"/>
    <col min="21" max="21" width="20" customWidth="1"/>
    <col min="22" max="22" width="18" customWidth="1"/>
    <col min="23" max="23" width="26" customWidth="1"/>
    <col min="24" max="24" width="22" customWidth="1"/>
    <col min="25" max="25" width="20" customWidth="1"/>
    <col min="26" max="26" width="16" customWidth="1"/>
    <col min="27" max="27" width="12" customWidth="1"/>
    <col min="28" max="28" width="22" customWidth="1"/>
    <col min="29" max="29" width="55" customWidth="1"/>
  </cols>
  <sheetData>
    <row r="1" ht="38" customHeight="1" spans="1:29" x14ac:dyDescent="0.25">
      <c r="A1" s="3" t="s">
        <v>96</v>
      </c>
      <c r="B1" s="3" t="s">
        <v>97</v>
      </c>
      <c r="C1" s="4" t="s">
        <v>16</v>
      </c>
      <c r="D1" s="3" t="s">
        <v>98</v>
      </c>
      <c r="E1" s="3" t="s">
        <v>114</v>
      </c>
      <c r="F1" s="4" t="s">
        <v>115</v>
      </c>
      <c r="G1" s="3" t="s">
        <v>116</v>
      </c>
      <c r="H1" s="4" t="s">
        <v>117</v>
      </c>
      <c r="I1" s="3" t="s">
        <v>118</v>
      </c>
      <c r="J1" s="3" t="s">
        <v>119</v>
      </c>
      <c r="K1" s="4" t="s">
        <v>120</v>
      </c>
      <c r="L1" s="3" t="s">
        <v>121</v>
      </c>
      <c r="M1" s="4" t="s">
        <v>22</v>
      </c>
      <c r="N1" s="4" t="s">
        <v>122</v>
      </c>
      <c r="O1" s="3" t="s">
        <v>123</v>
      </c>
      <c r="P1" s="4" t="s">
        <v>24</v>
      </c>
      <c r="Q1" s="3" t="s">
        <v>124</v>
      </c>
      <c r="R1" s="3" t="s">
        <v>125</v>
      </c>
      <c r="S1" s="4" t="s">
        <v>126</v>
      </c>
      <c r="T1" s="3" t="s">
        <v>127</v>
      </c>
      <c r="U1" s="3" t="s">
        <v>128</v>
      </c>
      <c r="V1" s="3" t="s">
        <v>129</v>
      </c>
      <c r="W1" s="4" t="s">
        <v>130</v>
      </c>
      <c r="X1" s="3" t="s">
        <v>131</v>
      </c>
      <c r="Y1" s="4" t="s">
        <v>132</v>
      </c>
      <c r="Z1" s="4" t="s">
        <v>133</v>
      </c>
      <c r="AA1" s="4" t="s">
        <v>134</v>
      </c>
      <c r="AB1" s="3" t="s">
        <v>135</v>
      </c>
      <c r="AC1" s="3" t="s">
        <v>136</v>
      </c>
    </row>
    <row r="2" ht="220" customHeight="1" spans="1:29" x14ac:dyDescent="0.25">
      <c r="A2" t="s">
        <v>103</v>
      </c>
      <c r="B2" t="s">
        <v>104</v>
      </c>
      <c r="C2" t="s">
        <v>44</v>
      </c>
      <c r="D2" t="s">
        <v>105</v>
      </c>
      <c r="E2" t="s">
        <v>137</v>
      </c>
      <c r="F2" t="s">
        <v>46</v>
      </c>
      <c r="G2" t="s">
        <v>138</v>
      </c>
      <c r="H2" t="s">
        <v>47</v>
      </c>
      <c r="I2" t="s">
        <v>139</v>
      </c>
      <c r="J2" t="s">
        <v>140</v>
      </c>
      <c r="K2" t="s">
        <v>34</v>
      </c>
      <c r="L2" t="s">
        <v>141</v>
      </c>
      <c r="M2" t="s">
        <v>50</v>
      </c>
      <c r="N2" t="s">
        <v>37</v>
      </c>
      <c r="O2" t="s">
        <v>1</v>
      </c>
      <c r="P2" t="s">
        <v>24</v>
      </c>
      <c r="Q2" t="s">
        <v>142</v>
      </c>
      <c r="R2" t="s">
        <v>143</v>
      </c>
      <c r="S2" t="s">
        <v>35</v>
      </c>
      <c r="T2" t="s">
        <v>144</v>
      </c>
      <c r="U2" t="s">
        <v>145</v>
      </c>
      <c r="V2" t="s">
        <v>1</v>
      </c>
      <c r="W2" t="s">
        <v>92</v>
      </c>
      <c r="X2" t="s">
        <v>146</v>
      </c>
      <c r="Y2" t="s">
        <v>53</v>
      </c>
      <c r="Z2" t="s">
        <v>41</v>
      </c>
      <c r="AA2" t="s">
        <v>49</v>
      </c>
      <c r="AB2" t="s">
        <v>147</v>
      </c>
      <c r="AC2" s="5">
        <f>"1. Evolução Clínica"&amp;CHAR(10)&amp;TEXTJOIN(" ",TRUE,"Paciente "&amp;F2&amp;", "&amp;IF(G2="","sem DVA","em uso de "&amp;G2)&amp;".",IF(H2&lt;&gt;"","Em "&amp;H2&amp;IF(AND(H2="VMI",I2&lt;&gt;"")," por "&amp;I2,"")&amp;IF(J2&lt;&gt;""," ("&amp;J2&amp;")","")&amp;IF(K2&lt;&gt;"", ", "&amp;K2,"")&amp;IF(L2&lt;&gt;"", ", sob analgosedação com "&amp;L2,"")&amp;".",""),IF(M2&lt;&gt;"","Dieta "&amp;M2&amp;IF(N2&lt;&gt;"", ", com "&amp;LOWER(N2),"")&amp;IF(O2&lt;&gt;"", " — "&amp;O2,"")&amp;".",""),IF(P2="Febre","Apresentou episódio febril nas últimas 24h"&amp;IF(Q2&lt;&gt;""," ("&amp;Q2&amp;")","")&amp;".",IF(P2="Afebril","Encontra-se afebril.","")),IF(R2&lt;&gt;"",IF(S2="Sim","Apresenta disfunção renal aguda ","Função renal preservada ")&amp;"("&amp;R2&amp;").",""),IF(T2&lt;&gt;"","Em uso do esquema antimicrobiano com "&amp;T2&amp;".",""),IF(U2&lt;&gt;"","Em uso de profilaxia: "&amp;U2&amp;".",""))&amp;CHAR(10)&amp;CHAR(10)&amp;"2. Farmacoterapia"&amp;CHAR(10)&amp;IF(V2&lt;&gt;"","Corticoide/DART: "&amp;V2,"Sem corticoide/DART registrado.")&amp;CHAR(10)&amp;CHAR(10)&amp;"3. Conduta Farmacêutica"&amp;CHAR(10)&amp;IF(X2&lt;&gt;"","["&amp;W2&amp;"] "&amp;X2&amp;IF(Y2&lt;&gt;"", " ("&amp;Y2&amp;")",""),"Nenhuma intervenção registrada hoje.")&amp;CHAR(10)&amp;CHAR(10)&amp;"4. Plano Terapêutico"&amp;CHAR(10)&amp;IF(AB2&lt;&gt;"",AB2,"Não definido.")</f>
      </c>
    </row>
    <row r="3" spans="3:29" x14ac:dyDescent="0.25">
      <c r="AC3">
        <f>"1. Evolução Clínica"&amp;CHAR(10)&amp;TEXTJOIN(" ",TRUE,"Paciente "&amp;F3&amp;", "&amp;IF(G3="","sem DVA","em uso de "&amp;G3)&amp;".",IF(H3&lt;&gt;"","Em "&amp;H3&amp;IF(AND(H3="VMI",I3&lt;&gt;"")," por "&amp;I3,"")&amp;IF(J3&lt;&gt;""," ("&amp;J3&amp;")","")&amp;IF(K3&lt;&gt;"", ", "&amp;K3,"")&amp;IF(L3&lt;&gt;"", ", sob analgosedação com "&amp;L3,"")&amp;".",""),IF(M3&lt;&gt;"","Dieta "&amp;M3&amp;IF(N3&lt;&gt;"", ", com "&amp;LOWER(N3),"")&amp;IF(O3&lt;&gt;"", " — "&amp;O3,"")&amp;".",""),IF(P3="Febre","Apresentou episódio febril nas últimas 24h"&amp;IF(Q3&lt;&gt;""," ("&amp;Q3&amp;")","")&amp;".",IF(P3="Afebril","Encontra-se afebril.","")),IF(R3&lt;&gt;"",IF(S3="Sim","Apresenta disfunção renal aguda ","Função renal preservada ")&amp;"("&amp;R3&amp;").",""),IF(T3&lt;&gt;"","Em uso do esquema antimicrobiano com "&amp;T3&amp;".",""),IF(U3&lt;&gt;"","Em uso de profilaxia: "&amp;U3&amp;".",""))&amp;CHAR(10)&amp;CHAR(10)&amp;"2. Farmacoterapia"&amp;CHAR(10)&amp;IF(V3&lt;&gt;"","Corticoide/DART: "&amp;V3,"Sem corticoide/DART registrado.")&amp;CHAR(10)&amp;CHAR(10)&amp;"3. Conduta Farmacêutica"&amp;CHAR(10)&amp;IF(X3&lt;&gt;"","["&amp;W3&amp;"] "&amp;X3&amp;IF(Y3&lt;&gt;"", " ("&amp;Y3&amp;")",""),"Nenhuma intervenção registrada hoje.")&amp;CHAR(10)&amp;CHAR(10)&amp;"4. Plano Terapêutico"&amp;CHAR(10)&amp;IF(AB3&lt;&gt;"",AB3,"Não definido.")</f>
      </c>
    </row>
    <row r="4" spans="3:29" x14ac:dyDescent="0.25">
      <c r="AC4">
        <f>"1. Evolução Clínica"&amp;CHAR(10)&amp;TEXTJOIN(" ",TRUE,"Paciente "&amp;F4&amp;", "&amp;IF(G4="","sem DVA","em uso de "&amp;G4)&amp;".",IF(H4&lt;&gt;"","Em "&amp;H4&amp;IF(AND(H4="VMI",I4&lt;&gt;"")," por "&amp;I4,"")&amp;IF(J4&lt;&gt;""," ("&amp;J4&amp;")","")&amp;IF(K4&lt;&gt;"", ", "&amp;K4,"")&amp;IF(L4&lt;&gt;"", ", sob analgosedação com "&amp;L4,"")&amp;".",""),IF(M4&lt;&gt;"","Dieta "&amp;M4&amp;IF(N4&lt;&gt;"", ", com "&amp;LOWER(N4),"")&amp;IF(O4&lt;&gt;"", " — "&amp;O4,"")&amp;".",""),IF(P4="Febre","Apresentou episódio febril nas últimas 24h"&amp;IF(Q4&lt;&gt;""," ("&amp;Q4&amp;")","")&amp;".",IF(P4="Afebril","Encontra-se afebril.","")),IF(R4&lt;&gt;"",IF(S4="Sim","Apresenta disfunção renal aguda ","Função renal preservada ")&amp;"("&amp;R4&amp;").",""),IF(T4&lt;&gt;"","Em uso do esquema antimicrobiano com "&amp;T4&amp;".",""),IF(U4&lt;&gt;"","Em uso de profilaxia: "&amp;U4&amp;".",""))&amp;CHAR(10)&amp;CHAR(10)&amp;"2. Farmacoterapia"&amp;CHAR(10)&amp;IF(V4&lt;&gt;"","Corticoide/DART: "&amp;V4,"Sem corticoide/DART registrado.")&amp;CHAR(10)&amp;CHAR(10)&amp;"3. Conduta Farmacêutica"&amp;CHAR(10)&amp;IF(X4&lt;&gt;"","["&amp;W4&amp;"] "&amp;X4&amp;IF(Y4&lt;&gt;"", " ("&amp;Y4&amp;")",""),"Nenhuma intervenção registrada hoje.")&amp;CHAR(10)&amp;CHAR(10)&amp;"4. Plano Terapêutico"&amp;CHAR(10)&amp;IF(AB4&lt;&gt;"",AB4,"Não definido.")</f>
      </c>
    </row>
    <row r="5" spans="3:29" x14ac:dyDescent="0.25">
      <c r="AC5">
        <f>"1. Evolução Clínica"&amp;CHAR(10)&amp;TEXTJOIN(" ",TRUE,"Paciente "&amp;F5&amp;", "&amp;IF(G5="","sem DVA","em uso de "&amp;G5)&amp;".",IF(H5&lt;&gt;"","Em "&amp;H5&amp;IF(AND(H5="VMI",I5&lt;&gt;"")," por "&amp;I5,"")&amp;IF(J5&lt;&gt;""," ("&amp;J5&amp;")","")&amp;IF(K5&lt;&gt;"", ", "&amp;K5,"")&amp;IF(L5&lt;&gt;"", ", sob analgosedação com "&amp;L5,"")&amp;".",""),IF(M5&lt;&gt;"","Dieta "&amp;M5&amp;IF(N5&lt;&gt;"", ", com "&amp;LOWER(N5),"")&amp;IF(O5&lt;&gt;"", " — "&amp;O5,"")&amp;".",""),IF(P5="Febre","Apresentou episódio febril nas últimas 24h"&amp;IF(Q5&lt;&gt;""," ("&amp;Q5&amp;")","")&amp;".",IF(P5="Afebril","Encontra-se afebril.","")),IF(R5&lt;&gt;"",IF(S5="Sim","Apresenta disfunção renal aguda ","Função renal preservada ")&amp;"("&amp;R5&amp;").",""),IF(T5&lt;&gt;"","Em uso do esquema antimicrobiano com "&amp;T5&amp;".",""),IF(U5&lt;&gt;"","Em uso de profilaxia: "&amp;U5&amp;".",""))&amp;CHAR(10)&amp;CHAR(10)&amp;"2. Farmacoterapia"&amp;CHAR(10)&amp;IF(V5&lt;&gt;"","Corticoide/DART: "&amp;V5,"Sem corticoide/DART registrado.")&amp;CHAR(10)&amp;CHAR(10)&amp;"3. Conduta Farmacêutica"&amp;CHAR(10)&amp;IF(X5&lt;&gt;"","["&amp;W5&amp;"] "&amp;X5&amp;IF(Y5&lt;&gt;"", " ("&amp;Y5&amp;")",""),"Nenhuma intervenção registrada hoje.")&amp;CHAR(10)&amp;CHAR(10)&amp;"4. Plano Terapêutico"&amp;CHAR(10)&amp;IF(AB5&lt;&gt;"",AB5,"Não definido.")</f>
      </c>
    </row>
    <row r="6" spans="3:29" x14ac:dyDescent="0.25">
      <c r="AC6">
        <f>"1. Evolução Clínica"&amp;CHAR(10)&amp;TEXTJOIN(" ",TRUE,"Paciente "&amp;F6&amp;", "&amp;IF(G6="","sem DVA","em uso de "&amp;G6)&amp;".",IF(H6&lt;&gt;"","Em "&amp;H6&amp;IF(AND(H6="VMI",I6&lt;&gt;"")," por "&amp;I6,"")&amp;IF(J6&lt;&gt;""," ("&amp;J6&amp;")","")&amp;IF(K6&lt;&gt;"", ", "&amp;K6,"")&amp;IF(L6&lt;&gt;"", ", sob analgosedação com "&amp;L6,"")&amp;".",""),IF(M6&lt;&gt;"","Dieta "&amp;M6&amp;IF(N6&lt;&gt;"", ", com "&amp;LOWER(N6),"")&amp;IF(O6&lt;&gt;"", " — "&amp;O6,"")&amp;".",""),IF(P6="Febre","Apresentou episódio febril nas últimas 24h"&amp;IF(Q6&lt;&gt;""," ("&amp;Q6&amp;")","")&amp;".",IF(P6="Afebril","Encontra-se afebril.","")),IF(R6&lt;&gt;"",IF(S6="Sim","Apresenta disfunção renal aguda ","Função renal preservada ")&amp;"("&amp;R6&amp;").",""),IF(T6&lt;&gt;"","Em uso do esquema antimicrobiano com "&amp;T6&amp;".",""),IF(U6&lt;&gt;"","Em uso de profilaxia: "&amp;U6&amp;".",""))&amp;CHAR(10)&amp;CHAR(10)&amp;"2. Farmacoterapia"&amp;CHAR(10)&amp;IF(V6&lt;&gt;"","Corticoide/DART: "&amp;V6,"Sem corticoide/DART registrado.")&amp;CHAR(10)&amp;CHAR(10)&amp;"3. Conduta Farmacêutica"&amp;CHAR(10)&amp;IF(X6&lt;&gt;"","["&amp;W6&amp;"] "&amp;X6&amp;IF(Y6&lt;&gt;"", " ("&amp;Y6&amp;")",""),"Nenhuma intervenção registrada hoje.")&amp;CHAR(10)&amp;CHAR(10)&amp;"4. Plano Terapêutico"&amp;CHAR(10)&amp;IF(AB6&lt;&gt;"",AB6,"Não definido.")</f>
      </c>
    </row>
    <row r="7" spans="3:29" x14ac:dyDescent="0.25">
      <c r="AC7">
        <f>"1. Evolução Clínica"&amp;CHAR(10)&amp;TEXTJOIN(" ",TRUE,"Paciente "&amp;F7&amp;", "&amp;IF(G7="","sem DVA","em uso de "&amp;G7)&amp;".",IF(H7&lt;&gt;"","Em "&amp;H7&amp;IF(AND(H7="VMI",I7&lt;&gt;"")," por "&amp;I7,"")&amp;IF(J7&lt;&gt;""," ("&amp;J7&amp;")","")&amp;IF(K7&lt;&gt;"", ", "&amp;K7,"")&amp;IF(L7&lt;&gt;"", ", sob analgosedação com "&amp;L7,"")&amp;".",""),IF(M7&lt;&gt;"","Dieta "&amp;M7&amp;IF(N7&lt;&gt;"", ", com "&amp;LOWER(N7),"")&amp;IF(O7&lt;&gt;"", " — "&amp;O7,"")&amp;".",""),IF(P7="Febre","Apresentou episódio febril nas últimas 24h"&amp;IF(Q7&lt;&gt;""," ("&amp;Q7&amp;")","")&amp;".",IF(P7="Afebril","Encontra-se afebril.","")),IF(R7&lt;&gt;"",IF(S7="Sim","Apresenta disfunção renal aguda ","Função renal preservada ")&amp;"("&amp;R7&amp;").",""),IF(T7&lt;&gt;"","Em uso do esquema antimicrobiano com "&amp;T7&amp;".",""),IF(U7&lt;&gt;"","Em uso de profilaxia: "&amp;U7&amp;".",""))&amp;CHAR(10)&amp;CHAR(10)&amp;"2. Farmacoterapia"&amp;CHAR(10)&amp;IF(V7&lt;&gt;"","Corticoide/DART: "&amp;V7,"Sem corticoide/DART registrado.")&amp;CHAR(10)&amp;CHAR(10)&amp;"3. Conduta Farmacêutica"&amp;CHAR(10)&amp;IF(X7&lt;&gt;"","["&amp;W7&amp;"] "&amp;X7&amp;IF(Y7&lt;&gt;"", " ("&amp;Y7&amp;")",""),"Nenhuma intervenção registrada hoje.")&amp;CHAR(10)&amp;CHAR(10)&amp;"4. Plano Terapêutico"&amp;CHAR(10)&amp;IF(AB7&lt;&gt;"",AB7,"Não definido.")</f>
      </c>
    </row>
    <row r="8" spans="3:29" x14ac:dyDescent="0.25">
      <c r="AC8">
        <f>"1. Evolução Clínica"&amp;CHAR(10)&amp;TEXTJOIN(" ",TRUE,"Paciente "&amp;F8&amp;", "&amp;IF(G8="","sem DVA","em uso de "&amp;G8)&amp;".",IF(H8&lt;&gt;"","Em "&amp;H8&amp;IF(AND(H8="VMI",I8&lt;&gt;"")," por "&amp;I8,"")&amp;IF(J8&lt;&gt;""," ("&amp;J8&amp;")","")&amp;IF(K8&lt;&gt;"", ", "&amp;K8,"")&amp;IF(L8&lt;&gt;"", ", sob analgosedação com "&amp;L8,"")&amp;".",""),IF(M8&lt;&gt;"","Dieta "&amp;M8&amp;IF(N8&lt;&gt;"", ", com "&amp;LOWER(N8),"")&amp;IF(O8&lt;&gt;"", " — "&amp;O8,"")&amp;".",""),IF(P8="Febre","Apresentou episódio febril nas últimas 24h"&amp;IF(Q8&lt;&gt;""," ("&amp;Q8&amp;")","")&amp;".",IF(P8="Afebril","Encontra-se afebril.","")),IF(R8&lt;&gt;"",IF(S8="Sim","Apresenta disfunção renal aguda ","Função renal preservada ")&amp;"("&amp;R8&amp;").",""),IF(T8&lt;&gt;"","Em uso do esquema antimicrobiano com "&amp;T8&amp;".",""),IF(U8&lt;&gt;"","Em uso de profilaxia: "&amp;U8&amp;".",""))&amp;CHAR(10)&amp;CHAR(10)&amp;"2. Farmacoterapia"&amp;CHAR(10)&amp;IF(V8&lt;&gt;"","Corticoide/DART: "&amp;V8,"Sem corticoide/DART registrado.")&amp;CHAR(10)&amp;CHAR(10)&amp;"3. Conduta Farmacêutica"&amp;CHAR(10)&amp;IF(X8&lt;&gt;"","["&amp;W8&amp;"] "&amp;X8&amp;IF(Y8&lt;&gt;"", " ("&amp;Y8&amp;")",""),"Nenhuma intervenção registrada hoje.")&amp;CHAR(10)&amp;CHAR(10)&amp;"4. Plano Terapêutico"&amp;CHAR(10)&amp;IF(AB8&lt;&gt;"",AB8,"Não definido.")</f>
      </c>
    </row>
    <row r="9" spans="3:29" x14ac:dyDescent="0.25">
      <c r="AC9">
        <f>"1. Evolução Clínica"&amp;CHAR(10)&amp;TEXTJOIN(" ",TRUE,"Paciente "&amp;F9&amp;", "&amp;IF(G9="","sem DVA","em uso de "&amp;G9)&amp;".",IF(H9&lt;&gt;"","Em "&amp;H9&amp;IF(AND(H9="VMI",I9&lt;&gt;"")," por "&amp;I9,"")&amp;IF(J9&lt;&gt;""," ("&amp;J9&amp;")","")&amp;IF(K9&lt;&gt;"", ", "&amp;K9,"")&amp;IF(L9&lt;&gt;"", ", sob analgosedação com "&amp;L9,"")&amp;".",""),IF(M9&lt;&gt;"","Dieta "&amp;M9&amp;IF(N9&lt;&gt;"", ", com "&amp;LOWER(N9),"")&amp;IF(O9&lt;&gt;"", " — "&amp;O9,"")&amp;".",""),IF(P9="Febre","Apresentou episódio febril nas últimas 24h"&amp;IF(Q9&lt;&gt;""," ("&amp;Q9&amp;")","")&amp;".",IF(P9="Afebril","Encontra-se afebril.","")),IF(R9&lt;&gt;"",IF(S9="Sim","Apresenta disfunção renal aguda ","Função renal preservada ")&amp;"("&amp;R9&amp;").",""),IF(T9&lt;&gt;"","Em uso do esquema antimicrobiano com "&amp;T9&amp;".",""),IF(U9&lt;&gt;"","Em uso de profilaxia: "&amp;U9&amp;".",""))&amp;CHAR(10)&amp;CHAR(10)&amp;"2. Farmacoterapia"&amp;CHAR(10)&amp;IF(V9&lt;&gt;"","Corticoide/DART: "&amp;V9,"Sem corticoide/DART registrado.")&amp;CHAR(10)&amp;CHAR(10)&amp;"3. Conduta Farmacêutica"&amp;CHAR(10)&amp;IF(X9&lt;&gt;"","["&amp;W9&amp;"] "&amp;X9&amp;IF(Y9&lt;&gt;"", " ("&amp;Y9&amp;")",""),"Nenhuma intervenção registrada hoje.")&amp;CHAR(10)&amp;CHAR(10)&amp;"4. Plano Terapêutico"&amp;CHAR(10)&amp;IF(AB9&lt;&gt;"",AB9,"Não definido.")</f>
      </c>
    </row>
    <row r="10" spans="3:29" x14ac:dyDescent="0.25">
      <c r="AC10">
        <f>"1. Evolução Clínica"&amp;CHAR(10)&amp;TEXTJOIN(" ",TRUE,"Paciente "&amp;F10&amp;", "&amp;IF(G10="","sem DVA","em uso de "&amp;G10)&amp;".",IF(H10&lt;&gt;"","Em "&amp;H10&amp;IF(AND(H10="VMI",I10&lt;&gt;"")," por "&amp;I10,"")&amp;IF(J10&lt;&gt;""," ("&amp;J10&amp;")","")&amp;IF(K10&lt;&gt;"", ", "&amp;K10,"")&amp;IF(L10&lt;&gt;"", ", sob analgosedação com "&amp;L10,"")&amp;".",""),IF(M10&lt;&gt;"","Dieta "&amp;M10&amp;IF(N10&lt;&gt;"", ", com "&amp;LOWER(N10),"")&amp;IF(O10&lt;&gt;"", " — "&amp;O10,"")&amp;".",""),IF(P10="Febre","Apresentou episódio febril nas últimas 24h"&amp;IF(Q10&lt;&gt;""," ("&amp;Q10&amp;")","")&amp;".",IF(P10="Afebril","Encontra-se afebril.","")),IF(R10&lt;&gt;"",IF(S10="Sim","Apresenta disfunção renal aguda ","Função renal preservada ")&amp;"("&amp;R10&amp;").",""),IF(T10&lt;&gt;"","Em uso do esquema antimicrobiano com "&amp;T10&amp;".",""),IF(U10&lt;&gt;"","Em uso de profilaxia: "&amp;U10&amp;".",""))&amp;CHAR(10)&amp;CHAR(10)&amp;"2. Farmacoterapia"&amp;CHAR(10)&amp;IF(V10&lt;&gt;"","Corticoide/DART: "&amp;V10,"Sem corticoide/DART registrado.")&amp;CHAR(10)&amp;CHAR(10)&amp;"3. Conduta Farmacêutica"&amp;CHAR(10)&amp;IF(X10&lt;&gt;"","["&amp;W10&amp;"] "&amp;X10&amp;IF(Y10&lt;&gt;"", " ("&amp;Y10&amp;")",""),"Nenhuma intervenção registrada hoje.")&amp;CHAR(10)&amp;CHAR(10)&amp;"4. Plano Terapêutico"&amp;CHAR(10)&amp;IF(AB10&lt;&gt;"",AB10,"Não definido.")</f>
      </c>
    </row>
    <row r="11" spans="3:29" x14ac:dyDescent="0.25">
      <c r="AC11">
        <f>"1. Evolução Clínica"&amp;CHAR(10)&amp;TEXTJOIN(" ",TRUE,"Paciente "&amp;F11&amp;", "&amp;IF(G11="","sem DVA","em uso de "&amp;G11)&amp;".",IF(H11&lt;&gt;"","Em "&amp;H11&amp;IF(AND(H11="VMI",I11&lt;&gt;"")," por "&amp;I11,"")&amp;IF(J11&lt;&gt;""," ("&amp;J11&amp;")","")&amp;IF(K11&lt;&gt;"", ", "&amp;K11,"")&amp;IF(L11&lt;&gt;"", ", sob analgosedação com "&amp;L11,"")&amp;".",""),IF(M11&lt;&gt;"","Dieta "&amp;M11&amp;IF(N11&lt;&gt;"", ", com "&amp;LOWER(N11),"")&amp;IF(O11&lt;&gt;"", " — "&amp;O11,"")&amp;".",""),IF(P11="Febre","Apresentou episódio febril nas últimas 24h"&amp;IF(Q11&lt;&gt;""," ("&amp;Q11&amp;")","")&amp;".",IF(P11="Afebril","Encontra-se afebril.","")),IF(R11&lt;&gt;"",IF(S11="Sim","Apresenta disfunção renal aguda ","Função renal preservada ")&amp;"("&amp;R11&amp;").",""),IF(T11&lt;&gt;"","Em uso do esquema antimicrobiano com "&amp;T11&amp;".",""),IF(U11&lt;&gt;"","Em uso de profilaxia: "&amp;U11&amp;".",""))&amp;CHAR(10)&amp;CHAR(10)&amp;"2. Farmacoterapia"&amp;CHAR(10)&amp;IF(V11&lt;&gt;"","Corticoide/DART: "&amp;V11,"Sem corticoide/DART registrado.")&amp;CHAR(10)&amp;CHAR(10)&amp;"3. Conduta Farmacêutica"&amp;CHAR(10)&amp;IF(X11&lt;&gt;"","["&amp;W11&amp;"] "&amp;X11&amp;IF(Y11&lt;&gt;"", " ("&amp;Y11&amp;")",""),"Nenhuma intervenção registrada hoje.")&amp;CHAR(10)&amp;CHAR(10)&amp;"4. Plano Terapêutico"&amp;CHAR(10)&amp;IF(AB11&lt;&gt;"",AB11,"Não definido.")</f>
      </c>
    </row>
    <row r="12" spans="3:29" x14ac:dyDescent="0.25">
      <c r="AC12">
        <f>"1. Evolução Clínica"&amp;CHAR(10)&amp;TEXTJOIN(" ",TRUE,"Paciente "&amp;F12&amp;", "&amp;IF(G12="","sem DVA","em uso de "&amp;G12)&amp;".",IF(H12&lt;&gt;"","Em "&amp;H12&amp;IF(AND(H12="VMI",I12&lt;&gt;"")," por "&amp;I12,"")&amp;IF(J12&lt;&gt;""," ("&amp;J12&amp;")","")&amp;IF(K12&lt;&gt;"", ", "&amp;K12,"")&amp;IF(L12&lt;&gt;"", ", sob analgosedação com "&amp;L12,"")&amp;".",""),IF(M12&lt;&gt;"","Dieta "&amp;M12&amp;IF(N12&lt;&gt;"", ", com "&amp;LOWER(N12),"")&amp;IF(O12&lt;&gt;"", " — "&amp;O12,"")&amp;".",""),IF(P12="Febre","Apresentou episódio febril nas últimas 24h"&amp;IF(Q12&lt;&gt;""," ("&amp;Q12&amp;")","")&amp;".",IF(P12="Afebril","Encontra-se afebril.","")),IF(R12&lt;&gt;"",IF(S12="Sim","Apresenta disfunção renal aguda ","Função renal preservada ")&amp;"("&amp;R12&amp;").",""),IF(T12&lt;&gt;"","Em uso do esquema antimicrobiano com "&amp;T12&amp;".",""),IF(U12&lt;&gt;"","Em uso de profilaxia: "&amp;U12&amp;".",""))&amp;CHAR(10)&amp;CHAR(10)&amp;"2. Farmacoterapia"&amp;CHAR(10)&amp;IF(V12&lt;&gt;"","Corticoide/DART: "&amp;V12,"Sem corticoide/DART registrado.")&amp;CHAR(10)&amp;CHAR(10)&amp;"3. Conduta Farmacêutica"&amp;CHAR(10)&amp;IF(X12&lt;&gt;"","["&amp;W12&amp;"] "&amp;X12&amp;IF(Y12&lt;&gt;"", " ("&amp;Y12&amp;")",""),"Nenhuma intervenção registrada hoje.")&amp;CHAR(10)&amp;CHAR(10)&amp;"4. Plano Terapêutico"&amp;CHAR(10)&amp;IF(AB12&lt;&gt;"",AB12,"Não definido.")</f>
      </c>
    </row>
    <row r="13" spans="3:29" x14ac:dyDescent="0.25">
      <c r="AC13">
        <f>"1. Evolução Clínica"&amp;CHAR(10)&amp;TEXTJOIN(" ",TRUE,"Paciente "&amp;F13&amp;", "&amp;IF(G13="","sem DVA","em uso de "&amp;G13)&amp;".",IF(H13&lt;&gt;"","Em "&amp;H13&amp;IF(AND(H13="VMI",I13&lt;&gt;"")," por "&amp;I13,"")&amp;IF(J13&lt;&gt;""," ("&amp;J13&amp;")","")&amp;IF(K13&lt;&gt;"", ", "&amp;K13,"")&amp;IF(L13&lt;&gt;"", ", sob analgosedação com "&amp;L13,"")&amp;".",""),IF(M13&lt;&gt;"","Dieta "&amp;M13&amp;IF(N13&lt;&gt;"", ", com "&amp;LOWER(N13),"")&amp;IF(O13&lt;&gt;"", " — "&amp;O13,"")&amp;".",""),IF(P13="Febre","Apresentou episódio febril nas últimas 24h"&amp;IF(Q13&lt;&gt;""," ("&amp;Q13&amp;")","")&amp;".",IF(P13="Afebril","Encontra-se afebril.","")),IF(R13&lt;&gt;"",IF(S13="Sim","Apresenta disfunção renal aguda ","Função renal preservada ")&amp;"("&amp;R13&amp;").",""),IF(T13&lt;&gt;"","Em uso do esquema antimicrobiano com "&amp;T13&amp;".",""),IF(U13&lt;&gt;"","Em uso de profilaxia: "&amp;U13&amp;".",""))&amp;CHAR(10)&amp;CHAR(10)&amp;"2. Farmacoterapia"&amp;CHAR(10)&amp;IF(V13&lt;&gt;"","Corticoide/DART: "&amp;V13,"Sem corticoide/DART registrado.")&amp;CHAR(10)&amp;CHAR(10)&amp;"3. Conduta Farmacêutica"&amp;CHAR(10)&amp;IF(X13&lt;&gt;"","["&amp;W13&amp;"] "&amp;X13&amp;IF(Y13&lt;&gt;"", " ("&amp;Y13&amp;")",""),"Nenhuma intervenção registrada hoje.")&amp;CHAR(10)&amp;CHAR(10)&amp;"4. Plano Terapêutico"&amp;CHAR(10)&amp;IF(AB13&lt;&gt;"",AB13,"Não definido.")</f>
      </c>
    </row>
    <row r="14" spans="3:29" x14ac:dyDescent="0.25">
      <c r="AC14">
        <f>"1. Evolução Clínica"&amp;CHAR(10)&amp;TEXTJOIN(" ",TRUE,"Paciente "&amp;F14&amp;", "&amp;IF(G14="","sem DVA","em uso de "&amp;G14)&amp;".",IF(H14&lt;&gt;"","Em "&amp;H14&amp;IF(AND(H14="VMI",I14&lt;&gt;"")," por "&amp;I14,"")&amp;IF(J14&lt;&gt;""," ("&amp;J14&amp;")","")&amp;IF(K14&lt;&gt;"", ", "&amp;K14,"")&amp;IF(L14&lt;&gt;"", ", sob analgosedação com "&amp;L14,"")&amp;".",""),IF(M14&lt;&gt;"","Dieta "&amp;M14&amp;IF(N14&lt;&gt;"", ", com "&amp;LOWER(N14),"")&amp;IF(O14&lt;&gt;"", " — "&amp;O14,"")&amp;".",""),IF(P14="Febre","Apresentou episódio febril nas últimas 24h"&amp;IF(Q14&lt;&gt;""," ("&amp;Q14&amp;")","")&amp;".",IF(P14="Afebril","Encontra-se afebril.","")),IF(R14&lt;&gt;"",IF(S14="Sim","Apresenta disfunção renal aguda ","Função renal preservada ")&amp;"("&amp;R14&amp;").",""),IF(T14&lt;&gt;"","Em uso do esquema antimicrobiano com "&amp;T14&amp;".",""),IF(U14&lt;&gt;"","Em uso de profilaxia: "&amp;U14&amp;".",""))&amp;CHAR(10)&amp;CHAR(10)&amp;"2. Farmacoterapia"&amp;CHAR(10)&amp;IF(V14&lt;&gt;"","Corticoide/DART: "&amp;V14,"Sem corticoide/DART registrado.")&amp;CHAR(10)&amp;CHAR(10)&amp;"3. Conduta Farmacêutica"&amp;CHAR(10)&amp;IF(X14&lt;&gt;"","["&amp;W14&amp;"] "&amp;X14&amp;IF(Y14&lt;&gt;"", " ("&amp;Y14&amp;")",""),"Nenhuma intervenção registrada hoje.")&amp;CHAR(10)&amp;CHAR(10)&amp;"4. Plano Terapêutico"&amp;CHAR(10)&amp;IF(AB14&lt;&gt;"",AB14,"Não definido.")</f>
      </c>
    </row>
    <row r="15" spans="3:29" x14ac:dyDescent="0.25">
      <c r="AC15">
        <f>"1. Evolução Clínica"&amp;CHAR(10)&amp;TEXTJOIN(" ",TRUE,"Paciente "&amp;F15&amp;", "&amp;IF(G15="","sem DVA","em uso de "&amp;G15)&amp;".",IF(H15&lt;&gt;"","Em "&amp;H15&amp;IF(AND(H15="VMI",I15&lt;&gt;"")," por "&amp;I15,"")&amp;IF(J15&lt;&gt;""," ("&amp;J15&amp;")","")&amp;IF(K15&lt;&gt;"", ", "&amp;K15,"")&amp;IF(L15&lt;&gt;"", ", sob analgosedação com "&amp;L15,"")&amp;".",""),IF(M15&lt;&gt;"","Dieta "&amp;M15&amp;IF(N15&lt;&gt;"", ", com "&amp;LOWER(N15),"")&amp;IF(O15&lt;&gt;"", " — "&amp;O15,"")&amp;".",""),IF(P15="Febre","Apresentou episódio febril nas últimas 24h"&amp;IF(Q15&lt;&gt;""," ("&amp;Q15&amp;")","")&amp;".",IF(P15="Afebril","Encontra-se afebril.","")),IF(R15&lt;&gt;"",IF(S15="Sim","Apresenta disfunção renal aguda ","Função renal preservada ")&amp;"("&amp;R15&amp;").",""),IF(T15&lt;&gt;"","Em uso do esquema antimicrobiano com "&amp;T15&amp;".",""),IF(U15&lt;&gt;"","Em uso de profilaxia: "&amp;U15&amp;".",""))&amp;CHAR(10)&amp;CHAR(10)&amp;"2. Farmacoterapia"&amp;CHAR(10)&amp;IF(V15&lt;&gt;"","Corticoide/DART: "&amp;V15,"Sem corticoide/DART registrado.")&amp;CHAR(10)&amp;CHAR(10)&amp;"3. Conduta Farmacêutica"&amp;CHAR(10)&amp;IF(X15&lt;&gt;"","["&amp;W15&amp;"] "&amp;X15&amp;IF(Y15&lt;&gt;"", " ("&amp;Y15&amp;")",""),"Nenhuma intervenção registrada hoje.")&amp;CHAR(10)&amp;CHAR(10)&amp;"4. Plano Terapêutico"&amp;CHAR(10)&amp;IF(AB15&lt;&gt;"",AB15,"Não definido.")</f>
      </c>
    </row>
    <row r="16" spans="3:29" x14ac:dyDescent="0.25">
      <c r="AC16">
        <f>"1. Evolução Clínica"&amp;CHAR(10)&amp;TEXTJOIN(" ",TRUE,"Paciente "&amp;F16&amp;", "&amp;IF(G16="","sem DVA","em uso de "&amp;G16)&amp;".",IF(H16&lt;&gt;"","Em "&amp;H16&amp;IF(AND(H16="VMI",I16&lt;&gt;"")," por "&amp;I16,"")&amp;IF(J16&lt;&gt;""," ("&amp;J16&amp;")","")&amp;IF(K16&lt;&gt;"", ", "&amp;K16,"")&amp;IF(L16&lt;&gt;"", ", sob analgosedação com "&amp;L16,"")&amp;".",""),IF(M16&lt;&gt;"","Dieta "&amp;M16&amp;IF(N16&lt;&gt;"", ", com "&amp;LOWER(N16),"")&amp;IF(O16&lt;&gt;"", " — "&amp;O16,"")&amp;".",""),IF(P16="Febre","Apresentou episódio febril nas últimas 24h"&amp;IF(Q16&lt;&gt;""," ("&amp;Q16&amp;")","")&amp;".",IF(P16="Afebril","Encontra-se afebril.","")),IF(R16&lt;&gt;"",IF(S16="Sim","Apresenta disfunção renal aguda ","Função renal preservada ")&amp;"("&amp;R16&amp;").",""),IF(T16&lt;&gt;"","Em uso do esquema antimicrobiano com "&amp;T16&amp;".",""),IF(U16&lt;&gt;"","Em uso de profilaxia: "&amp;U16&amp;".",""))&amp;CHAR(10)&amp;CHAR(10)&amp;"2. Farmacoterapia"&amp;CHAR(10)&amp;IF(V16&lt;&gt;"","Corticoide/DART: "&amp;V16,"Sem corticoide/DART registrado.")&amp;CHAR(10)&amp;CHAR(10)&amp;"3. Conduta Farmacêutica"&amp;CHAR(10)&amp;IF(X16&lt;&gt;"","["&amp;W16&amp;"] "&amp;X16&amp;IF(Y16&lt;&gt;"", " ("&amp;Y16&amp;")",""),"Nenhuma intervenção registrada hoje.")&amp;CHAR(10)&amp;CHAR(10)&amp;"4. Plano Terapêutico"&amp;CHAR(10)&amp;IF(AB16&lt;&gt;"",AB16,"Não definido.")</f>
      </c>
    </row>
    <row r="17" spans="3:29" x14ac:dyDescent="0.25">
      <c r="AC17">
        <f>"1. Evolução Clínica"&amp;CHAR(10)&amp;TEXTJOIN(" ",TRUE,"Paciente "&amp;F17&amp;", "&amp;IF(G17="","sem DVA","em uso de "&amp;G17)&amp;".",IF(H17&lt;&gt;"","Em "&amp;H17&amp;IF(AND(H17="VMI",I17&lt;&gt;"")," por "&amp;I17,"")&amp;IF(J17&lt;&gt;""," ("&amp;J17&amp;")","")&amp;IF(K17&lt;&gt;"", ", "&amp;K17,"")&amp;IF(L17&lt;&gt;"", ", sob analgosedação com "&amp;L17,"")&amp;".",""),IF(M17&lt;&gt;"","Dieta "&amp;M17&amp;IF(N17&lt;&gt;"", ", com "&amp;LOWER(N17),"")&amp;IF(O17&lt;&gt;"", " — "&amp;O17,"")&amp;".",""),IF(P17="Febre","Apresentou episódio febril nas últimas 24h"&amp;IF(Q17&lt;&gt;""," ("&amp;Q17&amp;")","")&amp;".",IF(P17="Afebril","Encontra-se afebril.","")),IF(R17&lt;&gt;"",IF(S17="Sim","Apresenta disfunção renal aguda ","Função renal preservada ")&amp;"("&amp;R17&amp;").",""),IF(T17&lt;&gt;"","Em uso do esquema antimicrobiano com "&amp;T17&amp;".",""),IF(U17&lt;&gt;"","Em uso de profilaxia: "&amp;U17&amp;".",""))&amp;CHAR(10)&amp;CHAR(10)&amp;"2. Farmacoterapia"&amp;CHAR(10)&amp;IF(V17&lt;&gt;"","Corticoide/DART: "&amp;V17,"Sem corticoide/DART registrado.")&amp;CHAR(10)&amp;CHAR(10)&amp;"3. Conduta Farmacêutica"&amp;CHAR(10)&amp;IF(X17&lt;&gt;"","["&amp;W17&amp;"] "&amp;X17&amp;IF(Y17&lt;&gt;"", " ("&amp;Y17&amp;")",""),"Nenhuma intervenção registrada hoje.")&amp;CHAR(10)&amp;CHAR(10)&amp;"4. Plano Terapêutico"&amp;CHAR(10)&amp;IF(AB17&lt;&gt;"",AB17,"Não definido.")</f>
      </c>
    </row>
    <row r="18" spans="3:29" x14ac:dyDescent="0.25">
      <c r="AC18">
        <f>"1. Evolução Clínica"&amp;CHAR(10)&amp;TEXTJOIN(" ",TRUE,"Paciente "&amp;F18&amp;", "&amp;IF(G18="","sem DVA","em uso de "&amp;G18)&amp;".",IF(H18&lt;&gt;"","Em "&amp;H18&amp;IF(AND(H18="VMI",I18&lt;&gt;"")," por "&amp;I18,"")&amp;IF(J18&lt;&gt;""," ("&amp;J18&amp;")","")&amp;IF(K18&lt;&gt;"", ", "&amp;K18,"")&amp;IF(L18&lt;&gt;"", ", sob analgosedação com "&amp;L18,"")&amp;".",""),IF(M18&lt;&gt;"","Dieta "&amp;M18&amp;IF(N18&lt;&gt;"", ", com "&amp;LOWER(N18),"")&amp;IF(O18&lt;&gt;"", " — "&amp;O18,"")&amp;".",""),IF(P18="Febre","Apresentou episódio febril nas últimas 24h"&amp;IF(Q18&lt;&gt;""," ("&amp;Q18&amp;")","")&amp;".",IF(P18="Afebril","Encontra-se afebril.","")),IF(R18&lt;&gt;"",IF(S18="Sim","Apresenta disfunção renal aguda ","Função renal preservada ")&amp;"("&amp;R18&amp;").",""),IF(T18&lt;&gt;"","Em uso do esquema antimicrobiano com "&amp;T18&amp;".",""),IF(U18&lt;&gt;"","Em uso de profilaxia: "&amp;U18&amp;".",""))&amp;CHAR(10)&amp;CHAR(10)&amp;"2. Farmacoterapia"&amp;CHAR(10)&amp;IF(V18&lt;&gt;"","Corticoide/DART: "&amp;V18,"Sem corticoide/DART registrado.")&amp;CHAR(10)&amp;CHAR(10)&amp;"3. Conduta Farmacêutica"&amp;CHAR(10)&amp;IF(X18&lt;&gt;"","["&amp;W18&amp;"] "&amp;X18&amp;IF(Y18&lt;&gt;"", " ("&amp;Y18&amp;")",""),"Nenhuma intervenção registrada hoje.")&amp;CHAR(10)&amp;CHAR(10)&amp;"4. Plano Terapêutico"&amp;CHAR(10)&amp;IF(AB18&lt;&gt;"",AB18,"Não definido.")</f>
      </c>
    </row>
    <row r="19" spans="3:29" x14ac:dyDescent="0.25">
      <c r="AC19">
        <f>"1. Evolução Clínica"&amp;CHAR(10)&amp;TEXTJOIN(" ",TRUE,"Paciente "&amp;F19&amp;", "&amp;IF(G19="","sem DVA","em uso de "&amp;G19)&amp;".",IF(H19&lt;&gt;"","Em "&amp;H19&amp;IF(AND(H19="VMI",I19&lt;&gt;"")," por "&amp;I19,"")&amp;IF(J19&lt;&gt;""," ("&amp;J19&amp;")","")&amp;IF(K19&lt;&gt;"", ", "&amp;K19,"")&amp;IF(L19&lt;&gt;"", ", sob analgosedação com "&amp;L19,"")&amp;".",""),IF(M19&lt;&gt;"","Dieta "&amp;M19&amp;IF(N19&lt;&gt;"", ", com "&amp;LOWER(N19),"")&amp;IF(O19&lt;&gt;"", " — "&amp;O19,"")&amp;".",""),IF(P19="Febre","Apresentou episódio febril nas últimas 24h"&amp;IF(Q19&lt;&gt;""," ("&amp;Q19&amp;")","")&amp;".",IF(P19="Afebril","Encontra-se afebril.","")),IF(R19&lt;&gt;"",IF(S19="Sim","Apresenta disfunção renal aguda ","Função renal preservada ")&amp;"("&amp;R19&amp;").",""),IF(T19&lt;&gt;"","Em uso do esquema antimicrobiano com "&amp;T19&amp;".",""),IF(U19&lt;&gt;"","Em uso de profilaxia: "&amp;U19&amp;".",""))&amp;CHAR(10)&amp;CHAR(10)&amp;"2. Farmacoterapia"&amp;CHAR(10)&amp;IF(V19&lt;&gt;"","Corticoide/DART: "&amp;V19,"Sem corticoide/DART registrado.")&amp;CHAR(10)&amp;CHAR(10)&amp;"3. Conduta Farmacêutica"&amp;CHAR(10)&amp;IF(X19&lt;&gt;"","["&amp;W19&amp;"] "&amp;X19&amp;IF(Y19&lt;&gt;"", " ("&amp;Y19&amp;")",""),"Nenhuma intervenção registrada hoje.")&amp;CHAR(10)&amp;CHAR(10)&amp;"4. Plano Terapêutico"&amp;CHAR(10)&amp;IF(AB19&lt;&gt;"",AB19,"Não definido.")</f>
      </c>
    </row>
    <row r="20" spans="3:29" x14ac:dyDescent="0.25">
      <c r="AC20">
        <f>"1. Evolução Clínica"&amp;CHAR(10)&amp;TEXTJOIN(" ",TRUE,"Paciente "&amp;F20&amp;", "&amp;IF(G20="","sem DVA","em uso de "&amp;G20)&amp;".",IF(H20&lt;&gt;"","Em "&amp;H20&amp;IF(AND(H20="VMI",I20&lt;&gt;"")," por "&amp;I20,"")&amp;IF(J20&lt;&gt;""," ("&amp;J20&amp;")","")&amp;IF(K20&lt;&gt;"", ", "&amp;K20,"")&amp;IF(L20&lt;&gt;"", ", sob analgosedação com "&amp;L20,"")&amp;".",""),IF(M20&lt;&gt;"","Dieta "&amp;M20&amp;IF(N20&lt;&gt;"", ", com "&amp;LOWER(N20),"")&amp;IF(O20&lt;&gt;"", " — "&amp;O20,"")&amp;".",""),IF(P20="Febre","Apresentou episódio febril nas últimas 24h"&amp;IF(Q20&lt;&gt;""," ("&amp;Q20&amp;")","")&amp;".",IF(P20="Afebril","Encontra-se afebril.","")),IF(R20&lt;&gt;"",IF(S20="Sim","Apresenta disfunção renal aguda ","Função renal preservada ")&amp;"("&amp;R20&amp;").",""),IF(T20&lt;&gt;"","Em uso do esquema antimicrobiano com "&amp;T20&amp;".",""),IF(U20&lt;&gt;"","Em uso de profilaxia: "&amp;U20&amp;".",""))&amp;CHAR(10)&amp;CHAR(10)&amp;"2. Farmacoterapia"&amp;CHAR(10)&amp;IF(V20&lt;&gt;"","Corticoide/DART: "&amp;V20,"Sem corticoide/DART registrado.")&amp;CHAR(10)&amp;CHAR(10)&amp;"3. Conduta Farmacêutica"&amp;CHAR(10)&amp;IF(X20&lt;&gt;"","["&amp;W20&amp;"] "&amp;X20&amp;IF(Y20&lt;&gt;"", " ("&amp;Y20&amp;")",""),"Nenhuma intervenção registrada hoje.")&amp;CHAR(10)&amp;CHAR(10)&amp;"4. Plano Terapêutico"&amp;CHAR(10)&amp;IF(AB20&lt;&gt;"",AB20,"Não definido.")</f>
      </c>
    </row>
    <row r="21" spans="3:29" x14ac:dyDescent="0.25">
      <c r="AC21">
        <f>"1. Evolução Clínica"&amp;CHAR(10)&amp;TEXTJOIN(" ",TRUE,"Paciente "&amp;F21&amp;", "&amp;IF(G21="","sem DVA","em uso de "&amp;G21)&amp;".",IF(H21&lt;&gt;"","Em "&amp;H21&amp;IF(AND(H21="VMI",I21&lt;&gt;"")," por "&amp;I21,"")&amp;IF(J21&lt;&gt;""," ("&amp;J21&amp;")","")&amp;IF(K21&lt;&gt;"", ", "&amp;K21,"")&amp;IF(L21&lt;&gt;"", ", sob analgosedação com "&amp;L21,"")&amp;".",""),IF(M21&lt;&gt;"","Dieta "&amp;M21&amp;IF(N21&lt;&gt;"", ", com "&amp;LOWER(N21),"")&amp;IF(O21&lt;&gt;"", " — "&amp;O21,"")&amp;".",""),IF(P21="Febre","Apresentou episódio febril nas últimas 24h"&amp;IF(Q21&lt;&gt;""," ("&amp;Q21&amp;")","")&amp;".",IF(P21="Afebril","Encontra-se afebril.","")),IF(R21&lt;&gt;"",IF(S21="Sim","Apresenta disfunção renal aguda ","Função renal preservada ")&amp;"("&amp;R21&amp;").",""),IF(T21&lt;&gt;"","Em uso do esquema antimicrobiano com "&amp;T21&amp;".",""),IF(U21&lt;&gt;"","Em uso de profilaxia: "&amp;U21&amp;".",""))&amp;CHAR(10)&amp;CHAR(10)&amp;"2. Farmacoterapia"&amp;CHAR(10)&amp;IF(V21&lt;&gt;"","Corticoide/DART: "&amp;V21,"Sem corticoide/DART registrado.")&amp;CHAR(10)&amp;CHAR(10)&amp;"3. Conduta Farmacêutica"&amp;CHAR(10)&amp;IF(X21&lt;&gt;"","["&amp;W21&amp;"] "&amp;X21&amp;IF(Y21&lt;&gt;"", " ("&amp;Y21&amp;")",""),"Nenhuma intervenção registrada hoje.")&amp;CHAR(10)&amp;CHAR(10)&amp;"4. Plano Terapêutico"&amp;CHAR(10)&amp;IF(AB21&lt;&gt;"",AB21,"Não definido.")</f>
      </c>
    </row>
    <row r="22" spans="3:29" x14ac:dyDescent="0.25">
      <c r="AC22">
        <f>"1. Evolução Clínica"&amp;CHAR(10)&amp;TEXTJOIN(" ",TRUE,"Paciente "&amp;F22&amp;", "&amp;IF(G22="","sem DVA","em uso de "&amp;G22)&amp;".",IF(H22&lt;&gt;"","Em "&amp;H22&amp;IF(AND(H22="VMI",I22&lt;&gt;"")," por "&amp;I22,"")&amp;IF(J22&lt;&gt;""," ("&amp;J22&amp;")","")&amp;IF(K22&lt;&gt;"", ", "&amp;K22,"")&amp;IF(L22&lt;&gt;"", ", sob analgosedação com "&amp;L22,"")&amp;".",""),IF(M22&lt;&gt;"","Dieta "&amp;M22&amp;IF(N22&lt;&gt;"", ", com "&amp;LOWER(N22),"")&amp;IF(O22&lt;&gt;"", " — "&amp;O22,"")&amp;".",""),IF(P22="Febre","Apresentou episódio febril nas últimas 24h"&amp;IF(Q22&lt;&gt;""," ("&amp;Q22&amp;")","")&amp;".",IF(P22="Afebril","Encontra-se afebril.","")),IF(R22&lt;&gt;"",IF(S22="Sim","Apresenta disfunção renal aguda ","Função renal preservada ")&amp;"("&amp;R22&amp;").",""),IF(T22&lt;&gt;"","Em uso do esquema antimicrobiano com "&amp;T22&amp;".",""),IF(U22&lt;&gt;"","Em uso de profilaxia: "&amp;U22&amp;".",""))&amp;CHAR(10)&amp;CHAR(10)&amp;"2. Farmacoterapia"&amp;CHAR(10)&amp;IF(V22&lt;&gt;"","Corticoide/DART: "&amp;V22,"Sem corticoide/DART registrado.")&amp;CHAR(10)&amp;CHAR(10)&amp;"3. Conduta Farmacêutica"&amp;CHAR(10)&amp;IF(X22&lt;&gt;"","["&amp;W22&amp;"] "&amp;X22&amp;IF(Y22&lt;&gt;"", " ("&amp;Y22&amp;")",""),"Nenhuma intervenção registrada hoje.")&amp;CHAR(10)&amp;CHAR(10)&amp;"4. Plano Terapêutico"&amp;CHAR(10)&amp;IF(AB22&lt;&gt;"",AB22,"Não definido.")</f>
      </c>
    </row>
    <row r="23" spans="3:29" x14ac:dyDescent="0.25">
      <c r="AC23">
        <f>"1. Evolução Clínica"&amp;CHAR(10)&amp;TEXTJOIN(" ",TRUE,"Paciente "&amp;F23&amp;", "&amp;IF(G23="","sem DVA","em uso de "&amp;G23)&amp;".",IF(H23&lt;&gt;"","Em "&amp;H23&amp;IF(AND(H23="VMI",I23&lt;&gt;"")," por "&amp;I23,"")&amp;IF(J23&lt;&gt;""," ("&amp;J23&amp;")","")&amp;IF(K23&lt;&gt;"", ", "&amp;K23,"")&amp;IF(L23&lt;&gt;"", ", sob analgosedação com "&amp;L23,"")&amp;".",""),IF(M23&lt;&gt;"","Dieta "&amp;M23&amp;IF(N23&lt;&gt;"", ", com "&amp;LOWER(N23),"")&amp;IF(O23&lt;&gt;"", " — "&amp;O23,"")&amp;".",""),IF(P23="Febre","Apresentou episódio febril nas últimas 24h"&amp;IF(Q23&lt;&gt;""," ("&amp;Q23&amp;")","")&amp;".",IF(P23="Afebril","Encontra-se afebril.","")),IF(R23&lt;&gt;"",IF(S23="Sim","Apresenta disfunção renal aguda ","Função renal preservada ")&amp;"("&amp;R23&amp;").",""),IF(T23&lt;&gt;"","Em uso do esquema antimicrobiano com "&amp;T23&amp;".",""),IF(U23&lt;&gt;"","Em uso de profilaxia: "&amp;U23&amp;".",""))&amp;CHAR(10)&amp;CHAR(10)&amp;"2. Farmacoterapia"&amp;CHAR(10)&amp;IF(V23&lt;&gt;"","Corticoide/DART: "&amp;V23,"Sem corticoide/DART registrado.")&amp;CHAR(10)&amp;CHAR(10)&amp;"3. Conduta Farmacêutica"&amp;CHAR(10)&amp;IF(X23&lt;&gt;"","["&amp;W23&amp;"] "&amp;X23&amp;IF(Y23&lt;&gt;"", " ("&amp;Y23&amp;")",""),"Nenhuma intervenção registrada hoje.")&amp;CHAR(10)&amp;CHAR(10)&amp;"4. Plano Terapêutico"&amp;CHAR(10)&amp;IF(AB23&lt;&gt;"",AB23,"Não definido.")</f>
      </c>
    </row>
    <row r="24" spans="3:29" x14ac:dyDescent="0.25">
      <c r="AC24">
        <f>"1. Evolução Clínica"&amp;CHAR(10)&amp;TEXTJOIN(" ",TRUE,"Paciente "&amp;F24&amp;", "&amp;IF(G24="","sem DVA","em uso de "&amp;G24)&amp;".",IF(H24&lt;&gt;"","Em "&amp;H24&amp;IF(AND(H24="VMI",I24&lt;&gt;"")," por "&amp;I24,"")&amp;IF(J24&lt;&gt;""," ("&amp;J24&amp;")","")&amp;IF(K24&lt;&gt;"", ", "&amp;K24,"")&amp;IF(L24&lt;&gt;"", ", sob analgosedação com "&amp;L24,"")&amp;".",""),IF(M24&lt;&gt;"","Dieta "&amp;M24&amp;IF(N24&lt;&gt;"", ", com "&amp;LOWER(N24),"")&amp;IF(O24&lt;&gt;"", " — "&amp;O24,"")&amp;".",""),IF(P24="Febre","Apresentou episódio febril nas últimas 24h"&amp;IF(Q24&lt;&gt;""," ("&amp;Q24&amp;")","")&amp;".",IF(P24="Afebril","Encontra-se afebril.","")),IF(R24&lt;&gt;"",IF(S24="Sim","Apresenta disfunção renal aguda ","Função renal preservada ")&amp;"("&amp;R24&amp;").",""),IF(T24&lt;&gt;"","Em uso do esquema antimicrobiano com "&amp;T24&amp;".",""),IF(U24&lt;&gt;"","Em uso de profilaxia: "&amp;U24&amp;".",""))&amp;CHAR(10)&amp;CHAR(10)&amp;"2. Farmacoterapia"&amp;CHAR(10)&amp;IF(V24&lt;&gt;"","Corticoide/DART: "&amp;V24,"Sem corticoide/DART registrado.")&amp;CHAR(10)&amp;CHAR(10)&amp;"3. Conduta Farmacêutica"&amp;CHAR(10)&amp;IF(X24&lt;&gt;"","["&amp;W24&amp;"] "&amp;X24&amp;IF(Y24&lt;&gt;"", " ("&amp;Y24&amp;")",""),"Nenhuma intervenção registrada hoje.")&amp;CHAR(10)&amp;CHAR(10)&amp;"4. Plano Terapêutico"&amp;CHAR(10)&amp;IF(AB24&lt;&gt;"",AB24,"Não definido.")</f>
      </c>
    </row>
    <row r="25" spans="3:29" x14ac:dyDescent="0.25">
      <c r="AC25">
        <f>"1. Evolução Clínica"&amp;CHAR(10)&amp;TEXTJOIN(" ",TRUE,"Paciente "&amp;F25&amp;", "&amp;IF(G25="","sem DVA","em uso de "&amp;G25)&amp;".",IF(H25&lt;&gt;"","Em "&amp;H25&amp;IF(AND(H25="VMI",I25&lt;&gt;"")," por "&amp;I25,"")&amp;IF(J25&lt;&gt;""," ("&amp;J25&amp;")","")&amp;IF(K25&lt;&gt;"", ", "&amp;K25,"")&amp;IF(L25&lt;&gt;"", ", sob analgosedação com "&amp;L25,"")&amp;".",""),IF(M25&lt;&gt;"","Dieta "&amp;M25&amp;IF(N25&lt;&gt;"", ", com "&amp;LOWER(N25),"")&amp;IF(O25&lt;&gt;"", " — "&amp;O25,"")&amp;".",""),IF(P25="Febre","Apresentou episódio febril nas últimas 24h"&amp;IF(Q25&lt;&gt;""," ("&amp;Q25&amp;")","")&amp;".",IF(P25="Afebril","Encontra-se afebril.","")),IF(R25&lt;&gt;"",IF(S25="Sim","Apresenta disfunção renal aguda ","Função renal preservada ")&amp;"("&amp;R25&amp;").",""),IF(T25&lt;&gt;"","Em uso do esquema antimicrobiano com "&amp;T25&amp;".",""),IF(U25&lt;&gt;"","Em uso de profilaxia: "&amp;U25&amp;".",""))&amp;CHAR(10)&amp;CHAR(10)&amp;"2. Farmacoterapia"&amp;CHAR(10)&amp;IF(V25&lt;&gt;"","Corticoide/DART: "&amp;V25,"Sem corticoide/DART registrado.")&amp;CHAR(10)&amp;CHAR(10)&amp;"3. Conduta Farmacêutica"&amp;CHAR(10)&amp;IF(X25&lt;&gt;"","["&amp;W25&amp;"] "&amp;X25&amp;IF(Y25&lt;&gt;"", " ("&amp;Y25&amp;")",""),"Nenhuma intervenção registrada hoje.")&amp;CHAR(10)&amp;CHAR(10)&amp;"4. Plano Terapêutico"&amp;CHAR(10)&amp;IF(AB25&lt;&gt;"",AB25,"Não definido.")</f>
      </c>
    </row>
    <row r="26" spans="3:29" x14ac:dyDescent="0.25">
      <c r="AC26">
        <f>"1. Evolução Clínica"&amp;CHAR(10)&amp;TEXTJOIN(" ",TRUE,"Paciente "&amp;F26&amp;", "&amp;IF(G26="","sem DVA","em uso de "&amp;G26)&amp;".",IF(H26&lt;&gt;"","Em "&amp;H26&amp;IF(AND(H26="VMI",I26&lt;&gt;"")," por "&amp;I26,"")&amp;IF(J26&lt;&gt;""," ("&amp;J26&amp;")","")&amp;IF(K26&lt;&gt;"", ", "&amp;K26,"")&amp;IF(L26&lt;&gt;"", ", sob analgosedação com "&amp;L26,"")&amp;".",""),IF(M26&lt;&gt;"","Dieta "&amp;M26&amp;IF(N26&lt;&gt;"", ", com "&amp;LOWER(N26),"")&amp;IF(O26&lt;&gt;"", " — "&amp;O26,"")&amp;".",""),IF(P26="Febre","Apresentou episódio febril nas últimas 24h"&amp;IF(Q26&lt;&gt;""," ("&amp;Q26&amp;")","")&amp;".",IF(P26="Afebril","Encontra-se afebril.","")),IF(R26&lt;&gt;"",IF(S26="Sim","Apresenta disfunção renal aguda ","Função renal preservada ")&amp;"("&amp;R26&amp;").",""),IF(T26&lt;&gt;"","Em uso do esquema antimicrobiano com "&amp;T26&amp;".",""),IF(U26&lt;&gt;"","Em uso de profilaxia: "&amp;U26&amp;".",""))&amp;CHAR(10)&amp;CHAR(10)&amp;"2. Farmacoterapia"&amp;CHAR(10)&amp;IF(V26&lt;&gt;"","Corticoide/DART: "&amp;V26,"Sem corticoide/DART registrado.")&amp;CHAR(10)&amp;CHAR(10)&amp;"3. Conduta Farmacêutica"&amp;CHAR(10)&amp;IF(X26&lt;&gt;"","["&amp;W26&amp;"] "&amp;X26&amp;IF(Y26&lt;&gt;"", " ("&amp;Y26&amp;")",""),"Nenhuma intervenção registrada hoje.")&amp;CHAR(10)&amp;CHAR(10)&amp;"4. Plano Terapêutico"&amp;CHAR(10)&amp;IF(AB26&lt;&gt;"",AB26,"Não definido.")</f>
      </c>
    </row>
    <row r="27" spans="3:29" x14ac:dyDescent="0.25">
      <c r="AC27">
        <f>"1. Evolução Clínica"&amp;CHAR(10)&amp;TEXTJOIN(" ",TRUE,"Paciente "&amp;F27&amp;", "&amp;IF(G27="","sem DVA","em uso de "&amp;G27)&amp;".",IF(H27&lt;&gt;"","Em "&amp;H27&amp;IF(AND(H27="VMI",I27&lt;&gt;"")," por "&amp;I27,"")&amp;IF(J27&lt;&gt;""," ("&amp;J27&amp;")","")&amp;IF(K27&lt;&gt;"", ", "&amp;K27,"")&amp;IF(L27&lt;&gt;"", ", sob analgosedação com "&amp;L27,"")&amp;".",""),IF(M27&lt;&gt;"","Dieta "&amp;M27&amp;IF(N27&lt;&gt;"", ", com "&amp;LOWER(N27),"")&amp;IF(O27&lt;&gt;"", " — "&amp;O27,"")&amp;".",""),IF(P27="Febre","Apresentou episódio febril nas últimas 24h"&amp;IF(Q27&lt;&gt;""," ("&amp;Q27&amp;")","")&amp;".",IF(P27="Afebril","Encontra-se afebril.","")),IF(R27&lt;&gt;"",IF(S27="Sim","Apresenta disfunção renal aguda ","Função renal preservada ")&amp;"("&amp;R27&amp;").",""),IF(T27&lt;&gt;"","Em uso do esquema antimicrobiano com "&amp;T27&amp;".",""),IF(U27&lt;&gt;"","Em uso de profilaxia: "&amp;U27&amp;".",""))&amp;CHAR(10)&amp;CHAR(10)&amp;"2. Farmacoterapia"&amp;CHAR(10)&amp;IF(V27&lt;&gt;"","Corticoide/DART: "&amp;V27,"Sem corticoide/DART registrado.")&amp;CHAR(10)&amp;CHAR(10)&amp;"3. Conduta Farmacêutica"&amp;CHAR(10)&amp;IF(X27&lt;&gt;"","["&amp;W27&amp;"] "&amp;X27&amp;IF(Y27&lt;&gt;"", " ("&amp;Y27&amp;")",""),"Nenhuma intervenção registrada hoje.")&amp;CHAR(10)&amp;CHAR(10)&amp;"4. Plano Terapêutico"&amp;CHAR(10)&amp;IF(AB27&lt;&gt;"",AB27,"Não definido.")</f>
      </c>
    </row>
    <row r="28" spans="3:29" x14ac:dyDescent="0.25">
      <c r="AC28">
        <f>"1. Evolução Clínica"&amp;CHAR(10)&amp;TEXTJOIN(" ",TRUE,"Paciente "&amp;F28&amp;", "&amp;IF(G28="","sem DVA","em uso de "&amp;G28)&amp;".",IF(H28&lt;&gt;"","Em "&amp;H28&amp;IF(AND(H28="VMI",I28&lt;&gt;"")," por "&amp;I28,"")&amp;IF(J28&lt;&gt;""," ("&amp;J28&amp;")","")&amp;IF(K28&lt;&gt;"", ", "&amp;K28,"")&amp;IF(L28&lt;&gt;"", ", sob analgosedação com "&amp;L28,"")&amp;".",""),IF(M28&lt;&gt;"","Dieta "&amp;M28&amp;IF(N28&lt;&gt;"", ", com "&amp;LOWER(N28),"")&amp;IF(O28&lt;&gt;"", " — "&amp;O28,"")&amp;".",""),IF(P28="Febre","Apresentou episódio febril nas últimas 24h"&amp;IF(Q28&lt;&gt;""," ("&amp;Q28&amp;")","")&amp;".",IF(P28="Afebril","Encontra-se afebril.","")),IF(R28&lt;&gt;"",IF(S28="Sim","Apresenta disfunção renal aguda ","Função renal preservada ")&amp;"("&amp;R28&amp;").",""),IF(T28&lt;&gt;"","Em uso do esquema antimicrobiano com "&amp;T28&amp;".",""),IF(U28&lt;&gt;"","Em uso de profilaxia: "&amp;U28&amp;".",""))&amp;CHAR(10)&amp;CHAR(10)&amp;"2. Farmacoterapia"&amp;CHAR(10)&amp;IF(V28&lt;&gt;"","Corticoide/DART: "&amp;V28,"Sem corticoide/DART registrado.")&amp;CHAR(10)&amp;CHAR(10)&amp;"3. Conduta Farmacêutica"&amp;CHAR(10)&amp;IF(X28&lt;&gt;"","["&amp;W28&amp;"] "&amp;X28&amp;IF(Y28&lt;&gt;"", " ("&amp;Y28&amp;")",""),"Nenhuma intervenção registrada hoje.")&amp;CHAR(10)&amp;CHAR(10)&amp;"4. Plano Terapêutico"&amp;CHAR(10)&amp;IF(AB28&lt;&gt;"",AB28,"Não definido.")</f>
      </c>
    </row>
    <row r="29" spans="3:29" x14ac:dyDescent="0.25">
      <c r="AC29">
        <f>"1. Evolução Clínica"&amp;CHAR(10)&amp;TEXTJOIN(" ",TRUE,"Paciente "&amp;F29&amp;", "&amp;IF(G29="","sem DVA","em uso de "&amp;G29)&amp;".",IF(H29&lt;&gt;"","Em "&amp;H29&amp;IF(AND(H29="VMI",I29&lt;&gt;"")," por "&amp;I29,"")&amp;IF(J29&lt;&gt;""," ("&amp;J29&amp;")","")&amp;IF(K29&lt;&gt;"", ", "&amp;K29,"")&amp;IF(L29&lt;&gt;"", ", sob analgosedação com "&amp;L29,"")&amp;".",""),IF(M29&lt;&gt;"","Dieta "&amp;M29&amp;IF(N29&lt;&gt;"", ", com "&amp;LOWER(N29),"")&amp;IF(O29&lt;&gt;"", " — "&amp;O29,"")&amp;".",""),IF(P29="Febre","Apresentou episódio febril nas últimas 24h"&amp;IF(Q29&lt;&gt;""," ("&amp;Q29&amp;")","")&amp;".",IF(P29="Afebril","Encontra-se afebril.","")),IF(R29&lt;&gt;"",IF(S29="Sim","Apresenta disfunção renal aguda ","Função renal preservada ")&amp;"("&amp;R29&amp;").",""),IF(T29&lt;&gt;"","Em uso do esquema antimicrobiano com "&amp;T29&amp;".",""),IF(U29&lt;&gt;"","Em uso de profilaxia: "&amp;U29&amp;".",""))&amp;CHAR(10)&amp;CHAR(10)&amp;"2. Farmacoterapia"&amp;CHAR(10)&amp;IF(V29&lt;&gt;"","Corticoide/DART: "&amp;V29,"Sem corticoide/DART registrado.")&amp;CHAR(10)&amp;CHAR(10)&amp;"3. Conduta Farmacêutica"&amp;CHAR(10)&amp;IF(X29&lt;&gt;"","["&amp;W29&amp;"] "&amp;X29&amp;IF(Y29&lt;&gt;"", " ("&amp;Y29&amp;")",""),"Nenhuma intervenção registrada hoje.")&amp;CHAR(10)&amp;CHAR(10)&amp;"4. Plano Terapêutico"&amp;CHAR(10)&amp;IF(AB29&lt;&gt;"",AB29,"Não definido.")</f>
      </c>
    </row>
    <row r="30" spans="3:29" x14ac:dyDescent="0.25">
      <c r="AC30">
        <f>"1. Evolução Clínica"&amp;CHAR(10)&amp;TEXTJOIN(" ",TRUE,"Paciente "&amp;F30&amp;", "&amp;IF(G30="","sem DVA","em uso de "&amp;G30)&amp;".",IF(H30&lt;&gt;"","Em "&amp;H30&amp;IF(AND(H30="VMI",I30&lt;&gt;"")," por "&amp;I30,"")&amp;IF(J30&lt;&gt;""," ("&amp;J30&amp;")","")&amp;IF(K30&lt;&gt;"", ", "&amp;K30,"")&amp;IF(L30&lt;&gt;"", ", sob analgosedação com "&amp;L30,"")&amp;".",""),IF(M30&lt;&gt;"","Dieta "&amp;M30&amp;IF(N30&lt;&gt;"", ", com "&amp;LOWER(N30),"")&amp;IF(O30&lt;&gt;"", " — "&amp;O30,"")&amp;".",""),IF(P30="Febre","Apresentou episódio febril nas últimas 24h"&amp;IF(Q30&lt;&gt;""," ("&amp;Q30&amp;")","")&amp;".",IF(P30="Afebril","Encontra-se afebril.","")),IF(R30&lt;&gt;"",IF(S30="Sim","Apresenta disfunção renal aguda ","Função renal preservada ")&amp;"("&amp;R30&amp;").",""),IF(T30&lt;&gt;"","Em uso do esquema antimicrobiano com "&amp;T30&amp;".",""),IF(U30&lt;&gt;"","Em uso de profilaxia: "&amp;U30&amp;".",""))&amp;CHAR(10)&amp;CHAR(10)&amp;"2. Farmacoterapia"&amp;CHAR(10)&amp;IF(V30&lt;&gt;"","Corticoide/DART: "&amp;V30,"Sem corticoide/DART registrado.")&amp;CHAR(10)&amp;CHAR(10)&amp;"3. Conduta Farmacêutica"&amp;CHAR(10)&amp;IF(X30&lt;&gt;"","["&amp;W30&amp;"] "&amp;X30&amp;IF(Y30&lt;&gt;"", " ("&amp;Y30&amp;")",""),"Nenhuma intervenção registrada hoje.")&amp;CHAR(10)&amp;CHAR(10)&amp;"4. Plano Terapêutico"&amp;CHAR(10)&amp;IF(AB30&lt;&gt;"",AB30,"Não definido.")</f>
      </c>
    </row>
    <row r="31" spans="3:29" x14ac:dyDescent="0.25">
      <c r="AC31">
        <f>"1. Evolução Clínica"&amp;CHAR(10)&amp;TEXTJOIN(" ",TRUE,"Paciente "&amp;F31&amp;", "&amp;IF(G31="","sem DVA","em uso de "&amp;G31)&amp;".",IF(H31&lt;&gt;"","Em "&amp;H31&amp;IF(AND(H31="VMI",I31&lt;&gt;"")," por "&amp;I31,"")&amp;IF(J31&lt;&gt;""," ("&amp;J31&amp;")","")&amp;IF(K31&lt;&gt;"", ", "&amp;K31,"")&amp;IF(L31&lt;&gt;"", ", sob analgosedação com "&amp;L31,"")&amp;".",""),IF(M31&lt;&gt;"","Dieta "&amp;M31&amp;IF(N31&lt;&gt;"", ", com "&amp;LOWER(N31),"")&amp;IF(O31&lt;&gt;"", " — "&amp;O31,"")&amp;".",""),IF(P31="Febre","Apresentou episódio febril nas últimas 24h"&amp;IF(Q31&lt;&gt;""," ("&amp;Q31&amp;")","")&amp;".",IF(P31="Afebril","Encontra-se afebril.","")),IF(R31&lt;&gt;"",IF(S31="Sim","Apresenta disfunção renal aguda ","Função renal preservada ")&amp;"("&amp;R31&amp;").",""),IF(T31&lt;&gt;"","Em uso do esquema antimicrobiano com "&amp;T31&amp;".",""),IF(U31&lt;&gt;"","Em uso de profilaxia: "&amp;U31&amp;".",""))&amp;CHAR(10)&amp;CHAR(10)&amp;"2. Farmacoterapia"&amp;CHAR(10)&amp;IF(V31&lt;&gt;"","Corticoide/DART: "&amp;V31,"Sem corticoide/DART registrado.")&amp;CHAR(10)&amp;CHAR(10)&amp;"3. Conduta Farmacêutica"&amp;CHAR(10)&amp;IF(X31&lt;&gt;"","["&amp;W31&amp;"] "&amp;X31&amp;IF(Y31&lt;&gt;"", " ("&amp;Y31&amp;")",""),"Nenhuma intervenção registrada hoje.")&amp;CHAR(10)&amp;CHAR(10)&amp;"4. Plano Terapêutico"&amp;CHAR(10)&amp;IF(AB31&lt;&gt;"",AB31,"Não definido.")</f>
      </c>
    </row>
    <row r="32" spans="3:29" x14ac:dyDescent="0.25">
      <c r="AC32">
        <f>"1. Evolução Clínica"&amp;CHAR(10)&amp;TEXTJOIN(" ",TRUE,"Paciente "&amp;F32&amp;", "&amp;IF(G32="","sem DVA","em uso de "&amp;G32)&amp;".",IF(H32&lt;&gt;"","Em "&amp;H32&amp;IF(AND(H32="VMI",I32&lt;&gt;"")," por "&amp;I32,"")&amp;IF(J32&lt;&gt;""," ("&amp;J32&amp;")","")&amp;IF(K32&lt;&gt;"", ", "&amp;K32,"")&amp;IF(L32&lt;&gt;"", ", sob analgosedação com "&amp;L32,"")&amp;".",""),IF(M32&lt;&gt;"","Dieta "&amp;M32&amp;IF(N32&lt;&gt;"", ", com "&amp;LOWER(N32),"")&amp;IF(O32&lt;&gt;"", " — "&amp;O32,"")&amp;".",""),IF(P32="Febre","Apresentou episódio febril nas últimas 24h"&amp;IF(Q32&lt;&gt;""," ("&amp;Q32&amp;")","")&amp;".",IF(P32="Afebril","Encontra-se afebril.","")),IF(R32&lt;&gt;"",IF(S32="Sim","Apresenta disfunção renal aguda ","Função renal preservada ")&amp;"("&amp;R32&amp;").",""),IF(T32&lt;&gt;"","Em uso do esquema antimicrobiano com "&amp;T32&amp;".",""),IF(U32&lt;&gt;"","Em uso de profilaxia: "&amp;U32&amp;".",""))&amp;CHAR(10)&amp;CHAR(10)&amp;"2. Farmacoterapia"&amp;CHAR(10)&amp;IF(V32&lt;&gt;"","Corticoide/DART: "&amp;V32,"Sem corticoide/DART registrado.")&amp;CHAR(10)&amp;CHAR(10)&amp;"3. Conduta Farmacêutica"&amp;CHAR(10)&amp;IF(X32&lt;&gt;"","["&amp;W32&amp;"] "&amp;X32&amp;IF(Y32&lt;&gt;"", " ("&amp;Y32&amp;")",""),"Nenhuma intervenção registrada hoje.")&amp;CHAR(10)&amp;CHAR(10)&amp;"4. Plano Terapêutico"&amp;CHAR(10)&amp;IF(AB32&lt;&gt;"",AB32,"Não definido.")</f>
      </c>
    </row>
    <row r="33" spans="3:29" x14ac:dyDescent="0.25">
      <c r="AC33">
        <f>"1. Evolução Clínica"&amp;CHAR(10)&amp;TEXTJOIN(" ",TRUE,"Paciente "&amp;F33&amp;", "&amp;IF(G33="","sem DVA","em uso de "&amp;G33)&amp;".",IF(H33&lt;&gt;"","Em "&amp;H33&amp;IF(AND(H33="VMI",I33&lt;&gt;"")," por "&amp;I33,"")&amp;IF(J33&lt;&gt;""," ("&amp;J33&amp;")","")&amp;IF(K33&lt;&gt;"", ", "&amp;K33,"")&amp;IF(L33&lt;&gt;"", ", sob analgosedação com "&amp;L33,"")&amp;".",""),IF(M33&lt;&gt;"","Dieta "&amp;M33&amp;IF(N33&lt;&gt;"", ", com "&amp;LOWER(N33),"")&amp;IF(O33&lt;&gt;"", " — "&amp;O33,"")&amp;".",""),IF(P33="Febre","Apresentou episódio febril nas últimas 24h"&amp;IF(Q33&lt;&gt;""," ("&amp;Q33&amp;")","")&amp;".",IF(P33="Afebril","Encontra-se afebril.","")),IF(R33&lt;&gt;"",IF(S33="Sim","Apresenta disfunção renal aguda ","Função renal preservada ")&amp;"("&amp;R33&amp;").",""),IF(T33&lt;&gt;"","Em uso do esquema antimicrobiano com "&amp;T33&amp;".",""),IF(U33&lt;&gt;"","Em uso de profilaxia: "&amp;U33&amp;".",""))&amp;CHAR(10)&amp;CHAR(10)&amp;"2. Farmacoterapia"&amp;CHAR(10)&amp;IF(V33&lt;&gt;"","Corticoide/DART: "&amp;V33,"Sem corticoide/DART registrado.")&amp;CHAR(10)&amp;CHAR(10)&amp;"3. Conduta Farmacêutica"&amp;CHAR(10)&amp;IF(X33&lt;&gt;"","["&amp;W33&amp;"] "&amp;X33&amp;IF(Y33&lt;&gt;"", " ("&amp;Y33&amp;")",""),"Nenhuma intervenção registrada hoje.")&amp;CHAR(10)&amp;CHAR(10)&amp;"4. Plano Terapêutico"&amp;CHAR(10)&amp;IF(AB33&lt;&gt;"",AB33,"Não definido.")</f>
      </c>
    </row>
    <row r="34" spans="3:29" x14ac:dyDescent="0.25">
      <c r="AC34">
        <f>"1. Evolução Clínica"&amp;CHAR(10)&amp;TEXTJOIN(" ",TRUE,"Paciente "&amp;F34&amp;", "&amp;IF(G34="","sem DVA","em uso de "&amp;G34)&amp;".",IF(H34&lt;&gt;"","Em "&amp;H34&amp;IF(AND(H34="VMI",I34&lt;&gt;"")," por "&amp;I34,"")&amp;IF(J34&lt;&gt;""," ("&amp;J34&amp;")","")&amp;IF(K34&lt;&gt;"", ", "&amp;K34,"")&amp;IF(L34&lt;&gt;"", ", sob analgosedação com "&amp;L34,"")&amp;".",""),IF(M34&lt;&gt;"","Dieta "&amp;M34&amp;IF(N34&lt;&gt;"", ", com "&amp;LOWER(N34),"")&amp;IF(O34&lt;&gt;"", " — "&amp;O34,"")&amp;".",""),IF(P34="Febre","Apresentou episódio febril nas últimas 24h"&amp;IF(Q34&lt;&gt;""," ("&amp;Q34&amp;")","")&amp;".",IF(P34="Afebril","Encontra-se afebril.","")),IF(R34&lt;&gt;"",IF(S34="Sim","Apresenta disfunção renal aguda ","Função renal preservada ")&amp;"("&amp;R34&amp;").",""),IF(T34&lt;&gt;"","Em uso do esquema antimicrobiano com "&amp;T34&amp;".",""),IF(U34&lt;&gt;"","Em uso de profilaxia: "&amp;U34&amp;".",""))&amp;CHAR(10)&amp;CHAR(10)&amp;"2. Farmacoterapia"&amp;CHAR(10)&amp;IF(V34&lt;&gt;"","Corticoide/DART: "&amp;V34,"Sem corticoide/DART registrado.")&amp;CHAR(10)&amp;CHAR(10)&amp;"3. Conduta Farmacêutica"&amp;CHAR(10)&amp;IF(X34&lt;&gt;"","["&amp;W34&amp;"] "&amp;X34&amp;IF(Y34&lt;&gt;"", " ("&amp;Y34&amp;")",""),"Nenhuma intervenção registrada hoje.")&amp;CHAR(10)&amp;CHAR(10)&amp;"4. Plano Terapêutico"&amp;CHAR(10)&amp;IF(AB34&lt;&gt;"",AB34,"Não definido.")</f>
      </c>
    </row>
    <row r="35" spans="3:29" x14ac:dyDescent="0.25">
      <c r="AC35">
        <f>"1. Evolução Clínica"&amp;CHAR(10)&amp;TEXTJOIN(" ",TRUE,"Paciente "&amp;F35&amp;", "&amp;IF(G35="","sem DVA","em uso de "&amp;G35)&amp;".",IF(H35&lt;&gt;"","Em "&amp;H35&amp;IF(AND(H35="VMI",I35&lt;&gt;"")," por "&amp;I35,"")&amp;IF(J35&lt;&gt;""," ("&amp;J35&amp;")","")&amp;IF(K35&lt;&gt;"", ", "&amp;K35,"")&amp;IF(L35&lt;&gt;"", ", sob analgosedação com "&amp;L35,"")&amp;".",""),IF(M35&lt;&gt;"","Dieta "&amp;M35&amp;IF(N35&lt;&gt;"", ", com "&amp;LOWER(N35),"")&amp;IF(O35&lt;&gt;"", " — "&amp;O35,"")&amp;".",""),IF(P35="Febre","Apresentou episódio febril nas últimas 24h"&amp;IF(Q35&lt;&gt;""," ("&amp;Q35&amp;")","")&amp;".",IF(P35="Afebril","Encontra-se afebril.","")),IF(R35&lt;&gt;"",IF(S35="Sim","Apresenta disfunção renal aguda ","Função renal preservada ")&amp;"("&amp;R35&amp;").",""),IF(T35&lt;&gt;"","Em uso do esquema antimicrobiano com "&amp;T35&amp;".",""),IF(U35&lt;&gt;"","Em uso de profilaxia: "&amp;U35&amp;".",""))&amp;CHAR(10)&amp;CHAR(10)&amp;"2. Farmacoterapia"&amp;CHAR(10)&amp;IF(V35&lt;&gt;"","Corticoide/DART: "&amp;V35,"Sem corticoide/DART registrado.")&amp;CHAR(10)&amp;CHAR(10)&amp;"3. Conduta Farmacêutica"&amp;CHAR(10)&amp;IF(X35&lt;&gt;"","["&amp;W35&amp;"] "&amp;X35&amp;IF(Y35&lt;&gt;"", " ("&amp;Y35&amp;")",""),"Nenhuma intervenção registrada hoje.")&amp;CHAR(10)&amp;CHAR(10)&amp;"4. Plano Terapêutico"&amp;CHAR(10)&amp;IF(AB35&lt;&gt;"",AB35,"Não definido.")</f>
      </c>
    </row>
    <row r="36" spans="3:29" x14ac:dyDescent="0.25">
      <c r="AC36">
        <f>"1. Evolução Clínica"&amp;CHAR(10)&amp;TEXTJOIN(" ",TRUE,"Paciente "&amp;F36&amp;", "&amp;IF(G36="","sem DVA","em uso de "&amp;G36)&amp;".",IF(H36&lt;&gt;"","Em "&amp;H36&amp;IF(AND(H36="VMI",I36&lt;&gt;"")," por "&amp;I36,"")&amp;IF(J36&lt;&gt;""," ("&amp;J36&amp;")","")&amp;IF(K36&lt;&gt;"", ", "&amp;K36,"")&amp;IF(L36&lt;&gt;"", ", sob analgosedação com "&amp;L36,"")&amp;".",""),IF(M36&lt;&gt;"","Dieta "&amp;M36&amp;IF(N36&lt;&gt;"", ", com "&amp;LOWER(N36),"")&amp;IF(O36&lt;&gt;"", " — "&amp;O36,"")&amp;".",""),IF(P36="Febre","Apresentou episódio febril nas últimas 24h"&amp;IF(Q36&lt;&gt;""," ("&amp;Q36&amp;")","")&amp;".",IF(P36="Afebril","Encontra-se afebril.","")),IF(R36&lt;&gt;"",IF(S36="Sim","Apresenta disfunção renal aguda ","Função renal preservada ")&amp;"("&amp;R36&amp;").",""),IF(T36&lt;&gt;"","Em uso do esquema antimicrobiano com "&amp;T36&amp;".",""),IF(U36&lt;&gt;"","Em uso de profilaxia: "&amp;U36&amp;".",""))&amp;CHAR(10)&amp;CHAR(10)&amp;"2. Farmacoterapia"&amp;CHAR(10)&amp;IF(V36&lt;&gt;"","Corticoide/DART: "&amp;V36,"Sem corticoide/DART registrado.")&amp;CHAR(10)&amp;CHAR(10)&amp;"3. Conduta Farmacêutica"&amp;CHAR(10)&amp;IF(X36&lt;&gt;"","["&amp;W36&amp;"] "&amp;X36&amp;IF(Y36&lt;&gt;"", " ("&amp;Y36&amp;")",""),"Nenhuma intervenção registrada hoje.")&amp;CHAR(10)&amp;CHAR(10)&amp;"4. Plano Terapêutico"&amp;CHAR(10)&amp;IF(AB36&lt;&gt;"",AB36,"Não definido.")</f>
      </c>
    </row>
    <row r="37" spans="3:29" x14ac:dyDescent="0.25">
      <c r="AC37">
        <f>"1. Evolução Clínica"&amp;CHAR(10)&amp;TEXTJOIN(" ",TRUE,"Paciente "&amp;F37&amp;", "&amp;IF(G37="","sem DVA","em uso de "&amp;G37)&amp;".",IF(H37&lt;&gt;"","Em "&amp;H37&amp;IF(AND(H37="VMI",I37&lt;&gt;"")," por "&amp;I37,"")&amp;IF(J37&lt;&gt;""," ("&amp;J37&amp;")","")&amp;IF(K37&lt;&gt;"", ", "&amp;K37,"")&amp;IF(L37&lt;&gt;"", ", sob analgosedação com "&amp;L37,"")&amp;".",""),IF(M37&lt;&gt;"","Dieta "&amp;M37&amp;IF(N37&lt;&gt;"", ", com "&amp;LOWER(N37),"")&amp;IF(O37&lt;&gt;"", " — "&amp;O37,"")&amp;".",""),IF(P37="Febre","Apresentou episódio febril nas últimas 24h"&amp;IF(Q37&lt;&gt;""," ("&amp;Q37&amp;")","")&amp;".",IF(P37="Afebril","Encontra-se afebril.","")),IF(R37&lt;&gt;"",IF(S37="Sim","Apresenta disfunção renal aguda ","Função renal preservada ")&amp;"("&amp;R37&amp;").",""),IF(T37&lt;&gt;"","Em uso do esquema antimicrobiano com "&amp;T37&amp;".",""),IF(U37&lt;&gt;"","Em uso de profilaxia: "&amp;U37&amp;".",""))&amp;CHAR(10)&amp;CHAR(10)&amp;"2. Farmacoterapia"&amp;CHAR(10)&amp;IF(V37&lt;&gt;"","Corticoide/DART: "&amp;V37,"Sem corticoide/DART registrado.")&amp;CHAR(10)&amp;CHAR(10)&amp;"3. Conduta Farmacêutica"&amp;CHAR(10)&amp;IF(X37&lt;&gt;"","["&amp;W37&amp;"] "&amp;X37&amp;IF(Y37&lt;&gt;"", " ("&amp;Y37&amp;")",""),"Nenhuma intervenção registrada hoje.")&amp;CHAR(10)&amp;CHAR(10)&amp;"4. Plano Terapêutico"&amp;CHAR(10)&amp;IF(AB37&lt;&gt;"",AB37,"Não definido.")</f>
      </c>
    </row>
    <row r="38" spans="3:29" x14ac:dyDescent="0.25">
      <c r="AC38">
        <f>"1. Evolução Clínica"&amp;CHAR(10)&amp;TEXTJOIN(" ",TRUE,"Paciente "&amp;F38&amp;", "&amp;IF(G38="","sem DVA","em uso de "&amp;G38)&amp;".",IF(H38&lt;&gt;"","Em "&amp;H38&amp;IF(AND(H38="VMI",I38&lt;&gt;"")," por "&amp;I38,"")&amp;IF(J38&lt;&gt;""," ("&amp;J38&amp;")","")&amp;IF(K38&lt;&gt;"", ", "&amp;K38,"")&amp;IF(L38&lt;&gt;"", ", sob analgosedação com "&amp;L38,"")&amp;".",""),IF(M38&lt;&gt;"","Dieta "&amp;M38&amp;IF(N38&lt;&gt;"", ", com "&amp;LOWER(N38),"")&amp;IF(O38&lt;&gt;"", " — "&amp;O38,"")&amp;".",""),IF(P38="Febre","Apresentou episódio febril nas últimas 24h"&amp;IF(Q38&lt;&gt;""," ("&amp;Q38&amp;")","")&amp;".",IF(P38="Afebril","Encontra-se afebril.","")),IF(R38&lt;&gt;"",IF(S38="Sim","Apresenta disfunção renal aguda ","Função renal preservada ")&amp;"("&amp;R38&amp;").",""),IF(T38&lt;&gt;"","Em uso do esquema antimicrobiano com "&amp;T38&amp;".",""),IF(U38&lt;&gt;"","Em uso de profilaxia: "&amp;U38&amp;".",""))&amp;CHAR(10)&amp;CHAR(10)&amp;"2. Farmacoterapia"&amp;CHAR(10)&amp;IF(V38&lt;&gt;"","Corticoide/DART: "&amp;V38,"Sem corticoide/DART registrado.")&amp;CHAR(10)&amp;CHAR(10)&amp;"3. Conduta Farmacêutica"&amp;CHAR(10)&amp;IF(X38&lt;&gt;"","["&amp;W38&amp;"] "&amp;X38&amp;IF(Y38&lt;&gt;"", " ("&amp;Y38&amp;")",""),"Nenhuma intervenção registrada hoje.")&amp;CHAR(10)&amp;CHAR(10)&amp;"4. Plano Terapêutico"&amp;CHAR(10)&amp;IF(AB38&lt;&gt;"",AB38,"Não definido.")</f>
      </c>
    </row>
    <row r="39" spans="3:29" x14ac:dyDescent="0.25">
      <c r="AC39">
        <f>"1. Evolução Clínica"&amp;CHAR(10)&amp;TEXTJOIN(" ",TRUE,"Paciente "&amp;F39&amp;", "&amp;IF(G39="","sem DVA","em uso de "&amp;G39)&amp;".",IF(H39&lt;&gt;"","Em "&amp;H39&amp;IF(AND(H39="VMI",I39&lt;&gt;"")," por "&amp;I39,"")&amp;IF(J39&lt;&gt;""," ("&amp;J39&amp;")","")&amp;IF(K39&lt;&gt;"", ", "&amp;K39,"")&amp;IF(L39&lt;&gt;"", ", sob analgosedação com "&amp;L39,"")&amp;".",""),IF(M39&lt;&gt;"","Dieta "&amp;M39&amp;IF(N39&lt;&gt;"", ", com "&amp;LOWER(N39),"")&amp;IF(O39&lt;&gt;"", " — "&amp;O39,"")&amp;".",""),IF(P39="Febre","Apresentou episódio febril nas últimas 24h"&amp;IF(Q39&lt;&gt;""," ("&amp;Q39&amp;")","")&amp;".",IF(P39="Afebril","Encontra-se afebril.","")),IF(R39&lt;&gt;"",IF(S39="Sim","Apresenta disfunção renal aguda ","Função renal preservada ")&amp;"("&amp;R39&amp;").",""),IF(T39&lt;&gt;"","Em uso do esquema antimicrobiano com "&amp;T39&amp;".",""),IF(U39&lt;&gt;"","Em uso de profilaxia: "&amp;U39&amp;".",""))&amp;CHAR(10)&amp;CHAR(10)&amp;"2. Farmacoterapia"&amp;CHAR(10)&amp;IF(V39&lt;&gt;"","Corticoide/DART: "&amp;V39,"Sem corticoide/DART registrado.")&amp;CHAR(10)&amp;CHAR(10)&amp;"3. Conduta Farmacêutica"&amp;CHAR(10)&amp;IF(X39&lt;&gt;"","["&amp;W39&amp;"] "&amp;X39&amp;IF(Y39&lt;&gt;"", " ("&amp;Y39&amp;")",""),"Nenhuma intervenção registrada hoje.")&amp;CHAR(10)&amp;CHAR(10)&amp;"4. Plano Terapêutico"&amp;CHAR(10)&amp;IF(AB39&lt;&gt;"",AB39,"Não definido.")</f>
      </c>
    </row>
    <row r="40" spans="3:29" x14ac:dyDescent="0.25">
      <c r="AC40">
        <f>"1. Evolução Clínica"&amp;CHAR(10)&amp;TEXTJOIN(" ",TRUE,"Paciente "&amp;F40&amp;", "&amp;IF(G40="","sem DVA","em uso de "&amp;G40)&amp;".",IF(H40&lt;&gt;"","Em "&amp;H40&amp;IF(AND(H40="VMI",I40&lt;&gt;"")," por "&amp;I40,"")&amp;IF(J40&lt;&gt;""," ("&amp;J40&amp;")","")&amp;IF(K40&lt;&gt;"", ", "&amp;K40,"")&amp;IF(L40&lt;&gt;"", ", sob analgosedação com "&amp;L40,"")&amp;".",""),IF(M40&lt;&gt;"","Dieta "&amp;M40&amp;IF(N40&lt;&gt;"", ", com "&amp;LOWER(N40),"")&amp;IF(O40&lt;&gt;"", " — "&amp;O40,"")&amp;".",""),IF(P40="Febre","Apresentou episódio febril nas últimas 24h"&amp;IF(Q40&lt;&gt;""," ("&amp;Q40&amp;")","")&amp;".",IF(P40="Afebril","Encontra-se afebril.","")),IF(R40&lt;&gt;"",IF(S40="Sim","Apresenta disfunção renal aguda ","Função renal preservada ")&amp;"("&amp;R40&amp;").",""),IF(T40&lt;&gt;"","Em uso do esquema antimicrobiano com "&amp;T40&amp;".",""),IF(U40&lt;&gt;"","Em uso de profilaxia: "&amp;U40&amp;".",""))&amp;CHAR(10)&amp;CHAR(10)&amp;"2. Farmacoterapia"&amp;CHAR(10)&amp;IF(V40&lt;&gt;"","Corticoide/DART: "&amp;V40,"Sem corticoide/DART registrado.")&amp;CHAR(10)&amp;CHAR(10)&amp;"3. Conduta Farmacêutica"&amp;CHAR(10)&amp;IF(X40&lt;&gt;"","["&amp;W40&amp;"] "&amp;X40&amp;IF(Y40&lt;&gt;"", " ("&amp;Y40&amp;")",""),"Nenhuma intervenção registrada hoje.")&amp;CHAR(10)&amp;CHAR(10)&amp;"4. Plano Terapêutico"&amp;CHAR(10)&amp;IF(AB40&lt;&gt;"",AB40,"Não definido.")</f>
      </c>
    </row>
    <row r="41" spans="3:29" x14ac:dyDescent="0.25">
      <c r="AC41">
        <f>"1. Evolução Clínica"&amp;CHAR(10)&amp;TEXTJOIN(" ",TRUE,"Paciente "&amp;F41&amp;", "&amp;IF(G41="","sem DVA","em uso de "&amp;G41)&amp;".",IF(H41&lt;&gt;"","Em "&amp;H41&amp;IF(AND(H41="VMI",I41&lt;&gt;"")," por "&amp;I41,"")&amp;IF(J41&lt;&gt;""," ("&amp;J41&amp;")","")&amp;IF(K41&lt;&gt;"", ", "&amp;K41,"")&amp;IF(L41&lt;&gt;"", ", sob analgosedação com "&amp;L41,"")&amp;".",""),IF(M41&lt;&gt;"","Dieta "&amp;M41&amp;IF(N41&lt;&gt;"", ", com "&amp;LOWER(N41),"")&amp;IF(O41&lt;&gt;"", " — "&amp;O41,"")&amp;".",""),IF(P41="Febre","Apresentou episódio febril nas últimas 24h"&amp;IF(Q41&lt;&gt;""," ("&amp;Q41&amp;")","")&amp;".",IF(P41="Afebril","Encontra-se afebril.","")),IF(R41&lt;&gt;"",IF(S41="Sim","Apresenta disfunção renal aguda ","Função renal preservada ")&amp;"("&amp;R41&amp;").",""),IF(T41&lt;&gt;"","Em uso do esquema antimicrobiano com "&amp;T41&amp;".",""),IF(U41&lt;&gt;"","Em uso de profilaxia: "&amp;U41&amp;".",""))&amp;CHAR(10)&amp;CHAR(10)&amp;"2. Farmacoterapia"&amp;CHAR(10)&amp;IF(V41&lt;&gt;"","Corticoide/DART: "&amp;V41,"Sem corticoide/DART registrado.")&amp;CHAR(10)&amp;CHAR(10)&amp;"3. Conduta Farmacêutica"&amp;CHAR(10)&amp;IF(X41&lt;&gt;"","["&amp;W41&amp;"] "&amp;X41&amp;IF(Y41&lt;&gt;"", " ("&amp;Y41&amp;")",""),"Nenhuma intervenção registrada hoje.")&amp;CHAR(10)&amp;CHAR(10)&amp;"4. Plano Terapêutico"&amp;CHAR(10)&amp;IF(AB41&lt;&gt;"",AB41,"Não definido.")</f>
      </c>
    </row>
    <row r="42" spans="3:29" x14ac:dyDescent="0.25">
      <c r="AC42">
        <f>"1. Evolução Clínica"&amp;CHAR(10)&amp;TEXTJOIN(" ",TRUE,"Paciente "&amp;F42&amp;", "&amp;IF(G42="","sem DVA","em uso de "&amp;G42)&amp;".",IF(H42&lt;&gt;"","Em "&amp;H42&amp;IF(AND(H42="VMI",I42&lt;&gt;"")," por "&amp;I42,"")&amp;IF(J42&lt;&gt;""," ("&amp;J42&amp;")","")&amp;IF(K42&lt;&gt;"", ", "&amp;K42,"")&amp;IF(L42&lt;&gt;"", ", sob analgosedação com "&amp;L42,"")&amp;".",""),IF(M42&lt;&gt;"","Dieta "&amp;M42&amp;IF(N42&lt;&gt;"", ", com "&amp;LOWER(N42),"")&amp;IF(O42&lt;&gt;"", " — "&amp;O42,"")&amp;".",""),IF(P42="Febre","Apresentou episódio febril nas últimas 24h"&amp;IF(Q42&lt;&gt;""," ("&amp;Q42&amp;")","")&amp;".",IF(P42="Afebril","Encontra-se afebril.","")),IF(R42&lt;&gt;"",IF(S42="Sim","Apresenta disfunção renal aguda ","Função renal preservada ")&amp;"("&amp;R42&amp;").",""),IF(T42&lt;&gt;"","Em uso do esquema antimicrobiano com "&amp;T42&amp;".",""),IF(U42&lt;&gt;"","Em uso de profilaxia: "&amp;U42&amp;".",""))&amp;CHAR(10)&amp;CHAR(10)&amp;"2. Farmacoterapia"&amp;CHAR(10)&amp;IF(V42&lt;&gt;"","Corticoide/DART: "&amp;V42,"Sem corticoide/DART registrado.")&amp;CHAR(10)&amp;CHAR(10)&amp;"3. Conduta Farmacêutica"&amp;CHAR(10)&amp;IF(X42&lt;&gt;"","["&amp;W42&amp;"] "&amp;X42&amp;IF(Y42&lt;&gt;"", " ("&amp;Y42&amp;")",""),"Nenhuma intervenção registrada hoje.")&amp;CHAR(10)&amp;CHAR(10)&amp;"4. Plano Terapêutico"&amp;CHAR(10)&amp;IF(AB42&lt;&gt;"",AB42,"Não definido.")</f>
      </c>
    </row>
    <row r="43" spans="3:29" x14ac:dyDescent="0.25">
      <c r="AC43">
        <f>"1. Evolução Clínica"&amp;CHAR(10)&amp;TEXTJOIN(" ",TRUE,"Paciente "&amp;F43&amp;", "&amp;IF(G43="","sem DVA","em uso de "&amp;G43)&amp;".",IF(H43&lt;&gt;"","Em "&amp;H43&amp;IF(AND(H43="VMI",I43&lt;&gt;"")," por "&amp;I43,"")&amp;IF(J43&lt;&gt;""," ("&amp;J43&amp;")","")&amp;IF(K43&lt;&gt;"", ", "&amp;K43,"")&amp;IF(L43&lt;&gt;"", ", sob analgosedação com "&amp;L43,"")&amp;".",""),IF(M43&lt;&gt;"","Dieta "&amp;M43&amp;IF(N43&lt;&gt;"", ", com "&amp;LOWER(N43),"")&amp;IF(O43&lt;&gt;"", " — "&amp;O43,"")&amp;".",""),IF(P43="Febre","Apresentou episódio febril nas últimas 24h"&amp;IF(Q43&lt;&gt;""," ("&amp;Q43&amp;")","")&amp;".",IF(P43="Afebril","Encontra-se afebril.","")),IF(R43&lt;&gt;"",IF(S43="Sim","Apresenta disfunção renal aguda ","Função renal preservada ")&amp;"("&amp;R43&amp;").",""),IF(T43&lt;&gt;"","Em uso do esquema antimicrobiano com "&amp;T43&amp;".",""),IF(U43&lt;&gt;"","Em uso de profilaxia: "&amp;U43&amp;".",""))&amp;CHAR(10)&amp;CHAR(10)&amp;"2. Farmacoterapia"&amp;CHAR(10)&amp;IF(V43&lt;&gt;"","Corticoide/DART: "&amp;V43,"Sem corticoide/DART registrado.")&amp;CHAR(10)&amp;CHAR(10)&amp;"3. Conduta Farmacêutica"&amp;CHAR(10)&amp;IF(X43&lt;&gt;"","["&amp;W43&amp;"] "&amp;X43&amp;IF(Y43&lt;&gt;"", " ("&amp;Y43&amp;")",""),"Nenhuma intervenção registrada hoje.")&amp;CHAR(10)&amp;CHAR(10)&amp;"4. Plano Terapêutico"&amp;CHAR(10)&amp;IF(AB43&lt;&gt;"",AB43,"Não definido.")</f>
      </c>
    </row>
    <row r="44" spans="3:29" x14ac:dyDescent="0.25">
      <c r="AC44">
        <f>"1. Evolução Clínica"&amp;CHAR(10)&amp;TEXTJOIN(" ",TRUE,"Paciente "&amp;F44&amp;", "&amp;IF(G44="","sem DVA","em uso de "&amp;G44)&amp;".",IF(H44&lt;&gt;"","Em "&amp;H44&amp;IF(AND(H44="VMI",I44&lt;&gt;"")," por "&amp;I44,"")&amp;IF(J44&lt;&gt;""," ("&amp;J44&amp;")","")&amp;IF(K44&lt;&gt;"", ", "&amp;K44,"")&amp;IF(L44&lt;&gt;"", ", sob analgosedação com "&amp;L44,"")&amp;".",""),IF(M44&lt;&gt;"","Dieta "&amp;M44&amp;IF(N44&lt;&gt;"", ", com "&amp;LOWER(N44),"")&amp;IF(O44&lt;&gt;"", " — "&amp;O44,"")&amp;".",""),IF(P44="Febre","Apresentou episódio febril nas últimas 24h"&amp;IF(Q44&lt;&gt;""," ("&amp;Q44&amp;")","")&amp;".",IF(P44="Afebril","Encontra-se afebril.","")),IF(R44&lt;&gt;"",IF(S44="Sim","Apresenta disfunção renal aguda ","Função renal preservada ")&amp;"("&amp;R44&amp;").",""),IF(T44&lt;&gt;"","Em uso do esquema antimicrobiano com "&amp;T44&amp;".",""),IF(U44&lt;&gt;"","Em uso de profilaxia: "&amp;U44&amp;".",""))&amp;CHAR(10)&amp;CHAR(10)&amp;"2. Farmacoterapia"&amp;CHAR(10)&amp;IF(V44&lt;&gt;"","Corticoide/DART: "&amp;V44,"Sem corticoide/DART registrado.")&amp;CHAR(10)&amp;CHAR(10)&amp;"3. Conduta Farmacêutica"&amp;CHAR(10)&amp;IF(X44&lt;&gt;"","["&amp;W44&amp;"] "&amp;X44&amp;IF(Y44&lt;&gt;"", " ("&amp;Y44&amp;")",""),"Nenhuma intervenção registrada hoje.")&amp;CHAR(10)&amp;CHAR(10)&amp;"4. Plano Terapêutico"&amp;CHAR(10)&amp;IF(AB44&lt;&gt;"",AB44,"Não definido.")</f>
      </c>
    </row>
    <row r="45" spans="3:29" x14ac:dyDescent="0.25">
      <c r="AC45">
        <f>"1. Evolução Clínica"&amp;CHAR(10)&amp;TEXTJOIN(" ",TRUE,"Paciente "&amp;F45&amp;", "&amp;IF(G45="","sem DVA","em uso de "&amp;G45)&amp;".",IF(H45&lt;&gt;"","Em "&amp;H45&amp;IF(AND(H45="VMI",I45&lt;&gt;"")," por "&amp;I45,"")&amp;IF(J45&lt;&gt;""," ("&amp;J45&amp;")","")&amp;IF(K45&lt;&gt;"", ", "&amp;K45,"")&amp;IF(L45&lt;&gt;"", ", sob analgosedação com "&amp;L45,"")&amp;".",""),IF(M45&lt;&gt;"","Dieta "&amp;M45&amp;IF(N45&lt;&gt;"", ", com "&amp;LOWER(N45),"")&amp;IF(O45&lt;&gt;"", " — "&amp;O45,"")&amp;".",""),IF(P45="Febre","Apresentou episódio febril nas últimas 24h"&amp;IF(Q45&lt;&gt;""," ("&amp;Q45&amp;")","")&amp;".",IF(P45="Afebril","Encontra-se afebril.","")),IF(R45&lt;&gt;"",IF(S45="Sim","Apresenta disfunção renal aguda ","Função renal preservada ")&amp;"("&amp;R45&amp;").",""),IF(T45&lt;&gt;"","Em uso do esquema antimicrobiano com "&amp;T45&amp;".",""),IF(U45&lt;&gt;"","Em uso de profilaxia: "&amp;U45&amp;".",""))&amp;CHAR(10)&amp;CHAR(10)&amp;"2. Farmacoterapia"&amp;CHAR(10)&amp;IF(V45&lt;&gt;"","Corticoide/DART: "&amp;V45,"Sem corticoide/DART registrado.")&amp;CHAR(10)&amp;CHAR(10)&amp;"3. Conduta Farmacêutica"&amp;CHAR(10)&amp;IF(X45&lt;&gt;"","["&amp;W45&amp;"] "&amp;X45&amp;IF(Y45&lt;&gt;"", " ("&amp;Y45&amp;")",""),"Nenhuma intervenção registrada hoje.")&amp;CHAR(10)&amp;CHAR(10)&amp;"4. Plano Terapêutico"&amp;CHAR(10)&amp;IF(AB45&lt;&gt;"",AB45,"Não definido.")</f>
      </c>
    </row>
    <row r="46" spans="3:29" x14ac:dyDescent="0.25">
      <c r="AC46">
        <f>"1. Evolução Clínica"&amp;CHAR(10)&amp;TEXTJOIN(" ",TRUE,"Paciente "&amp;F46&amp;", "&amp;IF(G46="","sem DVA","em uso de "&amp;G46)&amp;".",IF(H46&lt;&gt;"","Em "&amp;H46&amp;IF(AND(H46="VMI",I46&lt;&gt;"")," por "&amp;I46,"")&amp;IF(J46&lt;&gt;""," ("&amp;J46&amp;")","")&amp;IF(K46&lt;&gt;"", ", "&amp;K46,"")&amp;IF(L46&lt;&gt;"", ", sob analgosedação com "&amp;L46,"")&amp;".",""),IF(M46&lt;&gt;"","Dieta "&amp;M46&amp;IF(N46&lt;&gt;"", ", com "&amp;LOWER(N46),"")&amp;IF(O46&lt;&gt;"", " — "&amp;O46,"")&amp;".",""),IF(P46="Febre","Apresentou episódio febril nas últimas 24h"&amp;IF(Q46&lt;&gt;""," ("&amp;Q46&amp;")","")&amp;".",IF(P46="Afebril","Encontra-se afebril.","")),IF(R46&lt;&gt;"",IF(S46="Sim","Apresenta disfunção renal aguda ","Função renal preservada ")&amp;"("&amp;R46&amp;").",""),IF(T46&lt;&gt;"","Em uso do esquema antimicrobiano com "&amp;T46&amp;".",""),IF(U46&lt;&gt;"","Em uso de profilaxia: "&amp;U46&amp;".",""))&amp;CHAR(10)&amp;CHAR(10)&amp;"2. Farmacoterapia"&amp;CHAR(10)&amp;IF(V46&lt;&gt;"","Corticoide/DART: "&amp;V46,"Sem corticoide/DART registrado.")&amp;CHAR(10)&amp;CHAR(10)&amp;"3. Conduta Farmacêutica"&amp;CHAR(10)&amp;IF(X46&lt;&gt;"","["&amp;W46&amp;"] "&amp;X46&amp;IF(Y46&lt;&gt;"", " ("&amp;Y46&amp;")",""),"Nenhuma intervenção registrada hoje.")&amp;CHAR(10)&amp;CHAR(10)&amp;"4. Plano Terapêutico"&amp;CHAR(10)&amp;IF(AB46&lt;&gt;"",AB46,"Não definido.")</f>
      </c>
    </row>
    <row r="47" spans="3:29" x14ac:dyDescent="0.25">
      <c r="AC47">
        <f>"1. Evolução Clínica"&amp;CHAR(10)&amp;TEXTJOIN(" ",TRUE,"Paciente "&amp;F47&amp;", "&amp;IF(G47="","sem DVA","em uso de "&amp;G47)&amp;".",IF(H47&lt;&gt;"","Em "&amp;H47&amp;IF(AND(H47="VMI",I47&lt;&gt;"")," por "&amp;I47,"")&amp;IF(J47&lt;&gt;""," ("&amp;J47&amp;")","")&amp;IF(K47&lt;&gt;"", ", "&amp;K47,"")&amp;IF(L47&lt;&gt;"", ", sob analgosedação com "&amp;L47,"")&amp;".",""),IF(M47&lt;&gt;"","Dieta "&amp;M47&amp;IF(N47&lt;&gt;"", ", com "&amp;LOWER(N47),"")&amp;IF(O47&lt;&gt;"", " — "&amp;O47,"")&amp;".",""),IF(P47="Febre","Apresentou episódio febril nas últimas 24h"&amp;IF(Q47&lt;&gt;""," ("&amp;Q47&amp;")","")&amp;".",IF(P47="Afebril","Encontra-se afebril.","")),IF(R47&lt;&gt;"",IF(S47="Sim","Apresenta disfunção renal aguda ","Função renal preservada ")&amp;"("&amp;R47&amp;").",""),IF(T47&lt;&gt;"","Em uso do esquema antimicrobiano com "&amp;T47&amp;".",""),IF(U47&lt;&gt;"","Em uso de profilaxia: "&amp;U47&amp;".",""))&amp;CHAR(10)&amp;CHAR(10)&amp;"2. Farmacoterapia"&amp;CHAR(10)&amp;IF(V47&lt;&gt;"","Corticoide/DART: "&amp;V47,"Sem corticoide/DART registrado.")&amp;CHAR(10)&amp;CHAR(10)&amp;"3. Conduta Farmacêutica"&amp;CHAR(10)&amp;IF(X47&lt;&gt;"","["&amp;W47&amp;"] "&amp;X47&amp;IF(Y47&lt;&gt;"", " ("&amp;Y47&amp;")",""),"Nenhuma intervenção registrada hoje.")&amp;CHAR(10)&amp;CHAR(10)&amp;"4. Plano Terapêutico"&amp;CHAR(10)&amp;IF(AB47&lt;&gt;"",AB47,"Não definido.")</f>
      </c>
    </row>
    <row r="48" spans="3:29" x14ac:dyDescent="0.25">
      <c r="AC48">
        <f>"1. Evolução Clínica"&amp;CHAR(10)&amp;TEXTJOIN(" ",TRUE,"Paciente "&amp;F48&amp;", "&amp;IF(G48="","sem DVA","em uso de "&amp;G48)&amp;".",IF(H48&lt;&gt;"","Em "&amp;H48&amp;IF(AND(H48="VMI",I48&lt;&gt;"")," por "&amp;I48,"")&amp;IF(J48&lt;&gt;""," ("&amp;J48&amp;")","")&amp;IF(K48&lt;&gt;"", ", "&amp;K48,"")&amp;IF(L48&lt;&gt;"", ", sob analgosedação com "&amp;L48,"")&amp;".",""),IF(M48&lt;&gt;"","Dieta "&amp;M48&amp;IF(N48&lt;&gt;"", ", com "&amp;LOWER(N48),"")&amp;IF(O48&lt;&gt;"", " — "&amp;O48,"")&amp;".",""),IF(P48="Febre","Apresentou episódio febril nas últimas 24h"&amp;IF(Q48&lt;&gt;""," ("&amp;Q48&amp;")","")&amp;".",IF(P48="Afebril","Encontra-se afebril.","")),IF(R48&lt;&gt;"",IF(S48="Sim","Apresenta disfunção renal aguda ","Função renal preservada ")&amp;"("&amp;R48&amp;").",""),IF(T48&lt;&gt;"","Em uso do esquema antimicrobiano com "&amp;T48&amp;".",""),IF(U48&lt;&gt;"","Em uso de profilaxia: "&amp;U48&amp;".",""))&amp;CHAR(10)&amp;CHAR(10)&amp;"2. Farmacoterapia"&amp;CHAR(10)&amp;IF(V48&lt;&gt;"","Corticoide/DART: "&amp;V48,"Sem corticoide/DART registrado.")&amp;CHAR(10)&amp;CHAR(10)&amp;"3. Conduta Farmacêutica"&amp;CHAR(10)&amp;IF(X48&lt;&gt;"","["&amp;W48&amp;"] "&amp;X48&amp;IF(Y48&lt;&gt;"", " ("&amp;Y48&amp;")",""),"Nenhuma intervenção registrada hoje.")&amp;CHAR(10)&amp;CHAR(10)&amp;"4. Plano Terapêutico"&amp;CHAR(10)&amp;IF(AB48&lt;&gt;"",AB48,"Não definido.")</f>
      </c>
    </row>
    <row r="49" spans="3:29" x14ac:dyDescent="0.25">
      <c r="AC49">
        <f>"1. Evolução Clínica"&amp;CHAR(10)&amp;TEXTJOIN(" ",TRUE,"Paciente "&amp;F49&amp;", "&amp;IF(G49="","sem DVA","em uso de "&amp;G49)&amp;".",IF(H49&lt;&gt;"","Em "&amp;H49&amp;IF(AND(H49="VMI",I49&lt;&gt;"")," por "&amp;I49,"")&amp;IF(J49&lt;&gt;""," ("&amp;J49&amp;")","")&amp;IF(K49&lt;&gt;"", ", "&amp;K49,"")&amp;IF(L49&lt;&gt;"", ", sob analgosedação com "&amp;L49,"")&amp;".",""),IF(M49&lt;&gt;"","Dieta "&amp;M49&amp;IF(N49&lt;&gt;"", ", com "&amp;LOWER(N49),"")&amp;IF(O49&lt;&gt;"", " — "&amp;O49,"")&amp;".",""),IF(P49="Febre","Apresentou episódio febril nas últimas 24h"&amp;IF(Q49&lt;&gt;""," ("&amp;Q49&amp;")","")&amp;".",IF(P49="Afebril","Encontra-se afebril.","")),IF(R49&lt;&gt;"",IF(S49="Sim","Apresenta disfunção renal aguda ","Função renal preservada ")&amp;"("&amp;R49&amp;").",""),IF(T49&lt;&gt;"","Em uso do esquema antimicrobiano com "&amp;T49&amp;".",""),IF(U49&lt;&gt;"","Em uso de profilaxia: "&amp;U49&amp;".",""))&amp;CHAR(10)&amp;CHAR(10)&amp;"2. Farmacoterapia"&amp;CHAR(10)&amp;IF(V49&lt;&gt;"","Corticoide/DART: "&amp;V49,"Sem corticoide/DART registrado.")&amp;CHAR(10)&amp;CHAR(10)&amp;"3. Conduta Farmacêutica"&amp;CHAR(10)&amp;IF(X49&lt;&gt;"","["&amp;W49&amp;"] "&amp;X49&amp;IF(Y49&lt;&gt;"", " ("&amp;Y49&amp;")",""),"Nenhuma intervenção registrada hoje.")&amp;CHAR(10)&amp;CHAR(10)&amp;"4. Plano Terapêutico"&amp;CHAR(10)&amp;IF(AB49&lt;&gt;"",AB49,"Não definido.")</f>
      </c>
    </row>
    <row r="50" spans="3:29" x14ac:dyDescent="0.25">
      <c r="AC50">
        <f>"1. Evolução Clínica"&amp;CHAR(10)&amp;TEXTJOIN(" ",TRUE,"Paciente "&amp;F50&amp;", "&amp;IF(G50="","sem DVA","em uso de "&amp;G50)&amp;".",IF(H50&lt;&gt;"","Em "&amp;H50&amp;IF(AND(H50="VMI",I50&lt;&gt;"")," por "&amp;I50,"")&amp;IF(J50&lt;&gt;""," ("&amp;J50&amp;")","")&amp;IF(K50&lt;&gt;"", ", "&amp;K50,"")&amp;IF(L50&lt;&gt;"", ", sob analgosedação com "&amp;L50,"")&amp;".",""),IF(M50&lt;&gt;"","Dieta "&amp;M50&amp;IF(N50&lt;&gt;"", ", com "&amp;LOWER(N50),"")&amp;IF(O50&lt;&gt;"", " — "&amp;O50,"")&amp;".",""),IF(P50="Febre","Apresentou episódio febril nas últimas 24h"&amp;IF(Q50&lt;&gt;""," ("&amp;Q50&amp;")","")&amp;".",IF(P50="Afebril","Encontra-se afebril.","")),IF(R50&lt;&gt;"",IF(S50="Sim","Apresenta disfunção renal aguda ","Função renal preservada ")&amp;"("&amp;R50&amp;").",""),IF(T50&lt;&gt;"","Em uso do esquema antimicrobiano com "&amp;T50&amp;".",""),IF(U50&lt;&gt;"","Em uso de profilaxia: "&amp;U50&amp;".",""))&amp;CHAR(10)&amp;CHAR(10)&amp;"2. Farmacoterapia"&amp;CHAR(10)&amp;IF(V50&lt;&gt;"","Corticoide/DART: "&amp;V50,"Sem corticoide/DART registrado.")&amp;CHAR(10)&amp;CHAR(10)&amp;"3. Conduta Farmacêutica"&amp;CHAR(10)&amp;IF(X50&lt;&gt;"","["&amp;W50&amp;"] "&amp;X50&amp;IF(Y50&lt;&gt;"", " ("&amp;Y50&amp;")",""),"Nenhuma intervenção registrada hoje.")&amp;CHAR(10)&amp;CHAR(10)&amp;"4. Plano Terapêutico"&amp;CHAR(10)&amp;IF(AB50&lt;&gt;"",AB50,"Não definido.")</f>
      </c>
    </row>
    <row r="51" spans="3:29" x14ac:dyDescent="0.25">
      <c r="AC51">
        <f>"1. Evolução Clínica"&amp;CHAR(10)&amp;TEXTJOIN(" ",TRUE,"Paciente "&amp;F51&amp;", "&amp;IF(G51="","sem DVA","em uso de "&amp;G51)&amp;".",IF(H51&lt;&gt;"","Em "&amp;H51&amp;IF(AND(H51="VMI",I51&lt;&gt;"")," por "&amp;I51,"")&amp;IF(J51&lt;&gt;""," ("&amp;J51&amp;")","")&amp;IF(K51&lt;&gt;"", ", "&amp;K51,"")&amp;IF(L51&lt;&gt;"", ", sob analgosedação com "&amp;L51,"")&amp;".",""),IF(M51&lt;&gt;"","Dieta "&amp;M51&amp;IF(N51&lt;&gt;"", ", com "&amp;LOWER(N51),"")&amp;IF(O51&lt;&gt;"", " — "&amp;O51,"")&amp;".",""),IF(P51="Febre","Apresentou episódio febril nas últimas 24h"&amp;IF(Q51&lt;&gt;""," ("&amp;Q51&amp;")","")&amp;".",IF(P51="Afebril","Encontra-se afebril.","")),IF(R51&lt;&gt;"",IF(S51="Sim","Apresenta disfunção renal aguda ","Função renal preservada ")&amp;"("&amp;R51&amp;").",""),IF(T51&lt;&gt;"","Em uso do esquema antimicrobiano com "&amp;T51&amp;".",""),IF(U51&lt;&gt;"","Em uso de profilaxia: "&amp;U51&amp;".",""))&amp;CHAR(10)&amp;CHAR(10)&amp;"2. Farmacoterapia"&amp;CHAR(10)&amp;IF(V51&lt;&gt;"","Corticoide/DART: "&amp;V51,"Sem corticoide/DART registrado.")&amp;CHAR(10)&amp;CHAR(10)&amp;"3. Conduta Farmacêutica"&amp;CHAR(10)&amp;IF(X51&lt;&gt;"","["&amp;W51&amp;"] "&amp;X51&amp;IF(Y51&lt;&gt;"", " ("&amp;Y51&amp;")",""),"Nenhuma intervenção registrada hoje.")&amp;CHAR(10)&amp;CHAR(10)&amp;"4. Plano Terapêutico"&amp;CHAR(10)&amp;IF(AB51&lt;&gt;"",AB51,"Não definido.")</f>
      </c>
    </row>
    <row r="52" spans="3:29" x14ac:dyDescent="0.25">
      <c r="AC52">
        <f>"1. Evolução Clínica"&amp;CHAR(10)&amp;TEXTJOIN(" ",TRUE,"Paciente "&amp;F52&amp;", "&amp;IF(G52="","sem DVA","em uso de "&amp;G52)&amp;".",IF(H52&lt;&gt;"","Em "&amp;H52&amp;IF(AND(H52="VMI",I52&lt;&gt;"")," por "&amp;I52,"")&amp;IF(J52&lt;&gt;""," ("&amp;J52&amp;")","")&amp;IF(K52&lt;&gt;"", ", "&amp;K52,"")&amp;IF(L52&lt;&gt;"", ", sob analgosedação com "&amp;L52,"")&amp;".",""),IF(M52&lt;&gt;"","Dieta "&amp;M52&amp;IF(N52&lt;&gt;"", ", com "&amp;LOWER(N52),"")&amp;IF(O52&lt;&gt;"", " — "&amp;O52,"")&amp;".",""),IF(P52="Febre","Apresentou episódio febril nas últimas 24h"&amp;IF(Q52&lt;&gt;""," ("&amp;Q52&amp;")","")&amp;".",IF(P52="Afebril","Encontra-se afebril.","")),IF(R52&lt;&gt;"",IF(S52="Sim","Apresenta disfunção renal aguda ","Função renal preservada ")&amp;"("&amp;R52&amp;").",""),IF(T52&lt;&gt;"","Em uso do esquema antimicrobiano com "&amp;T52&amp;".",""),IF(U52&lt;&gt;"","Em uso de profilaxia: "&amp;U52&amp;".",""))&amp;CHAR(10)&amp;CHAR(10)&amp;"2. Farmacoterapia"&amp;CHAR(10)&amp;IF(V52&lt;&gt;"","Corticoide/DART: "&amp;V52,"Sem corticoide/DART registrado.")&amp;CHAR(10)&amp;CHAR(10)&amp;"3. Conduta Farmacêutica"&amp;CHAR(10)&amp;IF(X52&lt;&gt;"","["&amp;W52&amp;"] "&amp;X52&amp;IF(Y52&lt;&gt;"", " ("&amp;Y52&amp;")",""),"Nenhuma intervenção registrada hoje.")&amp;CHAR(10)&amp;CHAR(10)&amp;"4. Plano Terapêutico"&amp;CHAR(10)&amp;IF(AB52&lt;&gt;"",AB52,"Não definido.")</f>
      </c>
    </row>
    <row r="53" spans="3:29" x14ac:dyDescent="0.25">
      <c r="AC53">
        <f>"1. Evolução Clínica"&amp;CHAR(10)&amp;TEXTJOIN(" ",TRUE,"Paciente "&amp;F53&amp;", "&amp;IF(G53="","sem DVA","em uso de "&amp;G53)&amp;".",IF(H53&lt;&gt;"","Em "&amp;H53&amp;IF(AND(H53="VMI",I53&lt;&gt;"")," por "&amp;I53,"")&amp;IF(J53&lt;&gt;""," ("&amp;J53&amp;")","")&amp;IF(K53&lt;&gt;"", ", "&amp;K53,"")&amp;IF(L53&lt;&gt;"", ", sob analgosedação com "&amp;L53,"")&amp;".",""),IF(M53&lt;&gt;"","Dieta "&amp;M53&amp;IF(N53&lt;&gt;"", ", com "&amp;LOWER(N53),"")&amp;IF(O53&lt;&gt;"", " — "&amp;O53,"")&amp;".",""),IF(P53="Febre","Apresentou episódio febril nas últimas 24h"&amp;IF(Q53&lt;&gt;""," ("&amp;Q53&amp;")","")&amp;".",IF(P53="Afebril","Encontra-se afebril.","")),IF(R53&lt;&gt;"",IF(S53="Sim","Apresenta disfunção renal aguda ","Função renal preservada ")&amp;"("&amp;R53&amp;").",""),IF(T53&lt;&gt;"","Em uso do esquema antimicrobiano com "&amp;T53&amp;".",""),IF(U53&lt;&gt;"","Em uso de profilaxia: "&amp;U53&amp;".",""))&amp;CHAR(10)&amp;CHAR(10)&amp;"2. Farmacoterapia"&amp;CHAR(10)&amp;IF(V53&lt;&gt;"","Corticoide/DART: "&amp;V53,"Sem corticoide/DART registrado.")&amp;CHAR(10)&amp;CHAR(10)&amp;"3. Conduta Farmacêutica"&amp;CHAR(10)&amp;IF(X53&lt;&gt;"","["&amp;W53&amp;"] "&amp;X53&amp;IF(Y53&lt;&gt;"", " ("&amp;Y53&amp;")",""),"Nenhuma intervenção registrada hoje.")&amp;CHAR(10)&amp;CHAR(10)&amp;"4. Plano Terapêutico"&amp;CHAR(10)&amp;IF(AB53&lt;&gt;"",AB53,"Não definido.")</f>
      </c>
    </row>
    <row r="54" spans="3:29" x14ac:dyDescent="0.25">
      <c r="AC54">
        <f>"1. Evolução Clínica"&amp;CHAR(10)&amp;TEXTJOIN(" ",TRUE,"Paciente "&amp;F54&amp;", "&amp;IF(G54="","sem DVA","em uso de "&amp;G54)&amp;".",IF(H54&lt;&gt;"","Em "&amp;H54&amp;IF(AND(H54="VMI",I54&lt;&gt;"")," por "&amp;I54,"")&amp;IF(J54&lt;&gt;""," ("&amp;J54&amp;")","")&amp;IF(K54&lt;&gt;"", ", "&amp;K54,"")&amp;IF(L54&lt;&gt;"", ", sob analgosedação com "&amp;L54,"")&amp;".",""),IF(M54&lt;&gt;"","Dieta "&amp;M54&amp;IF(N54&lt;&gt;"", ", com "&amp;LOWER(N54),"")&amp;IF(O54&lt;&gt;"", " — "&amp;O54,"")&amp;".",""),IF(P54="Febre","Apresentou episódio febril nas últimas 24h"&amp;IF(Q54&lt;&gt;""," ("&amp;Q54&amp;")","")&amp;".",IF(P54="Afebril","Encontra-se afebril.","")),IF(R54&lt;&gt;"",IF(S54="Sim","Apresenta disfunção renal aguda ","Função renal preservada ")&amp;"("&amp;R54&amp;").",""),IF(T54&lt;&gt;"","Em uso do esquema antimicrobiano com "&amp;T54&amp;".",""),IF(U54&lt;&gt;"","Em uso de profilaxia: "&amp;U54&amp;".",""))&amp;CHAR(10)&amp;CHAR(10)&amp;"2. Farmacoterapia"&amp;CHAR(10)&amp;IF(V54&lt;&gt;"","Corticoide/DART: "&amp;V54,"Sem corticoide/DART registrado.")&amp;CHAR(10)&amp;CHAR(10)&amp;"3. Conduta Farmacêutica"&amp;CHAR(10)&amp;IF(X54&lt;&gt;"","["&amp;W54&amp;"] "&amp;X54&amp;IF(Y54&lt;&gt;"", " ("&amp;Y54&amp;")",""),"Nenhuma intervenção registrada hoje.")&amp;CHAR(10)&amp;CHAR(10)&amp;"4. Plano Terapêutico"&amp;CHAR(10)&amp;IF(AB54&lt;&gt;"",AB54,"Não definido.")</f>
      </c>
    </row>
    <row r="55" spans="3:29" x14ac:dyDescent="0.25">
      <c r="AC55">
        <f>"1. Evolução Clínica"&amp;CHAR(10)&amp;TEXTJOIN(" ",TRUE,"Paciente "&amp;F55&amp;", "&amp;IF(G55="","sem DVA","em uso de "&amp;G55)&amp;".",IF(H55&lt;&gt;"","Em "&amp;H55&amp;IF(AND(H55="VMI",I55&lt;&gt;"")," por "&amp;I55,"")&amp;IF(J55&lt;&gt;""," ("&amp;J55&amp;")","")&amp;IF(K55&lt;&gt;"", ", "&amp;K55,"")&amp;IF(L55&lt;&gt;"", ", sob analgosedação com "&amp;L55,"")&amp;".",""),IF(M55&lt;&gt;"","Dieta "&amp;M55&amp;IF(N55&lt;&gt;"", ", com "&amp;LOWER(N55),"")&amp;IF(O55&lt;&gt;"", " — "&amp;O55,"")&amp;".",""),IF(P55="Febre","Apresentou episódio febril nas últimas 24h"&amp;IF(Q55&lt;&gt;""," ("&amp;Q55&amp;")","")&amp;".",IF(P55="Afebril","Encontra-se afebril.","")),IF(R55&lt;&gt;"",IF(S55="Sim","Apresenta disfunção renal aguda ","Função renal preservada ")&amp;"("&amp;R55&amp;").",""),IF(T55&lt;&gt;"","Em uso do esquema antimicrobiano com "&amp;T55&amp;".",""),IF(U55&lt;&gt;"","Em uso de profilaxia: "&amp;U55&amp;".",""))&amp;CHAR(10)&amp;CHAR(10)&amp;"2. Farmacoterapia"&amp;CHAR(10)&amp;IF(V55&lt;&gt;"","Corticoide/DART: "&amp;V55,"Sem corticoide/DART registrado.")&amp;CHAR(10)&amp;CHAR(10)&amp;"3. Conduta Farmacêutica"&amp;CHAR(10)&amp;IF(X55&lt;&gt;"","["&amp;W55&amp;"] "&amp;X55&amp;IF(Y55&lt;&gt;"", " ("&amp;Y55&amp;")",""),"Nenhuma intervenção registrada hoje.")&amp;CHAR(10)&amp;CHAR(10)&amp;"4. Plano Terapêutico"&amp;CHAR(10)&amp;IF(AB55&lt;&gt;"",AB55,"Não definido.")</f>
      </c>
    </row>
    <row r="56" spans="3:29" x14ac:dyDescent="0.25">
      <c r="AC56">
        <f>"1. Evolução Clínica"&amp;CHAR(10)&amp;TEXTJOIN(" ",TRUE,"Paciente "&amp;F56&amp;", "&amp;IF(G56="","sem DVA","em uso de "&amp;G56)&amp;".",IF(H56&lt;&gt;"","Em "&amp;H56&amp;IF(AND(H56="VMI",I56&lt;&gt;"")," por "&amp;I56,"")&amp;IF(J56&lt;&gt;""," ("&amp;J56&amp;")","")&amp;IF(K56&lt;&gt;"", ", "&amp;K56,"")&amp;IF(L56&lt;&gt;"", ", sob analgosedação com "&amp;L56,"")&amp;".",""),IF(M56&lt;&gt;"","Dieta "&amp;M56&amp;IF(N56&lt;&gt;"", ", com "&amp;LOWER(N56),"")&amp;IF(O56&lt;&gt;"", " — "&amp;O56,"")&amp;".",""),IF(P56="Febre","Apresentou episódio febril nas últimas 24h"&amp;IF(Q56&lt;&gt;""," ("&amp;Q56&amp;")","")&amp;".",IF(P56="Afebril","Encontra-se afebril.","")),IF(R56&lt;&gt;"",IF(S56="Sim","Apresenta disfunção renal aguda ","Função renal preservada ")&amp;"("&amp;R56&amp;").",""),IF(T56&lt;&gt;"","Em uso do esquema antimicrobiano com "&amp;T56&amp;".",""),IF(U56&lt;&gt;"","Em uso de profilaxia: "&amp;U56&amp;".",""))&amp;CHAR(10)&amp;CHAR(10)&amp;"2. Farmacoterapia"&amp;CHAR(10)&amp;IF(V56&lt;&gt;"","Corticoide/DART: "&amp;V56,"Sem corticoide/DART registrado.")&amp;CHAR(10)&amp;CHAR(10)&amp;"3. Conduta Farmacêutica"&amp;CHAR(10)&amp;IF(X56&lt;&gt;"","["&amp;W56&amp;"] "&amp;X56&amp;IF(Y56&lt;&gt;"", " ("&amp;Y56&amp;")",""),"Nenhuma intervenção registrada hoje.")&amp;CHAR(10)&amp;CHAR(10)&amp;"4. Plano Terapêutico"&amp;CHAR(10)&amp;IF(AB56&lt;&gt;"",AB56,"Não definido.")</f>
      </c>
    </row>
    <row r="57" spans="3:29" x14ac:dyDescent="0.25">
      <c r="AC57">
        <f>"1. Evolução Clínica"&amp;CHAR(10)&amp;TEXTJOIN(" ",TRUE,"Paciente "&amp;F57&amp;", "&amp;IF(G57="","sem DVA","em uso de "&amp;G57)&amp;".",IF(H57&lt;&gt;"","Em "&amp;H57&amp;IF(AND(H57="VMI",I57&lt;&gt;"")," por "&amp;I57,"")&amp;IF(J57&lt;&gt;""," ("&amp;J57&amp;")","")&amp;IF(K57&lt;&gt;"", ", "&amp;K57,"")&amp;IF(L57&lt;&gt;"", ", sob analgosedação com "&amp;L57,"")&amp;".",""),IF(M57&lt;&gt;"","Dieta "&amp;M57&amp;IF(N57&lt;&gt;"", ", com "&amp;LOWER(N57),"")&amp;IF(O57&lt;&gt;"", " — "&amp;O57,"")&amp;".",""),IF(P57="Febre","Apresentou episódio febril nas últimas 24h"&amp;IF(Q57&lt;&gt;""," ("&amp;Q57&amp;")","")&amp;".",IF(P57="Afebril","Encontra-se afebril.","")),IF(R57&lt;&gt;"",IF(S57="Sim","Apresenta disfunção renal aguda ","Função renal preservada ")&amp;"("&amp;R57&amp;").",""),IF(T57&lt;&gt;"","Em uso do esquema antimicrobiano com "&amp;T57&amp;".",""),IF(U57&lt;&gt;"","Em uso de profilaxia: "&amp;U57&amp;".",""))&amp;CHAR(10)&amp;CHAR(10)&amp;"2. Farmacoterapia"&amp;CHAR(10)&amp;IF(V57&lt;&gt;"","Corticoide/DART: "&amp;V57,"Sem corticoide/DART registrado.")&amp;CHAR(10)&amp;CHAR(10)&amp;"3. Conduta Farmacêutica"&amp;CHAR(10)&amp;IF(X57&lt;&gt;"","["&amp;W57&amp;"] "&amp;X57&amp;IF(Y57&lt;&gt;"", " ("&amp;Y57&amp;")",""),"Nenhuma intervenção registrada hoje.")&amp;CHAR(10)&amp;CHAR(10)&amp;"4. Plano Terapêutico"&amp;CHAR(10)&amp;IF(AB57&lt;&gt;"",AB57,"Não definido.")</f>
      </c>
    </row>
    <row r="58" spans="3:29" x14ac:dyDescent="0.25">
      <c r="AC58">
        <f>"1. Evolução Clínica"&amp;CHAR(10)&amp;TEXTJOIN(" ",TRUE,"Paciente "&amp;F58&amp;", "&amp;IF(G58="","sem DVA","em uso de "&amp;G58)&amp;".",IF(H58&lt;&gt;"","Em "&amp;H58&amp;IF(AND(H58="VMI",I58&lt;&gt;"")," por "&amp;I58,"")&amp;IF(J58&lt;&gt;""," ("&amp;J58&amp;")","")&amp;IF(K58&lt;&gt;"", ", "&amp;K58,"")&amp;IF(L58&lt;&gt;"", ", sob analgosedação com "&amp;L58,"")&amp;".",""),IF(M58&lt;&gt;"","Dieta "&amp;M58&amp;IF(N58&lt;&gt;"", ", com "&amp;LOWER(N58),"")&amp;IF(O58&lt;&gt;"", " — "&amp;O58,"")&amp;".",""),IF(P58="Febre","Apresentou episódio febril nas últimas 24h"&amp;IF(Q58&lt;&gt;""," ("&amp;Q58&amp;")","")&amp;".",IF(P58="Afebril","Encontra-se afebril.","")),IF(R58&lt;&gt;"",IF(S58="Sim","Apresenta disfunção renal aguda ","Função renal preservada ")&amp;"("&amp;R58&amp;").",""),IF(T58&lt;&gt;"","Em uso do esquema antimicrobiano com "&amp;T58&amp;".",""),IF(U58&lt;&gt;"","Em uso de profilaxia: "&amp;U58&amp;".",""))&amp;CHAR(10)&amp;CHAR(10)&amp;"2. Farmacoterapia"&amp;CHAR(10)&amp;IF(V58&lt;&gt;"","Corticoide/DART: "&amp;V58,"Sem corticoide/DART registrado.")&amp;CHAR(10)&amp;CHAR(10)&amp;"3. Conduta Farmacêutica"&amp;CHAR(10)&amp;IF(X58&lt;&gt;"","["&amp;W58&amp;"] "&amp;X58&amp;IF(Y58&lt;&gt;"", " ("&amp;Y58&amp;")",""),"Nenhuma intervenção registrada hoje.")&amp;CHAR(10)&amp;CHAR(10)&amp;"4. Plano Terapêutico"&amp;CHAR(10)&amp;IF(AB58&lt;&gt;"",AB58,"Não definido.")</f>
      </c>
    </row>
    <row r="59" spans="3:29" x14ac:dyDescent="0.25">
      <c r="AC59">
        <f>"1. Evolução Clínica"&amp;CHAR(10)&amp;TEXTJOIN(" ",TRUE,"Paciente "&amp;F59&amp;", "&amp;IF(G59="","sem DVA","em uso de "&amp;G59)&amp;".",IF(H59&lt;&gt;"","Em "&amp;H59&amp;IF(AND(H59="VMI",I59&lt;&gt;"")," por "&amp;I59,"")&amp;IF(J59&lt;&gt;""," ("&amp;J59&amp;")","")&amp;IF(K59&lt;&gt;"", ", "&amp;K59,"")&amp;IF(L59&lt;&gt;"", ", sob analgosedação com "&amp;L59,"")&amp;".",""),IF(M59&lt;&gt;"","Dieta "&amp;M59&amp;IF(N59&lt;&gt;"", ", com "&amp;LOWER(N59),"")&amp;IF(O59&lt;&gt;"", " — "&amp;O59,"")&amp;".",""),IF(P59="Febre","Apresentou episódio febril nas últimas 24h"&amp;IF(Q59&lt;&gt;""," ("&amp;Q59&amp;")","")&amp;".",IF(P59="Afebril","Encontra-se afebril.","")),IF(R59&lt;&gt;"",IF(S59="Sim","Apresenta disfunção renal aguda ","Função renal preservada ")&amp;"("&amp;R59&amp;").",""),IF(T59&lt;&gt;"","Em uso do esquema antimicrobiano com "&amp;T59&amp;".",""),IF(U59&lt;&gt;"","Em uso de profilaxia: "&amp;U59&amp;".",""))&amp;CHAR(10)&amp;CHAR(10)&amp;"2. Farmacoterapia"&amp;CHAR(10)&amp;IF(V59&lt;&gt;"","Corticoide/DART: "&amp;V59,"Sem corticoide/DART registrado.")&amp;CHAR(10)&amp;CHAR(10)&amp;"3. Conduta Farmacêutica"&amp;CHAR(10)&amp;IF(X59&lt;&gt;"","["&amp;W59&amp;"] "&amp;X59&amp;IF(Y59&lt;&gt;"", " ("&amp;Y59&amp;")",""),"Nenhuma intervenção registrada hoje.")&amp;CHAR(10)&amp;CHAR(10)&amp;"4. Plano Terapêutico"&amp;CHAR(10)&amp;IF(AB59&lt;&gt;"",AB59,"Não definido.")</f>
      </c>
    </row>
    <row r="60" spans="3:29" x14ac:dyDescent="0.25">
      <c r="AC60">
        <f>"1. Evolução Clínica"&amp;CHAR(10)&amp;TEXTJOIN(" ",TRUE,"Paciente "&amp;F60&amp;", "&amp;IF(G60="","sem DVA","em uso de "&amp;G60)&amp;".",IF(H60&lt;&gt;"","Em "&amp;H60&amp;IF(AND(H60="VMI",I60&lt;&gt;"")," por "&amp;I60,"")&amp;IF(J60&lt;&gt;""," ("&amp;J60&amp;")","")&amp;IF(K60&lt;&gt;"", ", "&amp;K60,"")&amp;IF(L60&lt;&gt;"", ", sob analgosedação com "&amp;L60,"")&amp;".",""),IF(M60&lt;&gt;"","Dieta "&amp;M60&amp;IF(N60&lt;&gt;"", ", com "&amp;LOWER(N60),"")&amp;IF(O60&lt;&gt;"", " — "&amp;O60,"")&amp;".",""),IF(P60="Febre","Apresentou episódio febril nas últimas 24h"&amp;IF(Q60&lt;&gt;""," ("&amp;Q60&amp;")","")&amp;".",IF(P60="Afebril","Encontra-se afebril.","")),IF(R60&lt;&gt;"",IF(S60="Sim","Apresenta disfunção renal aguda ","Função renal preservada ")&amp;"("&amp;R60&amp;").",""),IF(T60&lt;&gt;"","Em uso do esquema antimicrobiano com "&amp;T60&amp;".",""),IF(U60&lt;&gt;"","Em uso de profilaxia: "&amp;U60&amp;".",""))&amp;CHAR(10)&amp;CHAR(10)&amp;"2. Farmacoterapia"&amp;CHAR(10)&amp;IF(V60&lt;&gt;"","Corticoide/DART: "&amp;V60,"Sem corticoide/DART registrado.")&amp;CHAR(10)&amp;CHAR(10)&amp;"3. Conduta Farmacêutica"&amp;CHAR(10)&amp;IF(X60&lt;&gt;"","["&amp;W60&amp;"] "&amp;X60&amp;IF(Y60&lt;&gt;"", " ("&amp;Y60&amp;")",""),"Nenhuma intervenção registrada hoje.")&amp;CHAR(10)&amp;CHAR(10)&amp;"4. Plano Terapêutico"&amp;CHAR(10)&amp;IF(AB60&lt;&gt;"",AB60,"Não definido.")</f>
      </c>
    </row>
    <row r="61" spans="3:29" x14ac:dyDescent="0.25">
      <c r="AC61">
        <f>"1. Evolução Clínica"&amp;CHAR(10)&amp;TEXTJOIN(" ",TRUE,"Paciente "&amp;F61&amp;", "&amp;IF(G61="","sem DVA","em uso de "&amp;G61)&amp;".",IF(H61&lt;&gt;"","Em "&amp;H61&amp;IF(AND(H61="VMI",I61&lt;&gt;"")," por "&amp;I61,"")&amp;IF(J61&lt;&gt;""," ("&amp;J61&amp;")","")&amp;IF(K61&lt;&gt;"", ", "&amp;K61,"")&amp;IF(L61&lt;&gt;"", ", sob analgosedação com "&amp;L61,"")&amp;".",""),IF(M61&lt;&gt;"","Dieta "&amp;M61&amp;IF(N61&lt;&gt;"", ", com "&amp;LOWER(N61),"")&amp;IF(O61&lt;&gt;"", " — "&amp;O61,"")&amp;".",""),IF(P61="Febre","Apresentou episódio febril nas últimas 24h"&amp;IF(Q61&lt;&gt;""," ("&amp;Q61&amp;")","")&amp;".",IF(P61="Afebril","Encontra-se afebril.","")),IF(R61&lt;&gt;"",IF(S61="Sim","Apresenta disfunção renal aguda ","Função renal preservada ")&amp;"("&amp;R61&amp;").",""),IF(T61&lt;&gt;"","Em uso do esquema antimicrobiano com "&amp;T61&amp;".",""),IF(U61&lt;&gt;"","Em uso de profilaxia: "&amp;U61&amp;".",""))&amp;CHAR(10)&amp;CHAR(10)&amp;"2. Farmacoterapia"&amp;CHAR(10)&amp;IF(V61&lt;&gt;"","Corticoide/DART: "&amp;V61,"Sem corticoide/DART registrado.")&amp;CHAR(10)&amp;CHAR(10)&amp;"3. Conduta Farmacêutica"&amp;CHAR(10)&amp;IF(X61&lt;&gt;"","["&amp;W61&amp;"] "&amp;X61&amp;IF(Y61&lt;&gt;"", " ("&amp;Y61&amp;")",""),"Nenhuma intervenção registrada hoje.")&amp;CHAR(10)&amp;CHAR(10)&amp;"4. Plano Terapêutico"&amp;CHAR(10)&amp;IF(AB61&lt;&gt;"",AB61,"Não definido.")</f>
      </c>
    </row>
    <row r="62" spans="3:29" x14ac:dyDescent="0.25">
      <c r="AC62">
        <f>"1. Evolução Clínica"&amp;CHAR(10)&amp;TEXTJOIN(" ",TRUE,"Paciente "&amp;F62&amp;", "&amp;IF(G62="","sem DVA","em uso de "&amp;G62)&amp;".",IF(H62&lt;&gt;"","Em "&amp;H62&amp;IF(AND(H62="VMI",I62&lt;&gt;"")," por "&amp;I62,"")&amp;IF(J62&lt;&gt;""," ("&amp;J62&amp;")","")&amp;IF(K62&lt;&gt;"", ", "&amp;K62,"")&amp;IF(L62&lt;&gt;"", ", sob analgosedação com "&amp;L62,"")&amp;".",""),IF(M62&lt;&gt;"","Dieta "&amp;M62&amp;IF(N62&lt;&gt;"", ", com "&amp;LOWER(N62),"")&amp;IF(O62&lt;&gt;"", " — "&amp;O62,"")&amp;".",""),IF(P62="Febre","Apresentou episódio febril nas últimas 24h"&amp;IF(Q62&lt;&gt;""," ("&amp;Q62&amp;")","")&amp;".",IF(P62="Afebril","Encontra-se afebril.","")),IF(R62&lt;&gt;"",IF(S62="Sim","Apresenta disfunção renal aguda ","Função renal preservada ")&amp;"("&amp;R62&amp;").",""),IF(T62&lt;&gt;"","Em uso do esquema antimicrobiano com "&amp;T62&amp;".",""),IF(U62&lt;&gt;"","Em uso de profilaxia: "&amp;U62&amp;".",""))&amp;CHAR(10)&amp;CHAR(10)&amp;"2. Farmacoterapia"&amp;CHAR(10)&amp;IF(V62&lt;&gt;"","Corticoide/DART: "&amp;V62,"Sem corticoide/DART registrado.")&amp;CHAR(10)&amp;CHAR(10)&amp;"3. Conduta Farmacêutica"&amp;CHAR(10)&amp;IF(X62&lt;&gt;"","["&amp;W62&amp;"] "&amp;X62&amp;IF(Y62&lt;&gt;"", " ("&amp;Y62&amp;")",""),"Nenhuma intervenção registrada hoje.")&amp;CHAR(10)&amp;CHAR(10)&amp;"4. Plano Terapêutico"&amp;CHAR(10)&amp;IF(AB62&lt;&gt;"",AB62,"Não definido.")</f>
      </c>
    </row>
    <row r="63" spans="3:29" x14ac:dyDescent="0.25">
      <c r="AC63">
        <f>"1. Evolução Clínica"&amp;CHAR(10)&amp;TEXTJOIN(" ",TRUE,"Paciente "&amp;F63&amp;", "&amp;IF(G63="","sem DVA","em uso de "&amp;G63)&amp;".",IF(H63&lt;&gt;"","Em "&amp;H63&amp;IF(AND(H63="VMI",I63&lt;&gt;"")," por "&amp;I63,"")&amp;IF(J63&lt;&gt;""," ("&amp;J63&amp;")","")&amp;IF(K63&lt;&gt;"", ", "&amp;K63,"")&amp;IF(L63&lt;&gt;"", ", sob analgosedação com "&amp;L63,"")&amp;".",""),IF(M63&lt;&gt;"","Dieta "&amp;M63&amp;IF(N63&lt;&gt;"", ", com "&amp;LOWER(N63),"")&amp;IF(O63&lt;&gt;"", " — "&amp;O63,"")&amp;".",""),IF(P63="Febre","Apresentou episódio febril nas últimas 24h"&amp;IF(Q63&lt;&gt;""," ("&amp;Q63&amp;")","")&amp;".",IF(P63="Afebril","Encontra-se afebril.","")),IF(R63&lt;&gt;"",IF(S63="Sim","Apresenta disfunção renal aguda ","Função renal preservada ")&amp;"("&amp;R63&amp;").",""),IF(T63&lt;&gt;"","Em uso do esquema antimicrobiano com "&amp;T63&amp;".",""),IF(U63&lt;&gt;"","Em uso de profilaxia: "&amp;U63&amp;".",""))&amp;CHAR(10)&amp;CHAR(10)&amp;"2. Farmacoterapia"&amp;CHAR(10)&amp;IF(V63&lt;&gt;"","Corticoide/DART: "&amp;V63,"Sem corticoide/DART registrado.")&amp;CHAR(10)&amp;CHAR(10)&amp;"3. Conduta Farmacêutica"&amp;CHAR(10)&amp;IF(X63&lt;&gt;"","["&amp;W63&amp;"] "&amp;X63&amp;IF(Y63&lt;&gt;"", " ("&amp;Y63&amp;")",""),"Nenhuma intervenção registrada hoje.")&amp;CHAR(10)&amp;CHAR(10)&amp;"4. Plano Terapêutico"&amp;CHAR(10)&amp;IF(AB63&lt;&gt;"",AB63,"Não definido.")</f>
      </c>
    </row>
    <row r="64" spans="3:29" x14ac:dyDescent="0.25">
      <c r="AC64">
        <f>"1. Evolução Clínica"&amp;CHAR(10)&amp;TEXTJOIN(" ",TRUE,"Paciente "&amp;F64&amp;", "&amp;IF(G64="","sem DVA","em uso de "&amp;G64)&amp;".",IF(H64&lt;&gt;"","Em "&amp;H64&amp;IF(AND(H64="VMI",I64&lt;&gt;"")," por "&amp;I64,"")&amp;IF(J64&lt;&gt;""," ("&amp;J64&amp;")","")&amp;IF(K64&lt;&gt;"", ", "&amp;K64,"")&amp;IF(L64&lt;&gt;"", ", sob analgosedação com "&amp;L64,"")&amp;".",""),IF(M64&lt;&gt;"","Dieta "&amp;M64&amp;IF(N64&lt;&gt;"", ", com "&amp;LOWER(N64),"")&amp;IF(O64&lt;&gt;"", " — "&amp;O64,"")&amp;".",""),IF(P64="Febre","Apresentou episódio febril nas últimas 24h"&amp;IF(Q64&lt;&gt;""," ("&amp;Q64&amp;")","")&amp;".",IF(P64="Afebril","Encontra-se afebril.","")),IF(R64&lt;&gt;"",IF(S64="Sim","Apresenta disfunção renal aguda ","Função renal preservada ")&amp;"("&amp;R64&amp;").",""),IF(T64&lt;&gt;"","Em uso do esquema antimicrobiano com "&amp;T64&amp;".",""),IF(U64&lt;&gt;"","Em uso de profilaxia: "&amp;U64&amp;".",""))&amp;CHAR(10)&amp;CHAR(10)&amp;"2. Farmacoterapia"&amp;CHAR(10)&amp;IF(V64&lt;&gt;"","Corticoide/DART: "&amp;V64,"Sem corticoide/DART registrado.")&amp;CHAR(10)&amp;CHAR(10)&amp;"3. Conduta Farmacêutica"&amp;CHAR(10)&amp;IF(X64&lt;&gt;"","["&amp;W64&amp;"] "&amp;X64&amp;IF(Y64&lt;&gt;"", " ("&amp;Y64&amp;")",""),"Nenhuma intervenção registrada hoje.")&amp;CHAR(10)&amp;CHAR(10)&amp;"4. Plano Terapêutico"&amp;CHAR(10)&amp;IF(AB64&lt;&gt;"",AB64,"Não definido.")</f>
      </c>
    </row>
    <row r="65" spans="3:29" x14ac:dyDescent="0.25">
      <c r="AC65">
        <f>"1. Evolução Clínica"&amp;CHAR(10)&amp;TEXTJOIN(" ",TRUE,"Paciente "&amp;F65&amp;", "&amp;IF(G65="","sem DVA","em uso de "&amp;G65)&amp;".",IF(H65&lt;&gt;"","Em "&amp;H65&amp;IF(AND(H65="VMI",I65&lt;&gt;"")," por "&amp;I65,"")&amp;IF(J65&lt;&gt;""," ("&amp;J65&amp;")","")&amp;IF(K65&lt;&gt;"", ", "&amp;K65,"")&amp;IF(L65&lt;&gt;"", ", sob analgosedação com "&amp;L65,"")&amp;".",""),IF(M65&lt;&gt;"","Dieta "&amp;M65&amp;IF(N65&lt;&gt;"", ", com "&amp;LOWER(N65),"")&amp;IF(O65&lt;&gt;"", " — "&amp;O65,"")&amp;".",""),IF(P65="Febre","Apresentou episódio febril nas últimas 24h"&amp;IF(Q65&lt;&gt;""," ("&amp;Q65&amp;")","")&amp;".",IF(P65="Afebril","Encontra-se afebril.","")),IF(R65&lt;&gt;"",IF(S65="Sim","Apresenta disfunção renal aguda ","Função renal preservada ")&amp;"("&amp;R65&amp;").",""),IF(T65&lt;&gt;"","Em uso do esquema antimicrobiano com "&amp;T65&amp;".",""),IF(U65&lt;&gt;"","Em uso de profilaxia: "&amp;U65&amp;".",""))&amp;CHAR(10)&amp;CHAR(10)&amp;"2. Farmacoterapia"&amp;CHAR(10)&amp;IF(V65&lt;&gt;"","Corticoide/DART: "&amp;V65,"Sem corticoide/DART registrado.")&amp;CHAR(10)&amp;CHAR(10)&amp;"3. Conduta Farmacêutica"&amp;CHAR(10)&amp;IF(X65&lt;&gt;"","["&amp;W65&amp;"] "&amp;X65&amp;IF(Y65&lt;&gt;"", " ("&amp;Y65&amp;")",""),"Nenhuma intervenção registrada hoje.")&amp;CHAR(10)&amp;CHAR(10)&amp;"4. Plano Terapêutico"&amp;CHAR(10)&amp;IF(AB65&lt;&gt;"",AB65,"Não definido.")</f>
      </c>
    </row>
    <row r="66" spans="3:29" x14ac:dyDescent="0.25">
      <c r="AC66">
        <f>"1. Evolução Clínica"&amp;CHAR(10)&amp;TEXTJOIN(" ",TRUE,"Paciente "&amp;F66&amp;", "&amp;IF(G66="","sem DVA","em uso de "&amp;G66)&amp;".",IF(H66&lt;&gt;"","Em "&amp;H66&amp;IF(AND(H66="VMI",I66&lt;&gt;"")," por "&amp;I66,"")&amp;IF(J66&lt;&gt;""," ("&amp;J66&amp;")","")&amp;IF(K66&lt;&gt;"", ", "&amp;K66,"")&amp;IF(L66&lt;&gt;"", ", sob analgosedação com "&amp;L66,"")&amp;".",""),IF(M66&lt;&gt;"","Dieta "&amp;M66&amp;IF(N66&lt;&gt;"", ", com "&amp;LOWER(N66),"")&amp;IF(O66&lt;&gt;"", " — "&amp;O66,"")&amp;".",""),IF(P66="Febre","Apresentou episódio febril nas últimas 24h"&amp;IF(Q66&lt;&gt;""," ("&amp;Q66&amp;")","")&amp;".",IF(P66="Afebril","Encontra-se afebril.","")),IF(R66&lt;&gt;"",IF(S66="Sim","Apresenta disfunção renal aguda ","Função renal preservada ")&amp;"("&amp;R66&amp;").",""),IF(T66&lt;&gt;"","Em uso do esquema antimicrobiano com "&amp;T66&amp;".",""),IF(U66&lt;&gt;"","Em uso de profilaxia: "&amp;U66&amp;".",""))&amp;CHAR(10)&amp;CHAR(10)&amp;"2. Farmacoterapia"&amp;CHAR(10)&amp;IF(V66&lt;&gt;"","Corticoide/DART: "&amp;V66,"Sem corticoide/DART registrado.")&amp;CHAR(10)&amp;CHAR(10)&amp;"3. Conduta Farmacêutica"&amp;CHAR(10)&amp;IF(X66&lt;&gt;"","["&amp;W66&amp;"] "&amp;X66&amp;IF(Y66&lt;&gt;"", " ("&amp;Y66&amp;")",""),"Nenhuma intervenção registrada hoje.")&amp;CHAR(10)&amp;CHAR(10)&amp;"4. Plano Terapêutico"&amp;CHAR(10)&amp;IF(AB66&lt;&gt;"",AB66,"Não definido.")</f>
      </c>
    </row>
    <row r="67" spans="3:29" x14ac:dyDescent="0.25">
      <c r="AC67">
        <f>"1. Evolução Clínica"&amp;CHAR(10)&amp;TEXTJOIN(" ",TRUE,"Paciente "&amp;F67&amp;", "&amp;IF(G67="","sem DVA","em uso de "&amp;G67)&amp;".",IF(H67&lt;&gt;"","Em "&amp;H67&amp;IF(AND(H67="VMI",I67&lt;&gt;"")," por "&amp;I67,"")&amp;IF(J67&lt;&gt;""," ("&amp;J67&amp;")","")&amp;IF(K67&lt;&gt;"", ", "&amp;K67,"")&amp;IF(L67&lt;&gt;"", ", sob analgosedação com "&amp;L67,"")&amp;".",""),IF(M67&lt;&gt;"","Dieta "&amp;M67&amp;IF(N67&lt;&gt;"", ", com "&amp;LOWER(N67),"")&amp;IF(O67&lt;&gt;"", " — "&amp;O67,"")&amp;".",""),IF(P67="Febre","Apresentou episódio febril nas últimas 24h"&amp;IF(Q67&lt;&gt;""," ("&amp;Q67&amp;")","")&amp;".",IF(P67="Afebril","Encontra-se afebril.","")),IF(R67&lt;&gt;"",IF(S67="Sim","Apresenta disfunção renal aguda ","Função renal preservada ")&amp;"("&amp;R67&amp;").",""),IF(T67&lt;&gt;"","Em uso do esquema antimicrobiano com "&amp;T67&amp;".",""),IF(U67&lt;&gt;"","Em uso de profilaxia: "&amp;U67&amp;".",""))&amp;CHAR(10)&amp;CHAR(10)&amp;"2. Farmacoterapia"&amp;CHAR(10)&amp;IF(V67&lt;&gt;"","Corticoide/DART: "&amp;V67,"Sem corticoide/DART registrado.")&amp;CHAR(10)&amp;CHAR(10)&amp;"3. Conduta Farmacêutica"&amp;CHAR(10)&amp;IF(X67&lt;&gt;"","["&amp;W67&amp;"] "&amp;X67&amp;IF(Y67&lt;&gt;"", " ("&amp;Y67&amp;")",""),"Nenhuma intervenção registrada hoje.")&amp;CHAR(10)&amp;CHAR(10)&amp;"4. Plano Terapêutico"&amp;CHAR(10)&amp;IF(AB67&lt;&gt;"",AB67,"Não definido.")</f>
      </c>
    </row>
    <row r="68" spans="3:29" x14ac:dyDescent="0.25">
      <c r="AC68">
        <f>"1. Evolução Clínica"&amp;CHAR(10)&amp;TEXTJOIN(" ",TRUE,"Paciente "&amp;F68&amp;", "&amp;IF(G68="","sem DVA","em uso de "&amp;G68)&amp;".",IF(H68&lt;&gt;"","Em "&amp;H68&amp;IF(AND(H68="VMI",I68&lt;&gt;"")," por "&amp;I68,"")&amp;IF(J68&lt;&gt;""," ("&amp;J68&amp;")","")&amp;IF(K68&lt;&gt;"", ", "&amp;K68,"")&amp;IF(L68&lt;&gt;"", ", sob analgosedação com "&amp;L68,"")&amp;".",""),IF(M68&lt;&gt;"","Dieta "&amp;M68&amp;IF(N68&lt;&gt;"", ", com "&amp;LOWER(N68),"")&amp;IF(O68&lt;&gt;"", " — "&amp;O68,"")&amp;".",""),IF(P68="Febre","Apresentou episódio febril nas últimas 24h"&amp;IF(Q68&lt;&gt;""," ("&amp;Q68&amp;")","")&amp;".",IF(P68="Afebril","Encontra-se afebril.","")),IF(R68&lt;&gt;"",IF(S68="Sim","Apresenta disfunção renal aguda ","Função renal preservada ")&amp;"("&amp;R68&amp;").",""),IF(T68&lt;&gt;"","Em uso do esquema antimicrobiano com "&amp;T68&amp;".",""),IF(U68&lt;&gt;"","Em uso de profilaxia: "&amp;U68&amp;".",""))&amp;CHAR(10)&amp;CHAR(10)&amp;"2. Farmacoterapia"&amp;CHAR(10)&amp;IF(V68&lt;&gt;"","Corticoide/DART: "&amp;V68,"Sem corticoide/DART registrado.")&amp;CHAR(10)&amp;CHAR(10)&amp;"3. Conduta Farmacêutica"&amp;CHAR(10)&amp;IF(X68&lt;&gt;"","["&amp;W68&amp;"] "&amp;X68&amp;IF(Y68&lt;&gt;"", " ("&amp;Y68&amp;")",""),"Nenhuma intervenção registrada hoje.")&amp;CHAR(10)&amp;CHAR(10)&amp;"4. Plano Terapêutico"&amp;CHAR(10)&amp;IF(AB68&lt;&gt;"",AB68,"Não definido.")</f>
      </c>
    </row>
    <row r="69" spans="3:29" x14ac:dyDescent="0.25">
      <c r="AC69">
        <f>"1. Evolução Clínica"&amp;CHAR(10)&amp;TEXTJOIN(" ",TRUE,"Paciente "&amp;F69&amp;", "&amp;IF(G69="","sem DVA","em uso de "&amp;G69)&amp;".",IF(H69&lt;&gt;"","Em "&amp;H69&amp;IF(AND(H69="VMI",I69&lt;&gt;"")," por "&amp;I69,"")&amp;IF(J69&lt;&gt;""," ("&amp;J69&amp;")","")&amp;IF(K69&lt;&gt;"", ", "&amp;K69,"")&amp;IF(L69&lt;&gt;"", ", sob analgosedação com "&amp;L69,"")&amp;".",""),IF(M69&lt;&gt;"","Dieta "&amp;M69&amp;IF(N69&lt;&gt;"", ", com "&amp;LOWER(N69),"")&amp;IF(O69&lt;&gt;"", " — "&amp;O69,"")&amp;".",""),IF(P69="Febre","Apresentou episódio febril nas últimas 24h"&amp;IF(Q69&lt;&gt;""," ("&amp;Q69&amp;")","")&amp;".",IF(P69="Afebril","Encontra-se afebril.","")),IF(R69&lt;&gt;"",IF(S69="Sim","Apresenta disfunção renal aguda ","Função renal preservada ")&amp;"("&amp;R69&amp;").",""),IF(T69&lt;&gt;"","Em uso do esquema antimicrobiano com "&amp;T69&amp;".",""),IF(U69&lt;&gt;"","Em uso de profilaxia: "&amp;U69&amp;".",""))&amp;CHAR(10)&amp;CHAR(10)&amp;"2. Farmacoterapia"&amp;CHAR(10)&amp;IF(V69&lt;&gt;"","Corticoide/DART: "&amp;V69,"Sem corticoide/DART registrado.")&amp;CHAR(10)&amp;CHAR(10)&amp;"3. Conduta Farmacêutica"&amp;CHAR(10)&amp;IF(X69&lt;&gt;"","["&amp;W69&amp;"] "&amp;X69&amp;IF(Y69&lt;&gt;"", " ("&amp;Y69&amp;")",""),"Nenhuma intervenção registrada hoje.")&amp;CHAR(10)&amp;CHAR(10)&amp;"4. Plano Terapêutico"&amp;CHAR(10)&amp;IF(AB69&lt;&gt;"",AB69,"Não definido.")</f>
      </c>
    </row>
    <row r="70" spans="3:29" x14ac:dyDescent="0.25">
      <c r="AC70">
        <f>"1. Evolução Clínica"&amp;CHAR(10)&amp;TEXTJOIN(" ",TRUE,"Paciente "&amp;F70&amp;", "&amp;IF(G70="","sem DVA","em uso de "&amp;G70)&amp;".",IF(H70&lt;&gt;"","Em "&amp;H70&amp;IF(AND(H70="VMI",I70&lt;&gt;"")," por "&amp;I70,"")&amp;IF(J70&lt;&gt;""," ("&amp;J70&amp;")","")&amp;IF(K70&lt;&gt;"", ", "&amp;K70,"")&amp;IF(L70&lt;&gt;"", ", sob analgosedação com "&amp;L70,"")&amp;".",""),IF(M70&lt;&gt;"","Dieta "&amp;M70&amp;IF(N70&lt;&gt;"", ", com "&amp;LOWER(N70),"")&amp;IF(O70&lt;&gt;"", " — "&amp;O70,"")&amp;".",""),IF(P70="Febre","Apresentou episódio febril nas últimas 24h"&amp;IF(Q70&lt;&gt;""," ("&amp;Q70&amp;")","")&amp;".",IF(P70="Afebril","Encontra-se afebril.","")),IF(R70&lt;&gt;"",IF(S70="Sim","Apresenta disfunção renal aguda ","Função renal preservada ")&amp;"("&amp;R70&amp;").",""),IF(T70&lt;&gt;"","Em uso do esquema antimicrobiano com "&amp;T70&amp;".",""),IF(U70&lt;&gt;"","Em uso de profilaxia: "&amp;U70&amp;".",""))&amp;CHAR(10)&amp;CHAR(10)&amp;"2. Farmacoterapia"&amp;CHAR(10)&amp;IF(V70&lt;&gt;"","Corticoide/DART: "&amp;V70,"Sem corticoide/DART registrado.")&amp;CHAR(10)&amp;CHAR(10)&amp;"3. Conduta Farmacêutica"&amp;CHAR(10)&amp;IF(X70&lt;&gt;"","["&amp;W70&amp;"] "&amp;X70&amp;IF(Y70&lt;&gt;"", " ("&amp;Y70&amp;")",""),"Nenhuma intervenção registrada hoje.")&amp;CHAR(10)&amp;CHAR(10)&amp;"4. Plano Terapêutico"&amp;CHAR(10)&amp;IF(AB70&lt;&gt;"",AB70,"Não definido.")</f>
      </c>
    </row>
    <row r="71" spans="3:29" x14ac:dyDescent="0.25">
      <c r="AC71">
        <f>"1. Evolução Clínica"&amp;CHAR(10)&amp;TEXTJOIN(" ",TRUE,"Paciente "&amp;F71&amp;", "&amp;IF(G71="","sem DVA","em uso de "&amp;G71)&amp;".",IF(H71&lt;&gt;"","Em "&amp;H71&amp;IF(AND(H71="VMI",I71&lt;&gt;"")," por "&amp;I71,"")&amp;IF(J71&lt;&gt;""," ("&amp;J71&amp;")","")&amp;IF(K71&lt;&gt;"", ", "&amp;K71,"")&amp;IF(L71&lt;&gt;"", ", sob analgosedação com "&amp;L71,"")&amp;".",""),IF(M71&lt;&gt;"","Dieta "&amp;M71&amp;IF(N71&lt;&gt;"", ", com "&amp;LOWER(N71),"")&amp;IF(O71&lt;&gt;"", " — "&amp;O71,"")&amp;".",""),IF(P71="Febre","Apresentou episódio febril nas últimas 24h"&amp;IF(Q71&lt;&gt;""," ("&amp;Q71&amp;")","")&amp;".",IF(P71="Afebril","Encontra-se afebril.","")),IF(R71&lt;&gt;"",IF(S71="Sim","Apresenta disfunção renal aguda ","Função renal preservada ")&amp;"("&amp;R71&amp;").",""),IF(T71&lt;&gt;"","Em uso do esquema antimicrobiano com "&amp;T71&amp;".",""),IF(U71&lt;&gt;"","Em uso de profilaxia: "&amp;U71&amp;".",""))&amp;CHAR(10)&amp;CHAR(10)&amp;"2. Farmacoterapia"&amp;CHAR(10)&amp;IF(V71&lt;&gt;"","Corticoide/DART: "&amp;V71,"Sem corticoide/DART registrado.")&amp;CHAR(10)&amp;CHAR(10)&amp;"3. Conduta Farmacêutica"&amp;CHAR(10)&amp;IF(X71&lt;&gt;"","["&amp;W71&amp;"] "&amp;X71&amp;IF(Y71&lt;&gt;"", " ("&amp;Y71&amp;")",""),"Nenhuma intervenção registrada hoje.")&amp;CHAR(10)&amp;CHAR(10)&amp;"4. Plano Terapêutico"&amp;CHAR(10)&amp;IF(AB71&lt;&gt;"",AB71,"Não definido.")</f>
      </c>
    </row>
    <row r="72" spans="3:29" x14ac:dyDescent="0.25">
      <c r="AC72">
        <f>"1. Evolução Clínica"&amp;CHAR(10)&amp;TEXTJOIN(" ",TRUE,"Paciente "&amp;F72&amp;", "&amp;IF(G72="","sem DVA","em uso de "&amp;G72)&amp;".",IF(H72&lt;&gt;"","Em "&amp;H72&amp;IF(AND(H72="VMI",I72&lt;&gt;"")," por "&amp;I72,"")&amp;IF(J72&lt;&gt;""," ("&amp;J72&amp;")","")&amp;IF(K72&lt;&gt;"", ", "&amp;K72,"")&amp;IF(L72&lt;&gt;"", ", sob analgosedação com "&amp;L72,"")&amp;".",""),IF(M72&lt;&gt;"","Dieta "&amp;M72&amp;IF(N72&lt;&gt;"", ", com "&amp;LOWER(N72),"")&amp;IF(O72&lt;&gt;"", " — "&amp;O72,"")&amp;".",""),IF(P72="Febre","Apresentou episódio febril nas últimas 24h"&amp;IF(Q72&lt;&gt;""," ("&amp;Q72&amp;")","")&amp;".",IF(P72="Afebril","Encontra-se afebril.","")),IF(R72&lt;&gt;"",IF(S72="Sim","Apresenta disfunção renal aguda ","Função renal preservada ")&amp;"("&amp;R72&amp;").",""),IF(T72&lt;&gt;"","Em uso do esquema antimicrobiano com "&amp;T72&amp;".",""),IF(U72&lt;&gt;"","Em uso de profilaxia: "&amp;U72&amp;".",""))&amp;CHAR(10)&amp;CHAR(10)&amp;"2. Farmacoterapia"&amp;CHAR(10)&amp;IF(V72&lt;&gt;"","Corticoide/DART: "&amp;V72,"Sem corticoide/DART registrado.")&amp;CHAR(10)&amp;CHAR(10)&amp;"3. Conduta Farmacêutica"&amp;CHAR(10)&amp;IF(X72&lt;&gt;"","["&amp;W72&amp;"] "&amp;X72&amp;IF(Y72&lt;&gt;"", " ("&amp;Y72&amp;")",""),"Nenhuma intervenção registrada hoje.")&amp;CHAR(10)&amp;CHAR(10)&amp;"4. Plano Terapêutico"&amp;CHAR(10)&amp;IF(AB72&lt;&gt;"",AB72,"Não definido.")</f>
      </c>
    </row>
    <row r="73" spans="3:29" x14ac:dyDescent="0.25">
      <c r="AC73">
        <f>"1. Evolução Clínica"&amp;CHAR(10)&amp;TEXTJOIN(" ",TRUE,"Paciente "&amp;F73&amp;", "&amp;IF(G73="","sem DVA","em uso de "&amp;G73)&amp;".",IF(H73&lt;&gt;"","Em "&amp;H73&amp;IF(AND(H73="VMI",I73&lt;&gt;"")," por "&amp;I73,"")&amp;IF(J73&lt;&gt;""," ("&amp;J73&amp;")","")&amp;IF(K73&lt;&gt;"", ", "&amp;K73,"")&amp;IF(L73&lt;&gt;"", ", sob analgosedação com "&amp;L73,"")&amp;".",""),IF(M73&lt;&gt;"","Dieta "&amp;M73&amp;IF(N73&lt;&gt;"", ", com "&amp;LOWER(N73),"")&amp;IF(O73&lt;&gt;"", " — "&amp;O73,"")&amp;".",""),IF(P73="Febre","Apresentou episódio febril nas últimas 24h"&amp;IF(Q73&lt;&gt;""," ("&amp;Q73&amp;")","")&amp;".",IF(P73="Afebril","Encontra-se afebril.","")),IF(R73&lt;&gt;"",IF(S73="Sim","Apresenta disfunção renal aguda ","Função renal preservada ")&amp;"("&amp;R73&amp;").",""),IF(T73&lt;&gt;"","Em uso do esquema antimicrobiano com "&amp;T73&amp;".",""),IF(U73&lt;&gt;"","Em uso de profilaxia: "&amp;U73&amp;".",""))&amp;CHAR(10)&amp;CHAR(10)&amp;"2. Farmacoterapia"&amp;CHAR(10)&amp;IF(V73&lt;&gt;"","Corticoide/DART: "&amp;V73,"Sem corticoide/DART registrado.")&amp;CHAR(10)&amp;CHAR(10)&amp;"3. Conduta Farmacêutica"&amp;CHAR(10)&amp;IF(X73&lt;&gt;"","["&amp;W73&amp;"] "&amp;X73&amp;IF(Y73&lt;&gt;"", " ("&amp;Y73&amp;")",""),"Nenhuma intervenção registrada hoje.")&amp;CHAR(10)&amp;CHAR(10)&amp;"4. Plano Terapêutico"&amp;CHAR(10)&amp;IF(AB73&lt;&gt;"",AB73,"Não definido.")</f>
      </c>
    </row>
    <row r="74" spans="3:29" x14ac:dyDescent="0.25">
      <c r="AC74">
        <f>"1. Evolução Clínica"&amp;CHAR(10)&amp;TEXTJOIN(" ",TRUE,"Paciente "&amp;F74&amp;", "&amp;IF(G74="","sem DVA","em uso de "&amp;G74)&amp;".",IF(H74&lt;&gt;"","Em "&amp;H74&amp;IF(AND(H74="VMI",I74&lt;&gt;"")," por "&amp;I74,"")&amp;IF(J74&lt;&gt;""," ("&amp;J74&amp;")","")&amp;IF(K74&lt;&gt;"", ", "&amp;K74,"")&amp;IF(L74&lt;&gt;"", ", sob analgosedação com "&amp;L74,"")&amp;".",""),IF(M74&lt;&gt;"","Dieta "&amp;M74&amp;IF(N74&lt;&gt;"", ", com "&amp;LOWER(N74),"")&amp;IF(O74&lt;&gt;"", " — "&amp;O74,"")&amp;".",""),IF(P74="Febre","Apresentou episódio febril nas últimas 24h"&amp;IF(Q74&lt;&gt;""," ("&amp;Q74&amp;")","")&amp;".",IF(P74="Afebril","Encontra-se afebril.","")),IF(R74&lt;&gt;"",IF(S74="Sim","Apresenta disfunção renal aguda ","Função renal preservada ")&amp;"("&amp;R74&amp;").",""),IF(T74&lt;&gt;"","Em uso do esquema antimicrobiano com "&amp;T74&amp;".",""),IF(U74&lt;&gt;"","Em uso de profilaxia: "&amp;U74&amp;".",""))&amp;CHAR(10)&amp;CHAR(10)&amp;"2. Farmacoterapia"&amp;CHAR(10)&amp;IF(V74&lt;&gt;"","Corticoide/DART: "&amp;V74,"Sem corticoide/DART registrado.")&amp;CHAR(10)&amp;CHAR(10)&amp;"3. Conduta Farmacêutica"&amp;CHAR(10)&amp;IF(X74&lt;&gt;"","["&amp;W74&amp;"] "&amp;X74&amp;IF(Y74&lt;&gt;"", " ("&amp;Y74&amp;")",""),"Nenhuma intervenção registrada hoje.")&amp;CHAR(10)&amp;CHAR(10)&amp;"4. Plano Terapêutico"&amp;CHAR(10)&amp;IF(AB74&lt;&gt;"",AB74,"Não definido.")</f>
      </c>
    </row>
    <row r="75" spans="3:29" x14ac:dyDescent="0.25">
      <c r="AC75">
        <f>"1. Evolução Clínica"&amp;CHAR(10)&amp;TEXTJOIN(" ",TRUE,"Paciente "&amp;F75&amp;", "&amp;IF(G75="","sem DVA","em uso de "&amp;G75)&amp;".",IF(H75&lt;&gt;"","Em "&amp;H75&amp;IF(AND(H75="VMI",I75&lt;&gt;"")," por "&amp;I75,"")&amp;IF(J75&lt;&gt;""," ("&amp;J75&amp;")","")&amp;IF(K75&lt;&gt;"", ", "&amp;K75,"")&amp;IF(L75&lt;&gt;"", ", sob analgosedação com "&amp;L75,"")&amp;".",""),IF(M75&lt;&gt;"","Dieta "&amp;M75&amp;IF(N75&lt;&gt;"", ", com "&amp;LOWER(N75),"")&amp;IF(O75&lt;&gt;"", " — "&amp;O75,"")&amp;".",""),IF(P75="Febre","Apresentou episódio febril nas últimas 24h"&amp;IF(Q75&lt;&gt;""," ("&amp;Q75&amp;")","")&amp;".",IF(P75="Afebril","Encontra-se afebril.","")),IF(R75&lt;&gt;"",IF(S75="Sim","Apresenta disfunção renal aguda ","Função renal preservada ")&amp;"("&amp;R75&amp;").",""),IF(T75&lt;&gt;"","Em uso do esquema antimicrobiano com "&amp;T75&amp;".",""),IF(U75&lt;&gt;"","Em uso de profilaxia: "&amp;U75&amp;".",""))&amp;CHAR(10)&amp;CHAR(10)&amp;"2. Farmacoterapia"&amp;CHAR(10)&amp;IF(V75&lt;&gt;"","Corticoide/DART: "&amp;V75,"Sem corticoide/DART registrado.")&amp;CHAR(10)&amp;CHAR(10)&amp;"3. Conduta Farmacêutica"&amp;CHAR(10)&amp;IF(X75&lt;&gt;"","["&amp;W75&amp;"] "&amp;X75&amp;IF(Y75&lt;&gt;"", " ("&amp;Y75&amp;")",""),"Nenhuma intervenção registrada hoje.")&amp;CHAR(10)&amp;CHAR(10)&amp;"4. Plano Terapêutico"&amp;CHAR(10)&amp;IF(AB75&lt;&gt;"",AB75,"Não definido.")</f>
      </c>
    </row>
    <row r="76" spans="3:29" x14ac:dyDescent="0.25">
      <c r="AC76">
        <f>"1. Evolução Clínica"&amp;CHAR(10)&amp;TEXTJOIN(" ",TRUE,"Paciente "&amp;F76&amp;", "&amp;IF(G76="","sem DVA","em uso de "&amp;G76)&amp;".",IF(H76&lt;&gt;"","Em "&amp;H76&amp;IF(AND(H76="VMI",I76&lt;&gt;"")," por "&amp;I76,"")&amp;IF(J76&lt;&gt;""," ("&amp;J76&amp;")","")&amp;IF(K76&lt;&gt;"", ", "&amp;K76,"")&amp;IF(L76&lt;&gt;"", ", sob analgosedação com "&amp;L76,"")&amp;".",""),IF(M76&lt;&gt;"","Dieta "&amp;M76&amp;IF(N76&lt;&gt;"", ", com "&amp;LOWER(N76),"")&amp;IF(O76&lt;&gt;"", " — "&amp;O76,"")&amp;".",""),IF(P76="Febre","Apresentou episódio febril nas últimas 24h"&amp;IF(Q76&lt;&gt;""," ("&amp;Q76&amp;")","")&amp;".",IF(P76="Afebril","Encontra-se afebril.","")),IF(R76&lt;&gt;"",IF(S76="Sim","Apresenta disfunção renal aguda ","Função renal preservada ")&amp;"("&amp;R76&amp;").",""),IF(T76&lt;&gt;"","Em uso do esquema antimicrobiano com "&amp;T76&amp;".",""),IF(U76&lt;&gt;"","Em uso de profilaxia: "&amp;U76&amp;".",""))&amp;CHAR(10)&amp;CHAR(10)&amp;"2. Farmacoterapia"&amp;CHAR(10)&amp;IF(V76&lt;&gt;"","Corticoide/DART: "&amp;V76,"Sem corticoide/DART registrado.")&amp;CHAR(10)&amp;CHAR(10)&amp;"3. Conduta Farmacêutica"&amp;CHAR(10)&amp;IF(X76&lt;&gt;"","["&amp;W76&amp;"] "&amp;X76&amp;IF(Y76&lt;&gt;"", " ("&amp;Y76&amp;")",""),"Nenhuma intervenção registrada hoje.")&amp;CHAR(10)&amp;CHAR(10)&amp;"4. Plano Terapêutico"&amp;CHAR(10)&amp;IF(AB76&lt;&gt;"",AB76,"Não definido.")</f>
      </c>
    </row>
    <row r="77" spans="3:29" x14ac:dyDescent="0.25">
      <c r="AC77">
        <f>"1. Evolução Clínica"&amp;CHAR(10)&amp;TEXTJOIN(" ",TRUE,"Paciente "&amp;F77&amp;", "&amp;IF(G77="","sem DVA","em uso de "&amp;G77)&amp;".",IF(H77&lt;&gt;"","Em "&amp;H77&amp;IF(AND(H77="VMI",I77&lt;&gt;"")," por "&amp;I77,"")&amp;IF(J77&lt;&gt;""," ("&amp;J77&amp;")","")&amp;IF(K77&lt;&gt;"", ", "&amp;K77,"")&amp;IF(L77&lt;&gt;"", ", sob analgosedação com "&amp;L77,"")&amp;".",""),IF(M77&lt;&gt;"","Dieta "&amp;M77&amp;IF(N77&lt;&gt;"", ", com "&amp;LOWER(N77),"")&amp;IF(O77&lt;&gt;"", " — "&amp;O77,"")&amp;".",""),IF(P77="Febre","Apresentou episódio febril nas últimas 24h"&amp;IF(Q77&lt;&gt;""," ("&amp;Q77&amp;")","")&amp;".",IF(P77="Afebril","Encontra-se afebril.","")),IF(R77&lt;&gt;"",IF(S77="Sim","Apresenta disfunção renal aguda ","Função renal preservada ")&amp;"("&amp;R77&amp;").",""),IF(T77&lt;&gt;"","Em uso do esquema antimicrobiano com "&amp;T77&amp;".",""),IF(U77&lt;&gt;"","Em uso de profilaxia: "&amp;U77&amp;".",""))&amp;CHAR(10)&amp;CHAR(10)&amp;"2. Farmacoterapia"&amp;CHAR(10)&amp;IF(V77&lt;&gt;"","Corticoide/DART: "&amp;V77,"Sem corticoide/DART registrado.")&amp;CHAR(10)&amp;CHAR(10)&amp;"3. Conduta Farmacêutica"&amp;CHAR(10)&amp;IF(X77&lt;&gt;"","["&amp;W77&amp;"] "&amp;X77&amp;IF(Y77&lt;&gt;"", " ("&amp;Y77&amp;")",""),"Nenhuma intervenção registrada hoje.")&amp;CHAR(10)&amp;CHAR(10)&amp;"4. Plano Terapêutico"&amp;CHAR(10)&amp;IF(AB77&lt;&gt;"",AB77,"Não definido.")</f>
      </c>
    </row>
    <row r="78" spans="3:29" x14ac:dyDescent="0.25">
      <c r="AC78">
        <f>"1. Evolução Clínica"&amp;CHAR(10)&amp;TEXTJOIN(" ",TRUE,"Paciente "&amp;F78&amp;", "&amp;IF(G78="","sem DVA","em uso de "&amp;G78)&amp;".",IF(H78&lt;&gt;"","Em "&amp;H78&amp;IF(AND(H78="VMI",I78&lt;&gt;"")," por "&amp;I78,"")&amp;IF(J78&lt;&gt;""," ("&amp;J78&amp;")","")&amp;IF(K78&lt;&gt;"", ", "&amp;K78,"")&amp;IF(L78&lt;&gt;"", ", sob analgosedação com "&amp;L78,"")&amp;".",""),IF(M78&lt;&gt;"","Dieta "&amp;M78&amp;IF(N78&lt;&gt;"", ", com "&amp;LOWER(N78),"")&amp;IF(O78&lt;&gt;"", " — "&amp;O78,"")&amp;".",""),IF(P78="Febre","Apresentou episódio febril nas últimas 24h"&amp;IF(Q78&lt;&gt;""," ("&amp;Q78&amp;")","")&amp;".",IF(P78="Afebril","Encontra-se afebril.","")),IF(R78&lt;&gt;"",IF(S78="Sim","Apresenta disfunção renal aguda ","Função renal preservada ")&amp;"("&amp;R78&amp;").",""),IF(T78&lt;&gt;"","Em uso do esquema antimicrobiano com "&amp;T78&amp;".",""),IF(U78&lt;&gt;"","Em uso de profilaxia: "&amp;U78&amp;".",""))&amp;CHAR(10)&amp;CHAR(10)&amp;"2. Farmacoterapia"&amp;CHAR(10)&amp;IF(V78&lt;&gt;"","Corticoide/DART: "&amp;V78,"Sem corticoide/DART registrado.")&amp;CHAR(10)&amp;CHAR(10)&amp;"3. Conduta Farmacêutica"&amp;CHAR(10)&amp;IF(X78&lt;&gt;"","["&amp;W78&amp;"] "&amp;X78&amp;IF(Y78&lt;&gt;"", " ("&amp;Y78&amp;")",""),"Nenhuma intervenção registrada hoje.")&amp;CHAR(10)&amp;CHAR(10)&amp;"4. Plano Terapêutico"&amp;CHAR(10)&amp;IF(AB78&lt;&gt;"",AB78,"Não definido.")</f>
      </c>
    </row>
    <row r="79" spans="3:29" x14ac:dyDescent="0.25">
      <c r="AC79">
        <f>"1. Evolução Clínica"&amp;CHAR(10)&amp;TEXTJOIN(" ",TRUE,"Paciente "&amp;F79&amp;", "&amp;IF(G79="","sem DVA","em uso de "&amp;G79)&amp;".",IF(H79&lt;&gt;"","Em "&amp;H79&amp;IF(AND(H79="VMI",I79&lt;&gt;"")," por "&amp;I79,"")&amp;IF(J79&lt;&gt;""," ("&amp;J79&amp;")","")&amp;IF(K79&lt;&gt;"", ", "&amp;K79,"")&amp;IF(L79&lt;&gt;"", ", sob analgosedação com "&amp;L79,"")&amp;".",""),IF(M79&lt;&gt;"","Dieta "&amp;M79&amp;IF(N79&lt;&gt;"", ", com "&amp;LOWER(N79),"")&amp;IF(O79&lt;&gt;"", " — "&amp;O79,"")&amp;".",""),IF(P79="Febre","Apresentou episódio febril nas últimas 24h"&amp;IF(Q79&lt;&gt;""," ("&amp;Q79&amp;")","")&amp;".",IF(P79="Afebril","Encontra-se afebril.","")),IF(R79&lt;&gt;"",IF(S79="Sim","Apresenta disfunção renal aguda ","Função renal preservada ")&amp;"("&amp;R79&amp;").",""),IF(T79&lt;&gt;"","Em uso do esquema antimicrobiano com "&amp;T79&amp;".",""),IF(U79&lt;&gt;"","Em uso de profilaxia: "&amp;U79&amp;".",""))&amp;CHAR(10)&amp;CHAR(10)&amp;"2. Farmacoterapia"&amp;CHAR(10)&amp;IF(V79&lt;&gt;"","Corticoide/DART: "&amp;V79,"Sem corticoide/DART registrado.")&amp;CHAR(10)&amp;CHAR(10)&amp;"3. Conduta Farmacêutica"&amp;CHAR(10)&amp;IF(X79&lt;&gt;"","["&amp;W79&amp;"] "&amp;X79&amp;IF(Y79&lt;&gt;"", " ("&amp;Y79&amp;")",""),"Nenhuma intervenção registrada hoje.")&amp;CHAR(10)&amp;CHAR(10)&amp;"4. Plano Terapêutico"&amp;CHAR(10)&amp;IF(AB79&lt;&gt;"",AB79,"Não definido.")</f>
      </c>
    </row>
    <row r="80" spans="3:29" x14ac:dyDescent="0.25">
      <c r="AC80">
        <f>"1. Evolução Clínica"&amp;CHAR(10)&amp;TEXTJOIN(" ",TRUE,"Paciente "&amp;F80&amp;", "&amp;IF(G80="","sem DVA","em uso de "&amp;G80)&amp;".",IF(H80&lt;&gt;"","Em "&amp;H80&amp;IF(AND(H80="VMI",I80&lt;&gt;"")," por "&amp;I80,"")&amp;IF(J80&lt;&gt;""," ("&amp;J80&amp;")","")&amp;IF(K80&lt;&gt;"", ", "&amp;K80,"")&amp;IF(L80&lt;&gt;"", ", sob analgosedação com "&amp;L80,"")&amp;".",""),IF(M80&lt;&gt;"","Dieta "&amp;M80&amp;IF(N80&lt;&gt;"", ", com "&amp;LOWER(N80),"")&amp;IF(O80&lt;&gt;"", " — "&amp;O80,"")&amp;".",""),IF(P80="Febre","Apresentou episódio febril nas últimas 24h"&amp;IF(Q80&lt;&gt;""," ("&amp;Q80&amp;")","")&amp;".",IF(P80="Afebril","Encontra-se afebril.","")),IF(R80&lt;&gt;"",IF(S80="Sim","Apresenta disfunção renal aguda ","Função renal preservada ")&amp;"("&amp;R80&amp;").",""),IF(T80&lt;&gt;"","Em uso do esquema antimicrobiano com "&amp;T80&amp;".",""),IF(U80&lt;&gt;"","Em uso de profilaxia: "&amp;U80&amp;".",""))&amp;CHAR(10)&amp;CHAR(10)&amp;"2. Farmacoterapia"&amp;CHAR(10)&amp;IF(V80&lt;&gt;"","Corticoide/DART: "&amp;V80,"Sem corticoide/DART registrado.")&amp;CHAR(10)&amp;CHAR(10)&amp;"3. Conduta Farmacêutica"&amp;CHAR(10)&amp;IF(X80&lt;&gt;"","["&amp;W80&amp;"] "&amp;X80&amp;IF(Y80&lt;&gt;"", " ("&amp;Y80&amp;")",""),"Nenhuma intervenção registrada hoje.")&amp;CHAR(10)&amp;CHAR(10)&amp;"4. Plano Terapêutico"&amp;CHAR(10)&amp;IF(AB80&lt;&gt;"",AB80,"Não definido.")</f>
      </c>
    </row>
    <row r="81" spans="3:29" x14ac:dyDescent="0.25">
      <c r="AC81">
        <f>"1. Evolução Clínica"&amp;CHAR(10)&amp;TEXTJOIN(" ",TRUE,"Paciente "&amp;F81&amp;", "&amp;IF(G81="","sem DVA","em uso de "&amp;G81)&amp;".",IF(H81&lt;&gt;"","Em "&amp;H81&amp;IF(AND(H81="VMI",I81&lt;&gt;"")," por "&amp;I81,"")&amp;IF(J81&lt;&gt;""," ("&amp;J81&amp;")","")&amp;IF(K81&lt;&gt;"", ", "&amp;K81,"")&amp;IF(L81&lt;&gt;"", ", sob analgosedação com "&amp;L81,"")&amp;".",""),IF(M81&lt;&gt;"","Dieta "&amp;M81&amp;IF(N81&lt;&gt;"", ", com "&amp;LOWER(N81),"")&amp;IF(O81&lt;&gt;"", " — "&amp;O81,"")&amp;".",""),IF(P81="Febre","Apresentou episódio febril nas últimas 24h"&amp;IF(Q81&lt;&gt;""," ("&amp;Q81&amp;")","")&amp;".",IF(P81="Afebril","Encontra-se afebril.","")),IF(R81&lt;&gt;"",IF(S81="Sim","Apresenta disfunção renal aguda ","Função renal preservada ")&amp;"("&amp;R81&amp;").",""),IF(T81&lt;&gt;"","Em uso do esquema antimicrobiano com "&amp;T81&amp;".",""),IF(U81&lt;&gt;"","Em uso de profilaxia: "&amp;U81&amp;".",""))&amp;CHAR(10)&amp;CHAR(10)&amp;"2. Farmacoterapia"&amp;CHAR(10)&amp;IF(V81&lt;&gt;"","Corticoide/DART: "&amp;V81,"Sem corticoide/DART registrado.")&amp;CHAR(10)&amp;CHAR(10)&amp;"3. Conduta Farmacêutica"&amp;CHAR(10)&amp;IF(X81&lt;&gt;"","["&amp;W81&amp;"] "&amp;X81&amp;IF(Y81&lt;&gt;"", " ("&amp;Y81&amp;")",""),"Nenhuma intervenção registrada hoje.")&amp;CHAR(10)&amp;CHAR(10)&amp;"4. Plano Terapêutico"&amp;CHAR(10)&amp;IF(AB81&lt;&gt;"",AB81,"Não definido.")</f>
      </c>
    </row>
    <row r="82" spans="3:29" x14ac:dyDescent="0.25">
      <c r="AC82">
        <f>"1. Evolução Clínica"&amp;CHAR(10)&amp;TEXTJOIN(" ",TRUE,"Paciente "&amp;F82&amp;", "&amp;IF(G82="","sem DVA","em uso de "&amp;G82)&amp;".",IF(H82&lt;&gt;"","Em "&amp;H82&amp;IF(AND(H82="VMI",I82&lt;&gt;"")," por "&amp;I82,"")&amp;IF(J82&lt;&gt;""," ("&amp;J82&amp;")","")&amp;IF(K82&lt;&gt;"", ", "&amp;K82,"")&amp;IF(L82&lt;&gt;"", ", sob analgosedação com "&amp;L82,"")&amp;".",""),IF(M82&lt;&gt;"","Dieta "&amp;M82&amp;IF(N82&lt;&gt;"", ", com "&amp;LOWER(N82),"")&amp;IF(O82&lt;&gt;"", " — "&amp;O82,"")&amp;".",""),IF(P82="Febre","Apresentou episódio febril nas últimas 24h"&amp;IF(Q82&lt;&gt;""," ("&amp;Q82&amp;")","")&amp;".",IF(P82="Afebril","Encontra-se afebril.","")),IF(R82&lt;&gt;"",IF(S82="Sim","Apresenta disfunção renal aguda ","Função renal preservada ")&amp;"("&amp;R82&amp;").",""),IF(T82&lt;&gt;"","Em uso do esquema antimicrobiano com "&amp;T82&amp;".",""),IF(U82&lt;&gt;"","Em uso de profilaxia: "&amp;U82&amp;".",""))&amp;CHAR(10)&amp;CHAR(10)&amp;"2. Farmacoterapia"&amp;CHAR(10)&amp;IF(V82&lt;&gt;"","Corticoide/DART: "&amp;V82,"Sem corticoide/DART registrado.")&amp;CHAR(10)&amp;CHAR(10)&amp;"3. Conduta Farmacêutica"&amp;CHAR(10)&amp;IF(X82&lt;&gt;"","["&amp;W82&amp;"] "&amp;X82&amp;IF(Y82&lt;&gt;"", " ("&amp;Y82&amp;")",""),"Nenhuma intervenção registrada hoje.")&amp;CHAR(10)&amp;CHAR(10)&amp;"4. Plano Terapêutico"&amp;CHAR(10)&amp;IF(AB82&lt;&gt;"",AB82,"Não definido.")</f>
      </c>
    </row>
    <row r="83" spans="3:29" x14ac:dyDescent="0.25">
      <c r="AC83">
        <f>"1. Evolução Clínica"&amp;CHAR(10)&amp;TEXTJOIN(" ",TRUE,"Paciente "&amp;F83&amp;", "&amp;IF(G83="","sem DVA","em uso de "&amp;G83)&amp;".",IF(H83&lt;&gt;"","Em "&amp;H83&amp;IF(AND(H83="VMI",I83&lt;&gt;"")," por "&amp;I83,"")&amp;IF(J83&lt;&gt;""," ("&amp;J83&amp;")","")&amp;IF(K83&lt;&gt;"", ", "&amp;K83,"")&amp;IF(L83&lt;&gt;"", ", sob analgosedação com "&amp;L83,"")&amp;".",""),IF(M83&lt;&gt;"","Dieta "&amp;M83&amp;IF(N83&lt;&gt;"", ", com "&amp;LOWER(N83),"")&amp;IF(O83&lt;&gt;"", " — "&amp;O83,"")&amp;".",""),IF(P83="Febre","Apresentou episódio febril nas últimas 24h"&amp;IF(Q83&lt;&gt;""," ("&amp;Q83&amp;")","")&amp;".",IF(P83="Afebril","Encontra-se afebril.","")),IF(R83&lt;&gt;"",IF(S83="Sim","Apresenta disfunção renal aguda ","Função renal preservada ")&amp;"("&amp;R83&amp;").",""),IF(T83&lt;&gt;"","Em uso do esquema antimicrobiano com "&amp;T83&amp;".",""),IF(U83&lt;&gt;"","Em uso de profilaxia: "&amp;U83&amp;".",""))&amp;CHAR(10)&amp;CHAR(10)&amp;"2. Farmacoterapia"&amp;CHAR(10)&amp;IF(V83&lt;&gt;"","Corticoide/DART: "&amp;V83,"Sem corticoide/DART registrado.")&amp;CHAR(10)&amp;CHAR(10)&amp;"3. Conduta Farmacêutica"&amp;CHAR(10)&amp;IF(X83&lt;&gt;"","["&amp;W83&amp;"] "&amp;X83&amp;IF(Y83&lt;&gt;"", " ("&amp;Y83&amp;")",""),"Nenhuma intervenção registrada hoje.")&amp;CHAR(10)&amp;CHAR(10)&amp;"4. Plano Terapêutico"&amp;CHAR(10)&amp;IF(AB83&lt;&gt;"",AB83,"Não definido.")</f>
      </c>
    </row>
    <row r="84" spans="3:29" x14ac:dyDescent="0.25">
      <c r="AC84">
        <f>"1. Evolução Clínica"&amp;CHAR(10)&amp;TEXTJOIN(" ",TRUE,"Paciente "&amp;F84&amp;", "&amp;IF(G84="","sem DVA","em uso de "&amp;G84)&amp;".",IF(H84&lt;&gt;"","Em "&amp;H84&amp;IF(AND(H84="VMI",I84&lt;&gt;"")," por "&amp;I84,"")&amp;IF(J84&lt;&gt;""," ("&amp;J84&amp;")","")&amp;IF(K84&lt;&gt;"", ", "&amp;K84,"")&amp;IF(L84&lt;&gt;"", ", sob analgosedação com "&amp;L84,"")&amp;".",""),IF(M84&lt;&gt;"","Dieta "&amp;M84&amp;IF(N84&lt;&gt;"", ", com "&amp;LOWER(N84),"")&amp;IF(O84&lt;&gt;"", " — "&amp;O84,"")&amp;".",""),IF(P84="Febre","Apresentou episódio febril nas últimas 24h"&amp;IF(Q84&lt;&gt;""," ("&amp;Q84&amp;")","")&amp;".",IF(P84="Afebril","Encontra-se afebril.","")),IF(R84&lt;&gt;"",IF(S84="Sim","Apresenta disfunção renal aguda ","Função renal preservada ")&amp;"("&amp;R84&amp;").",""),IF(T84&lt;&gt;"","Em uso do esquema antimicrobiano com "&amp;T84&amp;".",""),IF(U84&lt;&gt;"","Em uso de profilaxia: "&amp;U84&amp;".",""))&amp;CHAR(10)&amp;CHAR(10)&amp;"2. Farmacoterapia"&amp;CHAR(10)&amp;IF(V84&lt;&gt;"","Corticoide/DART: "&amp;V84,"Sem corticoide/DART registrado.")&amp;CHAR(10)&amp;CHAR(10)&amp;"3. Conduta Farmacêutica"&amp;CHAR(10)&amp;IF(X84&lt;&gt;"","["&amp;W84&amp;"] "&amp;X84&amp;IF(Y84&lt;&gt;"", " ("&amp;Y84&amp;")",""),"Nenhuma intervenção registrada hoje.")&amp;CHAR(10)&amp;CHAR(10)&amp;"4. Plano Terapêutico"&amp;CHAR(10)&amp;IF(AB84&lt;&gt;"",AB84,"Não definido.")</f>
      </c>
    </row>
    <row r="85" spans="3:29" x14ac:dyDescent="0.25">
      <c r="AC85">
        <f>"1. Evolução Clínica"&amp;CHAR(10)&amp;TEXTJOIN(" ",TRUE,"Paciente "&amp;F85&amp;", "&amp;IF(G85="","sem DVA","em uso de "&amp;G85)&amp;".",IF(H85&lt;&gt;"","Em "&amp;H85&amp;IF(AND(H85="VMI",I85&lt;&gt;"")," por "&amp;I85,"")&amp;IF(J85&lt;&gt;""," ("&amp;J85&amp;")","")&amp;IF(K85&lt;&gt;"", ", "&amp;K85,"")&amp;IF(L85&lt;&gt;"", ", sob analgosedação com "&amp;L85,"")&amp;".",""),IF(M85&lt;&gt;"","Dieta "&amp;M85&amp;IF(N85&lt;&gt;"", ", com "&amp;LOWER(N85),"")&amp;IF(O85&lt;&gt;"", " — "&amp;O85,"")&amp;".",""),IF(P85="Febre","Apresentou episódio febril nas últimas 24h"&amp;IF(Q85&lt;&gt;""," ("&amp;Q85&amp;")","")&amp;".",IF(P85="Afebril","Encontra-se afebril.","")),IF(R85&lt;&gt;"",IF(S85="Sim","Apresenta disfunção renal aguda ","Função renal preservada ")&amp;"("&amp;R85&amp;").",""),IF(T85&lt;&gt;"","Em uso do esquema antimicrobiano com "&amp;T85&amp;".",""),IF(U85&lt;&gt;"","Em uso de profilaxia: "&amp;U85&amp;".",""))&amp;CHAR(10)&amp;CHAR(10)&amp;"2. Farmacoterapia"&amp;CHAR(10)&amp;IF(V85&lt;&gt;"","Corticoide/DART: "&amp;V85,"Sem corticoide/DART registrado.")&amp;CHAR(10)&amp;CHAR(10)&amp;"3. Conduta Farmacêutica"&amp;CHAR(10)&amp;IF(X85&lt;&gt;"","["&amp;W85&amp;"] "&amp;X85&amp;IF(Y85&lt;&gt;"", " ("&amp;Y85&amp;")",""),"Nenhuma intervenção registrada hoje.")&amp;CHAR(10)&amp;CHAR(10)&amp;"4. Plano Terapêutico"&amp;CHAR(10)&amp;IF(AB85&lt;&gt;"",AB85,"Não definido.")</f>
      </c>
    </row>
    <row r="86" spans="3:29" x14ac:dyDescent="0.25">
      <c r="AC86">
        <f>"1. Evolução Clínica"&amp;CHAR(10)&amp;TEXTJOIN(" ",TRUE,"Paciente "&amp;F86&amp;", "&amp;IF(G86="","sem DVA","em uso de "&amp;G86)&amp;".",IF(H86&lt;&gt;"","Em "&amp;H86&amp;IF(AND(H86="VMI",I86&lt;&gt;"")," por "&amp;I86,"")&amp;IF(J86&lt;&gt;""," ("&amp;J86&amp;")","")&amp;IF(K86&lt;&gt;"", ", "&amp;K86,"")&amp;IF(L86&lt;&gt;"", ", sob analgosedação com "&amp;L86,"")&amp;".",""),IF(M86&lt;&gt;"","Dieta "&amp;M86&amp;IF(N86&lt;&gt;"", ", com "&amp;LOWER(N86),"")&amp;IF(O86&lt;&gt;"", " — "&amp;O86,"")&amp;".",""),IF(P86="Febre","Apresentou episódio febril nas últimas 24h"&amp;IF(Q86&lt;&gt;""," ("&amp;Q86&amp;")","")&amp;".",IF(P86="Afebril","Encontra-se afebril.","")),IF(R86&lt;&gt;"",IF(S86="Sim","Apresenta disfunção renal aguda ","Função renal preservada ")&amp;"("&amp;R86&amp;").",""),IF(T86&lt;&gt;"","Em uso do esquema antimicrobiano com "&amp;T86&amp;".",""),IF(U86&lt;&gt;"","Em uso de profilaxia: "&amp;U86&amp;".",""))&amp;CHAR(10)&amp;CHAR(10)&amp;"2. Farmacoterapia"&amp;CHAR(10)&amp;IF(V86&lt;&gt;"","Corticoide/DART: "&amp;V86,"Sem corticoide/DART registrado.")&amp;CHAR(10)&amp;CHAR(10)&amp;"3. Conduta Farmacêutica"&amp;CHAR(10)&amp;IF(X86&lt;&gt;"","["&amp;W86&amp;"] "&amp;X86&amp;IF(Y86&lt;&gt;"", " ("&amp;Y86&amp;")",""),"Nenhuma intervenção registrada hoje.")&amp;CHAR(10)&amp;CHAR(10)&amp;"4. Plano Terapêutico"&amp;CHAR(10)&amp;IF(AB86&lt;&gt;"",AB86,"Não definido.")</f>
      </c>
    </row>
    <row r="87" spans="3:29" x14ac:dyDescent="0.25">
      <c r="AC87">
        <f>"1. Evolução Clínica"&amp;CHAR(10)&amp;TEXTJOIN(" ",TRUE,"Paciente "&amp;F87&amp;", "&amp;IF(G87="","sem DVA","em uso de "&amp;G87)&amp;".",IF(H87&lt;&gt;"","Em "&amp;H87&amp;IF(AND(H87="VMI",I87&lt;&gt;"")," por "&amp;I87,"")&amp;IF(J87&lt;&gt;""," ("&amp;J87&amp;")","")&amp;IF(K87&lt;&gt;"", ", "&amp;K87,"")&amp;IF(L87&lt;&gt;"", ", sob analgosedação com "&amp;L87,"")&amp;".",""),IF(M87&lt;&gt;"","Dieta "&amp;M87&amp;IF(N87&lt;&gt;"", ", com "&amp;LOWER(N87),"")&amp;IF(O87&lt;&gt;"", " — "&amp;O87,"")&amp;".",""),IF(P87="Febre","Apresentou episódio febril nas últimas 24h"&amp;IF(Q87&lt;&gt;""," ("&amp;Q87&amp;")","")&amp;".",IF(P87="Afebril","Encontra-se afebril.","")),IF(R87&lt;&gt;"",IF(S87="Sim","Apresenta disfunção renal aguda ","Função renal preservada ")&amp;"("&amp;R87&amp;").",""),IF(T87&lt;&gt;"","Em uso do esquema antimicrobiano com "&amp;T87&amp;".",""),IF(U87&lt;&gt;"","Em uso de profilaxia: "&amp;U87&amp;".",""))&amp;CHAR(10)&amp;CHAR(10)&amp;"2. Farmacoterapia"&amp;CHAR(10)&amp;IF(V87&lt;&gt;"","Corticoide/DART: "&amp;V87,"Sem corticoide/DART registrado.")&amp;CHAR(10)&amp;CHAR(10)&amp;"3. Conduta Farmacêutica"&amp;CHAR(10)&amp;IF(X87&lt;&gt;"","["&amp;W87&amp;"] "&amp;X87&amp;IF(Y87&lt;&gt;"", " ("&amp;Y87&amp;")",""),"Nenhuma intervenção registrada hoje.")&amp;CHAR(10)&amp;CHAR(10)&amp;"4. Plano Terapêutico"&amp;CHAR(10)&amp;IF(AB87&lt;&gt;"",AB87,"Não definido.")</f>
      </c>
    </row>
    <row r="88" spans="3:29" x14ac:dyDescent="0.25">
      <c r="AC88">
        <f>"1. Evolução Clínica"&amp;CHAR(10)&amp;TEXTJOIN(" ",TRUE,"Paciente "&amp;F88&amp;", "&amp;IF(G88="","sem DVA","em uso de "&amp;G88)&amp;".",IF(H88&lt;&gt;"","Em "&amp;H88&amp;IF(AND(H88="VMI",I88&lt;&gt;"")," por "&amp;I88,"")&amp;IF(J88&lt;&gt;""," ("&amp;J88&amp;")","")&amp;IF(K88&lt;&gt;"", ", "&amp;K88,"")&amp;IF(L88&lt;&gt;"", ", sob analgosedação com "&amp;L88,"")&amp;".",""),IF(M88&lt;&gt;"","Dieta "&amp;M88&amp;IF(N88&lt;&gt;"", ", com "&amp;LOWER(N88),"")&amp;IF(O88&lt;&gt;"", " — "&amp;O88,"")&amp;".",""),IF(P88="Febre","Apresentou episódio febril nas últimas 24h"&amp;IF(Q88&lt;&gt;""," ("&amp;Q88&amp;")","")&amp;".",IF(P88="Afebril","Encontra-se afebril.","")),IF(R88&lt;&gt;"",IF(S88="Sim","Apresenta disfunção renal aguda ","Função renal preservada ")&amp;"("&amp;R88&amp;").",""),IF(T88&lt;&gt;"","Em uso do esquema antimicrobiano com "&amp;T88&amp;".",""),IF(U88&lt;&gt;"","Em uso de profilaxia: "&amp;U88&amp;".",""))&amp;CHAR(10)&amp;CHAR(10)&amp;"2. Farmacoterapia"&amp;CHAR(10)&amp;IF(V88&lt;&gt;"","Corticoide/DART: "&amp;V88,"Sem corticoide/DART registrado.")&amp;CHAR(10)&amp;CHAR(10)&amp;"3. Conduta Farmacêutica"&amp;CHAR(10)&amp;IF(X88&lt;&gt;"","["&amp;W88&amp;"] "&amp;X88&amp;IF(Y88&lt;&gt;"", " ("&amp;Y88&amp;")",""),"Nenhuma intervenção registrada hoje.")&amp;CHAR(10)&amp;CHAR(10)&amp;"4. Plano Terapêutico"&amp;CHAR(10)&amp;IF(AB88&lt;&gt;"",AB88,"Não definido.")</f>
      </c>
    </row>
    <row r="89" spans="3:29" x14ac:dyDescent="0.25">
      <c r="AC89">
        <f>"1. Evolução Clínica"&amp;CHAR(10)&amp;TEXTJOIN(" ",TRUE,"Paciente "&amp;F89&amp;", "&amp;IF(G89="","sem DVA","em uso de "&amp;G89)&amp;".",IF(H89&lt;&gt;"","Em "&amp;H89&amp;IF(AND(H89="VMI",I89&lt;&gt;"")," por "&amp;I89,"")&amp;IF(J89&lt;&gt;""," ("&amp;J89&amp;")","")&amp;IF(K89&lt;&gt;"", ", "&amp;K89,"")&amp;IF(L89&lt;&gt;"", ", sob analgosedação com "&amp;L89,"")&amp;".",""),IF(M89&lt;&gt;"","Dieta "&amp;M89&amp;IF(N89&lt;&gt;"", ", com "&amp;LOWER(N89),"")&amp;IF(O89&lt;&gt;"", " — "&amp;O89,"")&amp;".",""),IF(P89="Febre","Apresentou episódio febril nas últimas 24h"&amp;IF(Q89&lt;&gt;""," ("&amp;Q89&amp;")","")&amp;".",IF(P89="Afebril","Encontra-se afebril.","")),IF(R89&lt;&gt;"",IF(S89="Sim","Apresenta disfunção renal aguda ","Função renal preservada ")&amp;"("&amp;R89&amp;").",""),IF(T89&lt;&gt;"","Em uso do esquema antimicrobiano com "&amp;T89&amp;".",""),IF(U89&lt;&gt;"","Em uso de profilaxia: "&amp;U89&amp;".",""))&amp;CHAR(10)&amp;CHAR(10)&amp;"2. Farmacoterapia"&amp;CHAR(10)&amp;IF(V89&lt;&gt;"","Corticoide/DART: "&amp;V89,"Sem corticoide/DART registrado.")&amp;CHAR(10)&amp;CHAR(10)&amp;"3. Conduta Farmacêutica"&amp;CHAR(10)&amp;IF(X89&lt;&gt;"","["&amp;W89&amp;"] "&amp;X89&amp;IF(Y89&lt;&gt;"", " ("&amp;Y89&amp;")",""),"Nenhuma intervenção registrada hoje.")&amp;CHAR(10)&amp;CHAR(10)&amp;"4. Plano Terapêutico"&amp;CHAR(10)&amp;IF(AB89&lt;&gt;"",AB89,"Não definido.")</f>
      </c>
    </row>
    <row r="90" spans="3:29" x14ac:dyDescent="0.25">
      <c r="AC90">
        <f>"1. Evolução Clínica"&amp;CHAR(10)&amp;TEXTJOIN(" ",TRUE,"Paciente "&amp;F90&amp;", "&amp;IF(G90="","sem DVA","em uso de "&amp;G90)&amp;".",IF(H90&lt;&gt;"","Em "&amp;H90&amp;IF(AND(H90="VMI",I90&lt;&gt;"")," por "&amp;I90,"")&amp;IF(J90&lt;&gt;""," ("&amp;J90&amp;")","")&amp;IF(K90&lt;&gt;"", ", "&amp;K90,"")&amp;IF(L90&lt;&gt;"", ", sob analgosedação com "&amp;L90,"")&amp;".",""),IF(M90&lt;&gt;"","Dieta "&amp;M90&amp;IF(N90&lt;&gt;"", ", com "&amp;LOWER(N90),"")&amp;IF(O90&lt;&gt;"", " — "&amp;O90,"")&amp;".",""),IF(P90="Febre","Apresentou episódio febril nas últimas 24h"&amp;IF(Q90&lt;&gt;""," ("&amp;Q90&amp;")","")&amp;".",IF(P90="Afebril","Encontra-se afebril.","")),IF(R90&lt;&gt;"",IF(S90="Sim","Apresenta disfunção renal aguda ","Função renal preservada ")&amp;"("&amp;R90&amp;").",""),IF(T90&lt;&gt;"","Em uso do esquema antimicrobiano com "&amp;T90&amp;".",""),IF(U90&lt;&gt;"","Em uso de profilaxia: "&amp;U90&amp;".",""))&amp;CHAR(10)&amp;CHAR(10)&amp;"2. Farmacoterapia"&amp;CHAR(10)&amp;IF(V90&lt;&gt;"","Corticoide/DART: "&amp;V90,"Sem corticoide/DART registrado.")&amp;CHAR(10)&amp;CHAR(10)&amp;"3. Conduta Farmacêutica"&amp;CHAR(10)&amp;IF(X90&lt;&gt;"","["&amp;W90&amp;"] "&amp;X90&amp;IF(Y90&lt;&gt;"", " ("&amp;Y90&amp;")",""),"Nenhuma intervenção registrada hoje.")&amp;CHAR(10)&amp;CHAR(10)&amp;"4. Plano Terapêutico"&amp;CHAR(10)&amp;IF(AB90&lt;&gt;"",AB90,"Não definido.")</f>
      </c>
    </row>
    <row r="91" spans="3:29" x14ac:dyDescent="0.25">
      <c r="AC91">
        <f>"1. Evolução Clínica"&amp;CHAR(10)&amp;TEXTJOIN(" ",TRUE,"Paciente "&amp;F91&amp;", "&amp;IF(G91="","sem DVA","em uso de "&amp;G91)&amp;".",IF(H91&lt;&gt;"","Em "&amp;H91&amp;IF(AND(H91="VMI",I91&lt;&gt;"")," por "&amp;I91,"")&amp;IF(J91&lt;&gt;""," ("&amp;J91&amp;")","")&amp;IF(K91&lt;&gt;"", ", "&amp;K91,"")&amp;IF(L91&lt;&gt;"", ", sob analgosedação com "&amp;L91,"")&amp;".",""),IF(M91&lt;&gt;"","Dieta "&amp;M91&amp;IF(N91&lt;&gt;"", ", com "&amp;LOWER(N91),"")&amp;IF(O91&lt;&gt;"", " — "&amp;O91,"")&amp;".",""),IF(P91="Febre","Apresentou episódio febril nas últimas 24h"&amp;IF(Q91&lt;&gt;""," ("&amp;Q91&amp;")","")&amp;".",IF(P91="Afebril","Encontra-se afebril.","")),IF(R91&lt;&gt;"",IF(S91="Sim","Apresenta disfunção renal aguda ","Função renal preservada ")&amp;"("&amp;R91&amp;").",""),IF(T91&lt;&gt;"","Em uso do esquema antimicrobiano com "&amp;T91&amp;".",""),IF(U91&lt;&gt;"","Em uso de profilaxia: "&amp;U91&amp;".",""))&amp;CHAR(10)&amp;CHAR(10)&amp;"2. Farmacoterapia"&amp;CHAR(10)&amp;IF(V91&lt;&gt;"","Corticoide/DART: "&amp;V91,"Sem corticoide/DART registrado.")&amp;CHAR(10)&amp;CHAR(10)&amp;"3. Conduta Farmacêutica"&amp;CHAR(10)&amp;IF(X91&lt;&gt;"","["&amp;W91&amp;"] "&amp;X91&amp;IF(Y91&lt;&gt;"", " ("&amp;Y91&amp;")",""),"Nenhuma intervenção registrada hoje.")&amp;CHAR(10)&amp;CHAR(10)&amp;"4. Plano Terapêutico"&amp;CHAR(10)&amp;IF(AB91&lt;&gt;"",AB91,"Não definido.")</f>
      </c>
    </row>
    <row r="92" spans="3:29" x14ac:dyDescent="0.25">
      <c r="AC92">
        <f>"1. Evolução Clínica"&amp;CHAR(10)&amp;TEXTJOIN(" ",TRUE,"Paciente "&amp;F92&amp;", "&amp;IF(G92="","sem DVA","em uso de "&amp;G92)&amp;".",IF(H92&lt;&gt;"","Em "&amp;H92&amp;IF(AND(H92="VMI",I92&lt;&gt;"")," por "&amp;I92,"")&amp;IF(J92&lt;&gt;""," ("&amp;J92&amp;")","")&amp;IF(K92&lt;&gt;"", ", "&amp;K92,"")&amp;IF(L92&lt;&gt;"", ", sob analgosedação com "&amp;L92,"")&amp;".",""),IF(M92&lt;&gt;"","Dieta "&amp;M92&amp;IF(N92&lt;&gt;"", ", com "&amp;LOWER(N92),"")&amp;IF(O92&lt;&gt;"", " — "&amp;O92,"")&amp;".",""),IF(P92="Febre","Apresentou episódio febril nas últimas 24h"&amp;IF(Q92&lt;&gt;""," ("&amp;Q92&amp;")","")&amp;".",IF(P92="Afebril","Encontra-se afebril.","")),IF(R92&lt;&gt;"",IF(S92="Sim","Apresenta disfunção renal aguda ","Função renal preservada ")&amp;"("&amp;R92&amp;").",""),IF(T92&lt;&gt;"","Em uso do esquema antimicrobiano com "&amp;T92&amp;".",""),IF(U92&lt;&gt;"","Em uso de profilaxia: "&amp;U92&amp;".",""))&amp;CHAR(10)&amp;CHAR(10)&amp;"2. Farmacoterapia"&amp;CHAR(10)&amp;IF(V92&lt;&gt;"","Corticoide/DART: "&amp;V92,"Sem corticoide/DART registrado.")&amp;CHAR(10)&amp;CHAR(10)&amp;"3. Conduta Farmacêutica"&amp;CHAR(10)&amp;IF(X92&lt;&gt;"","["&amp;W92&amp;"] "&amp;X92&amp;IF(Y92&lt;&gt;"", " ("&amp;Y92&amp;")",""),"Nenhuma intervenção registrada hoje.")&amp;CHAR(10)&amp;CHAR(10)&amp;"4. Plano Terapêutico"&amp;CHAR(10)&amp;IF(AB92&lt;&gt;"",AB92,"Não definido.")</f>
      </c>
    </row>
    <row r="93" spans="3:29" x14ac:dyDescent="0.25">
      <c r="AC93">
        <f>"1. Evolução Clínica"&amp;CHAR(10)&amp;TEXTJOIN(" ",TRUE,"Paciente "&amp;F93&amp;", "&amp;IF(G93="","sem DVA","em uso de "&amp;G93)&amp;".",IF(H93&lt;&gt;"","Em "&amp;H93&amp;IF(AND(H93="VMI",I93&lt;&gt;"")," por "&amp;I93,"")&amp;IF(J93&lt;&gt;""," ("&amp;J93&amp;")","")&amp;IF(K93&lt;&gt;"", ", "&amp;K93,"")&amp;IF(L93&lt;&gt;"", ", sob analgosedação com "&amp;L93,"")&amp;".",""),IF(M93&lt;&gt;"","Dieta "&amp;M93&amp;IF(N93&lt;&gt;"", ", com "&amp;LOWER(N93),"")&amp;IF(O93&lt;&gt;"", " — "&amp;O93,"")&amp;".",""),IF(P93="Febre","Apresentou episódio febril nas últimas 24h"&amp;IF(Q93&lt;&gt;""," ("&amp;Q93&amp;")","")&amp;".",IF(P93="Afebril","Encontra-se afebril.","")),IF(R93&lt;&gt;"",IF(S93="Sim","Apresenta disfunção renal aguda ","Função renal preservada ")&amp;"("&amp;R93&amp;").",""),IF(T93&lt;&gt;"","Em uso do esquema antimicrobiano com "&amp;T93&amp;".",""),IF(U93&lt;&gt;"","Em uso de profilaxia: "&amp;U93&amp;".",""))&amp;CHAR(10)&amp;CHAR(10)&amp;"2. Farmacoterapia"&amp;CHAR(10)&amp;IF(V93&lt;&gt;"","Corticoide/DART: "&amp;V93,"Sem corticoide/DART registrado.")&amp;CHAR(10)&amp;CHAR(10)&amp;"3. Conduta Farmacêutica"&amp;CHAR(10)&amp;IF(X93&lt;&gt;"","["&amp;W93&amp;"] "&amp;X93&amp;IF(Y93&lt;&gt;"", " ("&amp;Y93&amp;")",""),"Nenhuma intervenção registrada hoje.")&amp;CHAR(10)&amp;CHAR(10)&amp;"4. Plano Terapêutico"&amp;CHAR(10)&amp;IF(AB93&lt;&gt;"",AB93,"Não definido.")</f>
      </c>
    </row>
    <row r="94" spans="3:29" x14ac:dyDescent="0.25">
      <c r="AC94">
        <f>"1. Evolução Clínica"&amp;CHAR(10)&amp;TEXTJOIN(" ",TRUE,"Paciente "&amp;F94&amp;", "&amp;IF(G94="","sem DVA","em uso de "&amp;G94)&amp;".",IF(H94&lt;&gt;"","Em "&amp;H94&amp;IF(AND(H94="VMI",I94&lt;&gt;"")," por "&amp;I94,"")&amp;IF(J94&lt;&gt;""," ("&amp;J94&amp;")","")&amp;IF(K94&lt;&gt;"", ", "&amp;K94,"")&amp;IF(L94&lt;&gt;"", ", sob analgosedação com "&amp;L94,"")&amp;".",""),IF(M94&lt;&gt;"","Dieta "&amp;M94&amp;IF(N94&lt;&gt;"", ", com "&amp;LOWER(N94),"")&amp;IF(O94&lt;&gt;"", " — "&amp;O94,"")&amp;".",""),IF(P94="Febre","Apresentou episódio febril nas últimas 24h"&amp;IF(Q94&lt;&gt;""," ("&amp;Q94&amp;")","")&amp;".",IF(P94="Afebril","Encontra-se afebril.","")),IF(R94&lt;&gt;"",IF(S94="Sim","Apresenta disfunção renal aguda ","Função renal preservada ")&amp;"("&amp;R94&amp;").",""),IF(T94&lt;&gt;"","Em uso do esquema antimicrobiano com "&amp;T94&amp;".",""),IF(U94&lt;&gt;"","Em uso de profilaxia: "&amp;U94&amp;".",""))&amp;CHAR(10)&amp;CHAR(10)&amp;"2. Farmacoterapia"&amp;CHAR(10)&amp;IF(V94&lt;&gt;"","Corticoide/DART: "&amp;V94,"Sem corticoide/DART registrado.")&amp;CHAR(10)&amp;CHAR(10)&amp;"3. Conduta Farmacêutica"&amp;CHAR(10)&amp;IF(X94&lt;&gt;"","["&amp;W94&amp;"] "&amp;X94&amp;IF(Y94&lt;&gt;"", " ("&amp;Y94&amp;")",""),"Nenhuma intervenção registrada hoje.")&amp;CHAR(10)&amp;CHAR(10)&amp;"4. Plano Terapêutico"&amp;CHAR(10)&amp;IF(AB94&lt;&gt;"",AB94,"Não definido.")</f>
      </c>
    </row>
    <row r="95" spans="3:29" x14ac:dyDescent="0.25">
      <c r="AC95">
        <f>"1. Evolução Clínica"&amp;CHAR(10)&amp;TEXTJOIN(" ",TRUE,"Paciente "&amp;F95&amp;", "&amp;IF(G95="","sem DVA","em uso de "&amp;G95)&amp;".",IF(H95&lt;&gt;"","Em "&amp;H95&amp;IF(AND(H95="VMI",I95&lt;&gt;"")," por "&amp;I95,"")&amp;IF(J95&lt;&gt;""," ("&amp;J95&amp;")","")&amp;IF(K95&lt;&gt;"", ", "&amp;K95,"")&amp;IF(L95&lt;&gt;"", ", sob analgosedação com "&amp;L95,"")&amp;".",""),IF(M95&lt;&gt;"","Dieta "&amp;M95&amp;IF(N95&lt;&gt;"", ", com "&amp;LOWER(N95),"")&amp;IF(O95&lt;&gt;"", " — "&amp;O95,"")&amp;".",""),IF(P95="Febre","Apresentou episódio febril nas últimas 24h"&amp;IF(Q95&lt;&gt;""," ("&amp;Q95&amp;")","")&amp;".",IF(P95="Afebril","Encontra-se afebril.","")),IF(R95&lt;&gt;"",IF(S95="Sim","Apresenta disfunção renal aguda ","Função renal preservada ")&amp;"("&amp;R95&amp;").",""),IF(T95&lt;&gt;"","Em uso do esquema antimicrobiano com "&amp;T95&amp;".",""),IF(U95&lt;&gt;"","Em uso de profilaxia: "&amp;U95&amp;".",""))&amp;CHAR(10)&amp;CHAR(10)&amp;"2. Farmacoterapia"&amp;CHAR(10)&amp;IF(V95&lt;&gt;"","Corticoide/DART: "&amp;V95,"Sem corticoide/DART registrado.")&amp;CHAR(10)&amp;CHAR(10)&amp;"3. Conduta Farmacêutica"&amp;CHAR(10)&amp;IF(X95&lt;&gt;"","["&amp;W95&amp;"] "&amp;X95&amp;IF(Y95&lt;&gt;"", " ("&amp;Y95&amp;")",""),"Nenhuma intervenção registrada hoje.")&amp;CHAR(10)&amp;CHAR(10)&amp;"4. Plano Terapêutico"&amp;CHAR(10)&amp;IF(AB95&lt;&gt;"",AB95,"Não definido.")</f>
      </c>
    </row>
    <row r="96" spans="3:29" x14ac:dyDescent="0.25">
      <c r="AC96">
        <f>"1. Evolução Clínica"&amp;CHAR(10)&amp;TEXTJOIN(" ",TRUE,"Paciente "&amp;F96&amp;", "&amp;IF(G96="","sem DVA","em uso de "&amp;G96)&amp;".",IF(H96&lt;&gt;"","Em "&amp;H96&amp;IF(AND(H96="VMI",I96&lt;&gt;"")," por "&amp;I96,"")&amp;IF(J96&lt;&gt;""," ("&amp;J96&amp;")","")&amp;IF(K96&lt;&gt;"", ", "&amp;K96,"")&amp;IF(L96&lt;&gt;"", ", sob analgosedação com "&amp;L96,"")&amp;".",""),IF(M96&lt;&gt;"","Dieta "&amp;M96&amp;IF(N96&lt;&gt;"", ", com "&amp;LOWER(N96),"")&amp;IF(O96&lt;&gt;"", " — "&amp;O96,"")&amp;".",""),IF(P96="Febre","Apresentou episódio febril nas últimas 24h"&amp;IF(Q96&lt;&gt;""," ("&amp;Q96&amp;")","")&amp;".",IF(P96="Afebril","Encontra-se afebril.","")),IF(R96&lt;&gt;"",IF(S96="Sim","Apresenta disfunção renal aguda ","Função renal preservada ")&amp;"("&amp;R96&amp;").",""),IF(T96&lt;&gt;"","Em uso do esquema antimicrobiano com "&amp;T96&amp;".",""),IF(U96&lt;&gt;"","Em uso de profilaxia: "&amp;U96&amp;".",""))&amp;CHAR(10)&amp;CHAR(10)&amp;"2. Farmacoterapia"&amp;CHAR(10)&amp;IF(V96&lt;&gt;"","Corticoide/DART: "&amp;V96,"Sem corticoide/DART registrado.")&amp;CHAR(10)&amp;CHAR(10)&amp;"3. Conduta Farmacêutica"&amp;CHAR(10)&amp;IF(X96&lt;&gt;"","["&amp;W96&amp;"] "&amp;X96&amp;IF(Y96&lt;&gt;"", " ("&amp;Y96&amp;")",""),"Nenhuma intervenção registrada hoje.")&amp;CHAR(10)&amp;CHAR(10)&amp;"4. Plano Terapêutico"&amp;CHAR(10)&amp;IF(AB96&lt;&gt;"",AB96,"Não definido.")</f>
      </c>
    </row>
    <row r="97" spans="3:29" x14ac:dyDescent="0.25">
      <c r="AC97">
        <f>"1. Evolução Clínica"&amp;CHAR(10)&amp;TEXTJOIN(" ",TRUE,"Paciente "&amp;F97&amp;", "&amp;IF(G97="","sem DVA","em uso de "&amp;G97)&amp;".",IF(H97&lt;&gt;"","Em "&amp;H97&amp;IF(AND(H97="VMI",I97&lt;&gt;"")," por "&amp;I97,"")&amp;IF(J97&lt;&gt;""," ("&amp;J97&amp;")","")&amp;IF(K97&lt;&gt;"", ", "&amp;K97,"")&amp;IF(L97&lt;&gt;"", ", sob analgosedação com "&amp;L97,"")&amp;".",""),IF(M97&lt;&gt;"","Dieta "&amp;M97&amp;IF(N97&lt;&gt;"", ", com "&amp;LOWER(N97),"")&amp;IF(O97&lt;&gt;"", " — "&amp;O97,"")&amp;".",""),IF(P97="Febre","Apresentou episódio febril nas últimas 24h"&amp;IF(Q97&lt;&gt;""," ("&amp;Q97&amp;")","")&amp;".",IF(P97="Afebril","Encontra-se afebril.","")),IF(R97&lt;&gt;"",IF(S97="Sim","Apresenta disfunção renal aguda ","Função renal preservada ")&amp;"("&amp;R97&amp;").",""),IF(T97&lt;&gt;"","Em uso do esquema antimicrobiano com "&amp;T97&amp;".",""),IF(U97&lt;&gt;"","Em uso de profilaxia: "&amp;U97&amp;".",""))&amp;CHAR(10)&amp;CHAR(10)&amp;"2. Farmacoterapia"&amp;CHAR(10)&amp;IF(V97&lt;&gt;"","Corticoide/DART: "&amp;V97,"Sem corticoide/DART registrado.")&amp;CHAR(10)&amp;CHAR(10)&amp;"3. Conduta Farmacêutica"&amp;CHAR(10)&amp;IF(X97&lt;&gt;"","["&amp;W97&amp;"] "&amp;X97&amp;IF(Y97&lt;&gt;"", " ("&amp;Y97&amp;")",""),"Nenhuma intervenção registrada hoje.")&amp;CHAR(10)&amp;CHAR(10)&amp;"4. Plano Terapêutico"&amp;CHAR(10)&amp;IF(AB97&lt;&gt;"",AB97,"Não definido.")</f>
      </c>
    </row>
    <row r="98" spans="3:29" x14ac:dyDescent="0.25">
      <c r="AC98">
        <f>"1. Evolução Clínica"&amp;CHAR(10)&amp;TEXTJOIN(" ",TRUE,"Paciente "&amp;F98&amp;", "&amp;IF(G98="","sem DVA","em uso de "&amp;G98)&amp;".",IF(H98&lt;&gt;"","Em "&amp;H98&amp;IF(AND(H98="VMI",I98&lt;&gt;"")," por "&amp;I98,"")&amp;IF(J98&lt;&gt;""," ("&amp;J98&amp;")","")&amp;IF(K98&lt;&gt;"", ", "&amp;K98,"")&amp;IF(L98&lt;&gt;"", ", sob analgosedação com "&amp;L98,"")&amp;".",""),IF(M98&lt;&gt;"","Dieta "&amp;M98&amp;IF(N98&lt;&gt;"", ", com "&amp;LOWER(N98),"")&amp;IF(O98&lt;&gt;"", " — "&amp;O98,"")&amp;".",""),IF(P98="Febre","Apresentou episódio febril nas últimas 24h"&amp;IF(Q98&lt;&gt;""," ("&amp;Q98&amp;")","")&amp;".",IF(P98="Afebril","Encontra-se afebril.","")),IF(R98&lt;&gt;"",IF(S98="Sim","Apresenta disfunção renal aguda ","Função renal preservada ")&amp;"("&amp;R98&amp;").",""),IF(T98&lt;&gt;"","Em uso do esquema antimicrobiano com "&amp;T98&amp;".",""),IF(U98&lt;&gt;"","Em uso de profilaxia: "&amp;U98&amp;".",""))&amp;CHAR(10)&amp;CHAR(10)&amp;"2. Farmacoterapia"&amp;CHAR(10)&amp;IF(V98&lt;&gt;"","Corticoide/DART: "&amp;V98,"Sem corticoide/DART registrado.")&amp;CHAR(10)&amp;CHAR(10)&amp;"3. Conduta Farmacêutica"&amp;CHAR(10)&amp;IF(X98&lt;&gt;"","["&amp;W98&amp;"] "&amp;X98&amp;IF(Y98&lt;&gt;"", " ("&amp;Y98&amp;")",""),"Nenhuma intervenção registrada hoje.")&amp;CHAR(10)&amp;CHAR(10)&amp;"4. Plano Terapêutico"&amp;CHAR(10)&amp;IF(AB98&lt;&gt;"",AB98,"Não definido.")</f>
      </c>
    </row>
    <row r="99" spans="3:29" x14ac:dyDescent="0.25">
      <c r="AC99">
        <f>"1. Evolução Clínica"&amp;CHAR(10)&amp;TEXTJOIN(" ",TRUE,"Paciente "&amp;F99&amp;", "&amp;IF(G99="","sem DVA","em uso de "&amp;G99)&amp;".",IF(H99&lt;&gt;"","Em "&amp;H99&amp;IF(AND(H99="VMI",I99&lt;&gt;"")," por "&amp;I99,"")&amp;IF(J99&lt;&gt;""," ("&amp;J99&amp;")","")&amp;IF(K99&lt;&gt;"", ", "&amp;K99,"")&amp;IF(L99&lt;&gt;"", ", sob analgosedação com "&amp;L99,"")&amp;".",""),IF(M99&lt;&gt;"","Dieta "&amp;M99&amp;IF(N99&lt;&gt;"", ", com "&amp;LOWER(N99),"")&amp;IF(O99&lt;&gt;"", " — "&amp;O99,"")&amp;".",""),IF(P99="Febre","Apresentou episódio febril nas últimas 24h"&amp;IF(Q99&lt;&gt;""," ("&amp;Q99&amp;")","")&amp;".",IF(P99="Afebril","Encontra-se afebril.","")),IF(R99&lt;&gt;"",IF(S99="Sim","Apresenta disfunção renal aguda ","Função renal preservada ")&amp;"("&amp;R99&amp;").",""),IF(T99&lt;&gt;"","Em uso do esquema antimicrobiano com "&amp;T99&amp;".",""),IF(U99&lt;&gt;"","Em uso de profilaxia: "&amp;U99&amp;".",""))&amp;CHAR(10)&amp;CHAR(10)&amp;"2. Farmacoterapia"&amp;CHAR(10)&amp;IF(V99&lt;&gt;"","Corticoide/DART: "&amp;V99,"Sem corticoide/DART registrado.")&amp;CHAR(10)&amp;CHAR(10)&amp;"3. Conduta Farmacêutica"&amp;CHAR(10)&amp;IF(X99&lt;&gt;"","["&amp;W99&amp;"] "&amp;X99&amp;IF(Y99&lt;&gt;"", " ("&amp;Y99&amp;")",""),"Nenhuma intervenção registrada hoje.")&amp;CHAR(10)&amp;CHAR(10)&amp;"4. Plano Terapêutico"&amp;CHAR(10)&amp;IF(AB99&lt;&gt;"",AB99,"Não definido.")</f>
      </c>
    </row>
    <row r="100" spans="3:29" x14ac:dyDescent="0.25">
      <c r="AC100">
        <f>"1. Evolução Clínica"&amp;CHAR(10)&amp;TEXTJOIN(" ",TRUE,"Paciente "&amp;F100&amp;", "&amp;IF(G100="","sem DVA","em uso de "&amp;G100)&amp;".",IF(H100&lt;&gt;"","Em "&amp;H100&amp;IF(AND(H100="VMI",I100&lt;&gt;"")," por "&amp;I100,"")&amp;IF(J100&lt;&gt;""," ("&amp;J100&amp;")","")&amp;IF(K100&lt;&gt;"", ", "&amp;K100,"")&amp;IF(L100&lt;&gt;"", ", sob analgosedação com "&amp;L100,"")&amp;".",""),IF(M100&lt;&gt;"","Dieta "&amp;M100&amp;IF(N100&lt;&gt;"", ", com "&amp;LOWER(N100),"")&amp;IF(O100&lt;&gt;"", " — "&amp;O100,"")&amp;".",""),IF(P100="Febre","Apresentou episódio febril nas últimas 24h"&amp;IF(Q100&lt;&gt;""," ("&amp;Q100&amp;")","")&amp;".",IF(P100="Afebril","Encontra-se afebril.","")),IF(R100&lt;&gt;"",IF(S100="Sim","Apresenta disfunção renal aguda ","Função renal preservada ")&amp;"("&amp;R100&amp;").",""),IF(T100&lt;&gt;"","Em uso do esquema antimicrobiano com "&amp;T100&amp;".",""),IF(U100&lt;&gt;"","Em uso de profilaxia: "&amp;U100&amp;".",""))&amp;CHAR(10)&amp;CHAR(10)&amp;"2. Farmacoterapia"&amp;CHAR(10)&amp;IF(V100&lt;&gt;"","Corticoide/DART: "&amp;V100,"Sem corticoide/DART registrado.")&amp;CHAR(10)&amp;CHAR(10)&amp;"3. Conduta Farmacêutica"&amp;CHAR(10)&amp;IF(X100&lt;&gt;"","["&amp;W100&amp;"] "&amp;X100&amp;IF(Y100&lt;&gt;"", " ("&amp;Y100&amp;")",""),"Nenhuma intervenção registrada hoje.")&amp;CHAR(10)&amp;CHAR(10)&amp;"4. Plano Terapêutico"&amp;CHAR(10)&amp;IF(AB100&lt;&gt;"",AB100,"Não definido.")</f>
      </c>
    </row>
    <row r="101" spans="3:29" x14ac:dyDescent="0.25">
      <c r="AC101">
        <f>"1. Evolução Clínica"&amp;CHAR(10)&amp;TEXTJOIN(" ",TRUE,"Paciente "&amp;F101&amp;", "&amp;IF(G101="","sem DVA","em uso de "&amp;G101)&amp;".",IF(H101&lt;&gt;"","Em "&amp;H101&amp;IF(AND(H101="VMI",I101&lt;&gt;"")," por "&amp;I101,"")&amp;IF(J101&lt;&gt;""," ("&amp;J101&amp;")","")&amp;IF(K101&lt;&gt;"", ", "&amp;K101,"")&amp;IF(L101&lt;&gt;"", ", sob analgosedação com "&amp;L101,"")&amp;".",""),IF(M101&lt;&gt;"","Dieta "&amp;M101&amp;IF(N101&lt;&gt;"", ", com "&amp;LOWER(N101),"")&amp;IF(O101&lt;&gt;"", " — "&amp;O101,"")&amp;".",""),IF(P101="Febre","Apresentou episódio febril nas últimas 24h"&amp;IF(Q101&lt;&gt;""," ("&amp;Q101&amp;")","")&amp;".",IF(P101="Afebril","Encontra-se afebril.","")),IF(R101&lt;&gt;"",IF(S101="Sim","Apresenta disfunção renal aguda ","Função renal preservada ")&amp;"("&amp;R101&amp;").",""),IF(T101&lt;&gt;"","Em uso do esquema antimicrobiano com "&amp;T101&amp;".",""),IF(U101&lt;&gt;"","Em uso de profilaxia: "&amp;U101&amp;".",""))&amp;CHAR(10)&amp;CHAR(10)&amp;"2. Farmacoterapia"&amp;CHAR(10)&amp;IF(V101&lt;&gt;"","Corticoide/DART: "&amp;V101,"Sem corticoide/DART registrado.")&amp;CHAR(10)&amp;CHAR(10)&amp;"3. Conduta Farmacêutica"&amp;CHAR(10)&amp;IF(X101&lt;&gt;"","["&amp;W101&amp;"] "&amp;X101&amp;IF(Y101&lt;&gt;"", " ("&amp;Y101&amp;")",""),"Nenhuma intervenção registrada hoje.")&amp;CHAR(10)&amp;CHAR(10)&amp;"4. Plano Terapêutico"&amp;CHAR(10)&amp;IF(AB101&lt;&gt;"",AB101,"Não definido.")</f>
      </c>
    </row>
    <row r="102" spans="3:29" x14ac:dyDescent="0.25">
      <c r="AC102">
        <f>"1. Evolução Clínica"&amp;CHAR(10)&amp;TEXTJOIN(" ",TRUE,"Paciente "&amp;F102&amp;", "&amp;IF(G102="","sem DVA","em uso de "&amp;G102)&amp;".",IF(H102&lt;&gt;"","Em "&amp;H102&amp;IF(AND(H102="VMI",I102&lt;&gt;"")," por "&amp;I102,"")&amp;IF(J102&lt;&gt;""," ("&amp;J102&amp;")","")&amp;IF(K102&lt;&gt;"", ", "&amp;K102,"")&amp;IF(L102&lt;&gt;"", ", sob analgosedação com "&amp;L102,"")&amp;".",""),IF(M102&lt;&gt;"","Dieta "&amp;M102&amp;IF(N102&lt;&gt;"", ", com "&amp;LOWER(N102),"")&amp;IF(O102&lt;&gt;"", " — "&amp;O102,"")&amp;".",""),IF(P102="Febre","Apresentou episódio febril nas últimas 24h"&amp;IF(Q102&lt;&gt;""," ("&amp;Q102&amp;")","")&amp;".",IF(P102="Afebril","Encontra-se afebril.","")),IF(R102&lt;&gt;"",IF(S102="Sim","Apresenta disfunção renal aguda ","Função renal preservada ")&amp;"("&amp;R102&amp;").",""),IF(T102&lt;&gt;"","Em uso do esquema antimicrobiano com "&amp;T102&amp;".",""),IF(U102&lt;&gt;"","Em uso de profilaxia: "&amp;U102&amp;".",""))&amp;CHAR(10)&amp;CHAR(10)&amp;"2. Farmacoterapia"&amp;CHAR(10)&amp;IF(V102&lt;&gt;"","Corticoide/DART: "&amp;V102,"Sem corticoide/DART registrado.")&amp;CHAR(10)&amp;CHAR(10)&amp;"3. Conduta Farmacêutica"&amp;CHAR(10)&amp;IF(X102&lt;&gt;"","["&amp;W102&amp;"] "&amp;X102&amp;IF(Y102&lt;&gt;"", " ("&amp;Y102&amp;")",""),"Nenhuma intervenção registrada hoje.")&amp;CHAR(10)&amp;CHAR(10)&amp;"4. Plano Terapêutico"&amp;CHAR(10)&amp;IF(AB102&lt;&gt;"",AB102,"Não definido.")</f>
      </c>
    </row>
    <row r="103" spans="3:29" x14ac:dyDescent="0.25">
      <c r="AC103">
        <f>"1. Evolução Clínica"&amp;CHAR(10)&amp;TEXTJOIN(" ",TRUE,"Paciente "&amp;F103&amp;", "&amp;IF(G103="","sem DVA","em uso de "&amp;G103)&amp;".",IF(H103&lt;&gt;"","Em "&amp;H103&amp;IF(AND(H103="VMI",I103&lt;&gt;"")," por "&amp;I103,"")&amp;IF(J103&lt;&gt;""," ("&amp;J103&amp;")","")&amp;IF(K103&lt;&gt;"", ", "&amp;K103,"")&amp;IF(L103&lt;&gt;"", ", sob analgosedação com "&amp;L103,"")&amp;".",""),IF(M103&lt;&gt;"","Dieta "&amp;M103&amp;IF(N103&lt;&gt;"", ", com "&amp;LOWER(N103),"")&amp;IF(O103&lt;&gt;"", " — "&amp;O103,"")&amp;".",""),IF(P103="Febre","Apresentou episódio febril nas últimas 24h"&amp;IF(Q103&lt;&gt;""," ("&amp;Q103&amp;")","")&amp;".",IF(P103="Afebril","Encontra-se afebril.","")),IF(R103&lt;&gt;"",IF(S103="Sim","Apresenta disfunção renal aguda ","Função renal preservada ")&amp;"("&amp;R103&amp;").",""),IF(T103&lt;&gt;"","Em uso do esquema antimicrobiano com "&amp;T103&amp;".",""),IF(U103&lt;&gt;"","Em uso de profilaxia: "&amp;U103&amp;".",""))&amp;CHAR(10)&amp;CHAR(10)&amp;"2. Farmacoterapia"&amp;CHAR(10)&amp;IF(V103&lt;&gt;"","Corticoide/DART: "&amp;V103,"Sem corticoide/DART registrado.")&amp;CHAR(10)&amp;CHAR(10)&amp;"3. Conduta Farmacêutica"&amp;CHAR(10)&amp;IF(X103&lt;&gt;"","["&amp;W103&amp;"] "&amp;X103&amp;IF(Y103&lt;&gt;"", " ("&amp;Y103&amp;")",""),"Nenhuma intervenção registrada hoje.")&amp;CHAR(10)&amp;CHAR(10)&amp;"4. Plano Terapêutico"&amp;CHAR(10)&amp;IF(AB103&lt;&gt;"",AB103,"Não definido.")</f>
      </c>
    </row>
    <row r="104" spans="3:29" x14ac:dyDescent="0.25">
      <c r="AC104">
        <f>"1. Evolução Clínica"&amp;CHAR(10)&amp;TEXTJOIN(" ",TRUE,"Paciente "&amp;F104&amp;", "&amp;IF(G104="","sem DVA","em uso de "&amp;G104)&amp;".",IF(H104&lt;&gt;"","Em "&amp;H104&amp;IF(AND(H104="VMI",I104&lt;&gt;"")," por "&amp;I104,"")&amp;IF(J104&lt;&gt;""," ("&amp;J104&amp;")","")&amp;IF(K104&lt;&gt;"", ", "&amp;K104,"")&amp;IF(L104&lt;&gt;"", ", sob analgosedação com "&amp;L104,"")&amp;".",""),IF(M104&lt;&gt;"","Dieta "&amp;M104&amp;IF(N104&lt;&gt;"", ", com "&amp;LOWER(N104),"")&amp;IF(O104&lt;&gt;"", " — "&amp;O104,"")&amp;".",""),IF(P104="Febre","Apresentou episódio febril nas últimas 24h"&amp;IF(Q104&lt;&gt;""," ("&amp;Q104&amp;")","")&amp;".",IF(P104="Afebril","Encontra-se afebril.","")),IF(R104&lt;&gt;"",IF(S104="Sim","Apresenta disfunção renal aguda ","Função renal preservada ")&amp;"("&amp;R104&amp;").",""),IF(T104&lt;&gt;"","Em uso do esquema antimicrobiano com "&amp;T104&amp;".",""),IF(U104&lt;&gt;"","Em uso de profilaxia: "&amp;U104&amp;".",""))&amp;CHAR(10)&amp;CHAR(10)&amp;"2. Farmacoterapia"&amp;CHAR(10)&amp;IF(V104&lt;&gt;"","Corticoide/DART: "&amp;V104,"Sem corticoide/DART registrado.")&amp;CHAR(10)&amp;CHAR(10)&amp;"3. Conduta Farmacêutica"&amp;CHAR(10)&amp;IF(X104&lt;&gt;"","["&amp;W104&amp;"] "&amp;X104&amp;IF(Y104&lt;&gt;"", " ("&amp;Y104&amp;")",""),"Nenhuma intervenção registrada hoje.")&amp;CHAR(10)&amp;CHAR(10)&amp;"4. Plano Terapêutico"&amp;CHAR(10)&amp;IF(AB104&lt;&gt;"",AB104,"Não definido.")</f>
      </c>
    </row>
    <row r="105" spans="3:29" x14ac:dyDescent="0.25">
      <c r="AC105">
        <f>"1. Evolução Clínica"&amp;CHAR(10)&amp;TEXTJOIN(" ",TRUE,"Paciente "&amp;F105&amp;", "&amp;IF(G105="","sem DVA","em uso de "&amp;G105)&amp;".",IF(H105&lt;&gt;"","Em "&amp;H105&amp;IF(AND(H105="VMI",I105&lt;&gt;"")," por "&amp;I105,"")&amp;IF(J105&lt;&gt;""," ("&amp;J105&amp;")","")&amp;IF(K105&lt;&gt;"", ", "&amp;K105,"")&amp;IF(L105&lt;&gt;"", ", sob analgosedação com "&amp;L105,"")&amp;".",""),IF(M105&lt;&gt;"","Dieta "&amp;M105&amp;IF(N105&lt;&gt;"", ", com "&amp;LOWER(N105),"")&amp;IF(O105&lt;&gt;"", " — "&amp;O105,"")&amp;".",""),IF(P105="Febre","Apresentou episódio febril nas últimas 24h"&amp;IF(Q105&lt;&gt;""," ("&amp;Q105&amp;")","")&amp;".",IF(P105="Afebril","Encontra-se afebril.","")),IF(R105&lt;&gt;"",IF(S105="Sim","Apresenta disfunção renal aguda ","Função renal preservada ")&amp;"("&amp;R105&amp;").",""),IF(T105&lt;&gt;"","Em uso do esquema antimicrobiano com "&amp;T105&amp;".",""),IF(U105&lt;&gt;"","Em uso de profilaxia: "&amp;U105&amp;".",""))&amp;CHAR(10)&amp;CHAR(10)&amp;"2. Farmacoterapia"&amp;CHAR(10)&amp;IF(V105&lt;&gt;"","Corticoide/DART: "&amp;V105,"Sem corticoide/DART registrado.")&amp;CHAR(10)&amp;CHAR(10)&amp;"3. Conduta Farmacêutica"&amp;CHAR(10)&amp;IF(X105&lt;&gt;"","["&amp;W105&amp;"] "&amp;X105&amp;IF(Y105&lt;&gt;"", " ("&amp;Y105&amp;")",""),"Nenhuma intervenção registrada hoje.")&amp;CHAR(10)&amp;CHAR(10)&amp;"4. Plano Terapêutico"&amp;CHAR(10)&amp;IF(AB105&lt;&gt;"",AB105,"Não definido.")</f>
      </c>
    </row>
    <row r="106" spans="3:29" x14ac:dyDescent="0.25">
      <c r="AC106">
        <f>"1. Evolução Clínica"&amp;CHAR(10)&amp;TEXTJOIN(" ",TRUE,"Paciente "&amp;F106&amp;", "&amp;IF(G106="","sem DVA","em uso de "&amp;G106)&amp;".",IF(H106&lt;&gt;"","Em "&amp;H106&amp;IF(AND(H106="VMI",I106&lt;&gt;"")," por "&amp;I106,"")&amp;IF(J106&lt;&gt;""," ("&amp;J106&amp;")","")&amp;IF(K106&lt;&gt;"", ", "&amp;K106,"")&amp;IF(L106&lt;&gt;"", ", sob analgosedação com "&amp;L106,"")&amp;".",""),IF(M106&lt;&gt;"","Dieta "&amp;M106&amp;IF(N106&lt;&gt;"", ", com "&amp;LOWER(N106),"")&amp;IF(O106&lt;&gt;"", " — "&amp;O106,"")&amp;".",""),IF(P106="Febre","Apresentou episódio febril nas últimas 24h"&amp;IF(Q106&lt;&gt;""," ("&amp;Q106&amp;")","")&amp;".",IF(P106="Afebril","Encontra-se afebril.","")),IF(R106&lt;&gt;"",IF(S106="Sim","Apresenta disfunção renal aguda ","Função renal preservada ")&amp;"("&amp;R106&amp;").",""),IF(T106&lt;&gt;"","Em uso do esquema antimicrobiano com "&amp;T106&amp;".",""),IF(U106&lt;&gt;"","Em uso de profilaxia: "&amp;U106&amp;".",""))&amp;CHAR(10)&amp;CHAR(10)&amp;"2. Farmacoterapia"&amp;CHAR(10)&amp;IF(V106&lt;&gt;"","Corticoide/DART: "&amp;V106,"Sem corticoide/DART registrado.")&amp;CHAR(10)&amp;CHAR(10)&amp;"3. Conduta Farmacêutica"&amp;CHAR(10)&amp;IF(X106&lt;&gt;"","["&amp;W106&amp;"] "&amp;X106&amp;IF(Y106&lt;&gt;"", " ("&amp;Y106&amp;")",""),"Nenhuma intervenção registrada hoje.")&amp;CHAR(10)&amp;CHAR(10)&amp;"4. Plano Terapêutico"&amp;CHAR(10)&amp;IF(AB106&lt;&gt;"",AB106,"Não definido.")</f>
      </c>
    </row>
    <row r="107" spans="3:29" x14ac:dyDescent="0.25">
      <c r="AC107">
        <f>"1. Evolução Clínica"&amp;CHAR(10)&amp;TEXTJOIN(" ",TRUE,"Paciente "&amp;F107&amp;", "&amp;IF(G107="","sem DVA","em uso de "&amp;G107)&amp;".",IF(H107&lt;&gt;"","Em "&amp;H107&amp;IF(AND(H107="VMI",I107&lt;&gt;"")," por "&amp;I107,"")&amp;IF(J107&lt;&gt;""," ("&amp;J107&amp;")","")&amp;IF(K107&lt;&gt;"", ", "&amp;K107,"")&amp;IF(L107&lt;&gt;"", ", sob analgosedação com "&amp;L107,"")&amp;".",""),IF(M107&lt;&gt;"","Dieta "&amp;M107&amp;IF(N107&lt;&gt;"", ", com "&amp;LOWER(N107),"")&amp;IF(O107&lt;&gt;"", " — "&amp;O107,"")&amp;".",""),IF(P107="Febre","Apresentou episódio febril nas últimas 24h"&amp;IF(Q107&lt;&gt;""," ("&amp;Q107&amp;")","")&amp;".",IF(P107="Afebril","Encontra-se afebril.","")),IF(R107&lt;&gt;"",IF(S107="Sim","Apresenta disfunção renal aguda ","Função renal preservada ")&amp;"("&amp;R107&amp;").",""),IF(T107&lt;&gt;"","Em uso do esquema antimicrobiano com "&amp;T107&amp;".",""),IF(U107&lt;&gt;"","Em uso de profilaxia: "&amp;U107&amp;".",""))&amp;CHAR(10)&amp;CHAR(10)&amp;"2. Farmacoterapia"&amp;CHAR(10)&amp;IF(V107&lt;&gt;"","Corticoide/DART: "&amp;V107,"Sem corticoide/DART registrado.")&amp;CHAR(10)&amp;CHAR(10)&amp;"3. Conduta Farmacêutica"&amp;CHAR(10)&amp;IF(X107&lt;&gt;"","["&amp;W107&amp;"] "&amp;X107&amp;IF(Y107&lt;&gt;"", " ("&amp;Y107&amp;")",""),"Nenhuma intervenção registrada hoje.")&amp;CHAR(10)&amp;CHAR(10)&amp;"4. Plano Terapêutico"&amp;CHAR(10)&amp;IF(AB107&lt;&gt;"",AB107,"Não definido.")</f>
      </c>
    </row>
    <row r="108" spans="3:29" x14ac:dyDescent="0.25">
      <c r="AC108">
        <f>"1. Evolução Clínica"&amp;CHAR(10)&amp;TEXTJOIN(" ",TRUE,"Paciente "&amp;F108&amp;", "&amp;IF(G108="","sem DVA","em uso de "&amp;G108)&amp;".",IF(H108&lt;&gt;"","Em "&amp;H108&amp;IF(AND(H108="VMI",I108&lt;&gt;"")," por "&amp;I108,"")&amp;IF(J108&lt;&gt;""," ("&amp;J108&amp;")","")&amp;IF(K108&lt;&gt;"", ", "&amp;K108,"")&amp;IF(L108&lt;&gt;"", ", sob analgosedação com "&amp;L108,"")&amp;".",""),IF(M108&lt;&gt;"","Dieta "&amp;M108&amp;IF(N108&lt;&gt;"", ", com "&amp;LOWER(N108),"")&amp;IF(O108&lt;&gt;"", " — "&amp;O108,"")&amp;".",""),IF(P108="Febre","Apresentou episódio febril nas últimas 24h"&amp;IF(Q108&lt;&gt;""," ("&amp;Q108&amp;")","")&amp;".",IF(P108="Afebril","Encontra-se afebril.","")),IF(R108&lt;&gt;"",IF(S108="Sim","Apresenta disfunção renal aguda ","Função renal preservada ")&amp;"("&amp;R108&amp;").",""),IF(T108&lt;&gt;"","Em uso do esquema antimicrobiano com "&amp;T108&amp;".",""),IF(U108&lt;&gt;"","Em uso de profilaxia: "&amp;U108&amp;".",""))&amp;CHAR(10)&amp;CHAR(10)&amp;"2. Farmacoterapia"&amp;CHAR(10)&amp;IF(V108&lt;&gt;"","Corticoide/DART: "&amp;V108,"Sem corticoide/DART registrado.")&amp;CHAR(10)&amp;CHAR(10)&amp;"3. Conduta Farmacêutica"&amp;CHAR(10)&amp;IF(X108&lt;&gt;"","["&amp;W108&amp;"] "&amp;X108&amp;IF(Y108&lt;&gt;"", " ("&amp;Y108&amp;")",""),"Nenhuma intervenção registrada hoje.")&amp;CHAR(10)&amp;CHAR(10)&amp;"4. Plano Terapêutico"&amp;CHAR(10)&amp;IF(AB108&lt;&gt;"",AB108,"Não definido.")</f>
      </c>
    </row>
    <row r="109" spans="3:29" x14ac:dyDescent="0.25">
      <c r="AC109">
        <f>"1. Evolução Clínica"&amp;CHAR(10)&amp;TEXTJOIN(" ",TRUE,"Paciente "&amp;F109&amp;", "&amp;IF(G109="","sem DVA","em uso de "&amp;G109)&amp;".",IF(H109&lt;&gt;"","Em "&amp;H109&amp;IF(AND(H109="VMI",I109&lt;&gt;"")," por "&amp;I109,"")&amp;IF(J109&lt;&gt;""," ("&amp;J109&amp;")","")&amp;IF(K109&lt;&gt;"", ", "&amp;K109,"")&amp;IF(L109&lt;&gt;"", ", sob analgosedação com "&amp;L109,"")&amp;".",""),IF(M109&lt;&gt;"","Dieta "&amp;M109&amp;IF(N109&lt;&gt;"", ", com "&amp;LOWER(N109),"")&amp;IF(O109&lt;&gt;"", " — "&amp;O109,"")&amp;".",""),IF(P109="Febre","Apresentou episódio febril nas últimas 24h"&amp;IF(Q109&lt;&gt;""," ("&amp;Q109&amp;")","")&amp;".",IF(P109="Afebril","Encontra-se afebril.","")),IF(R109&lt;&gt;"",IF(S109="Sim","Apresenta disfunção renal aguda ","Função renal preservada ")&amp;"("&amp;R109&amp;").",""),IF(T109&lt;&gt;"","Em uso do esquema antimicrobiano com "&amp;T109&amp;".",""),IF(U109&lt;&gt;"","Em uso de profilaxia: "&amp;U109&amp;".",""))&amp;CHAR(10)&amp;CHAR(10)&amp;"2. Farmacoterapia"&amp;CHAR(10)&amp;IF(V109&lt;&gt;"","Corticoide/DART: "&amp;V109,"Sem corticoide/DART registrado.")&amp;CHAR(10)&amp;CHAR(10)&amp;"3. Conduta Farmacêutica"&amp;CHAR(10)&amp;IF(X109&lt;&gt;"","["&amp;W109&amp;"] "&amp;X109&amp;IF(Y109&lt;&gt;"", " ("&amp;Y109&amp;")",""),"Nenhuma intervenção registrada hoje.")&amp;CHAR(10)&amp;CHAR(10)&amp;"4. Plano Terapêutico"&amp;CHAR(10)&amp;IF(AB109&lt;&gt;"",AB109,"Não definido.")</f>
      </c>
    </row>
    <row r="110" spans="3:29" x14ac:dyDescent="0.25">
      <c r="AC110">
        <f>"1. Evolução Clínica"&amp;CHAR(10)&amp;TEXTJOIN(" ",TRUE,"Paciente "&amp;F110&amp;", "&amp;IF(G110="","sem DVA","em uso de "&amp;G110)&amp;".",IF(H110&lt;&gt;"","Em "&amp;H110&amp;IF(AND(H110="VMI",I110&lt;&gt;"")," por "&amp;I110,"")&amp;IF(J110&lt;&gt;""," ("&amp;J110&amp;")","")&amp;IF(K110&lt;&gt;"", ", "&amp;K110,"")&amp;IF(L110&lt;&gt;"", ", sob analgosedação com "&amp;L110,"")&amp;".",""),IF(M110&lt;&gt;"","Dieta "&amp;M110&amp;IF(N110&lt;&gt;"", ", com "&amp;LOWER(N110),"")&amp;IF(O110&lt;&gt;"", " — "&amp;O110,"")&amp;".",""),IF(P110="Febre","Apresentou episódio febril nas últimas 24h"&amp;IF(Q110&lt;&gt;""," ("&amp;Q110&amp;")","")&amp;".",IF(P110="Afebril","Encontra-se afebril.","")),IF(R110&lt;&gt;"",IF(S110="Sim","Apresenta disfunção renal aguda ","Função renal preservada ")&amp;"("&amp;R110&amp;").",""),IF(T110&lt;&gt;"","Em uso do esquema antimicrobiano com "&amp;T110&amp;".",""),IF(U110&lt;&gt;"","Em uso de profilaxia: "&amp;U110&amp;".",""))&amp;CHAR(10)&amp;CHAR(10)&amp;"2. Farmacoterapia"&amp;CHAR(10)&amp;IF(V110&lt;&gt;"","Corticoide/DART: "&amp;V110,"Sem corticoide/DART registrado.")&amp;CHAR(10)&amp;CHAR(10)&amp;"3. Conduta Farmacêutica"&amp;CHAR(10)&amp;IF(X110&lt;&gt;"","["&amp;W110&amp;"] "&amp;X110&amp;IF(Y110&lt;&gt;"", " ("&amp;Y110&amp;")",""),"Nenhuma intervenção registrada hoje.")&amp;CHAR(10)&amp;CHAR(10)&amp;"4. Plano Terapêutico"&amp;CHAR(10)&amp;IF(AB110&lt;&gt;"",AB110,"Não definido.")</f>
      </c>
    </row>
    <row r="111" spans="3:29" x14ac:dyDescent="0.25">
      <c r="AC111">
        <f>"1. Evolução Clínica"&amp;CHAR(10)&amp;TEXTJOIN(" ",TRUE,"Paciente "&amp;F111&amp;", "&amp;IF(G111="","sem DVA","em uso de "&amp;G111)&amp;".",IF(H111&lt;&gt;"","Em "&amp;H111&amp;IF(AND(H111="VMI",I111&lt;&gt;"")," por "&amp;I111,"")&amp;IF(J111&lt;&gt;""," ("&amp;J111&amp;")","")&amp;IF(K111&lt;&gt;"", ", "&amp;K111,"")&amp;IF(L111&lt;&gt;"", ", sob analgosedação com "&amp;L111,"")&amp;".",""),IF(M111&lt;&gt;"","Dieta "&amp;M111&amp;IF(N111&lt;&gt;"", ", com "&amp;LOWER(N111),"")&amp;IF(O111&lt;&gt;"", " — "&amp;O111,"")&amp;".",""),IF(P111="Febre","Apresentou episódio febril nas últimas 24h"&amp;IF(Q111&lt;&gt;""," ("&amp;Q111&amp;")","")&amp;".",IF(P111="Afebril","Encontra-se afebril.","")),IF(R111&lt;&gt;"",IF(S111="Sim","Apresenta disfunção renal aguda ","Função renal preservada ")&amp;"("&amp;R111&amp;").",""),IF(T111&lt;&gt;"","Em uso do esquema antimicrobiano com "&amp;T111&amp;".",""),IF(U111&lt;&gt;"","Em uso de profilaxia: "&amp;U111&amp;".",""))&amp;CHAR(10)&amp;CHAR(10)&amp;"2. Farmacoterapia"&amp;CHAR(10)&amp;IF(V111&lt;&gt;"","Corticoide/DART: "&amp;V111,"Sem corticoide/DART registrado.")&amp;CHAR(10)&amp;CHAR(10)&amp;"3. Conduta Farmacêutica"&amp;CHAR(10)&amp;IF(X111&lt;&gt;"","["&amp;W111&amp;"] "&amp;X111&amp;IF(Y111&lt;&gt;"", " ("&amp;Y111&amp;")",""),"Nenhuma intervenção registrada hoje.")&amp;CHAR(10)&amp;CHAR(10)&amp;"4. Plano Terapêutico"&amp;CHAR(10)&amp;IF(AB111&lt;&gt;"",AB111,"Não definido.")</f>
      </c>
    </row>
    <row r="112" spans="3:29" x14ac:dyDescent="0.25">
      <c r="AC112">
        <f>"1. Evolução Clínica"&amp;CHAR(10)&amp;TEXTJOIN(" ",TRUE,"Paciente "&amp;F112&amp;", "&amp;IF(G112="","sem DVA","em uso de "&amp;G112)&amp;".",IF(H112&lt;&gt;"","Em "&amp;H112&amp;IF(AND(H112="VMI",I112&lt;&gt;"")," por "&amp;I112,"")&amp;IF(J112&lt;&gt;""," ("&amp;J112&amp;")","")&amp;IF(K112&lt;&gt;"", ", "&amp;K112,"")&amp;IF(L112&lt;&gt;"", ", sob analgosedação com "&amp;L112,"")&amp;".",""),IF(M112&lt;&gt;"","Dieta "&amp;M112&amp;IF(N112&lt;&gt;"", ", com "&amp;LOWER(N112),"")&amp;IF(O112&lt;&gt;"", " — "&amp;O112,"")&amp;".",""),IF(P112="Febre","Apresentou episódio febril nas últimas 24h"&amp;IF(Q112&lt;&gt;""," ("&amp;Q112&amp;")","")&amp;".",IF(P112="Afebril","Encontra-se afebril.","")),IF(R112&lt;&gt;"",IF(S112="Sim","Apresenta disfunção renal aguda ","Função renal preservada ")&amp;"("&amp;R112&amp;").",""),IF(T112&lt;&gt;"","Em uso do esquema antimicrobiano com "&amp;T112&amp;".",""),IF(U112&lt;&gt;"","Em uso de profilaxia: "&amp;U112&amp;".",""))&amp;CHAR(10)&amp;CHAR(10)&amp;"2. Farmacoterapia"&amp;CHAR(10)&amp;IF(V112&lt;&gt;"","Corticoide/DART: "&amp;V112,"Sem corticoide/DART registrado.")&amp;CHAR(10)&amp;CHAR(10)&amp;"3. Conduta Farmacêutica"&amp;CHAR(10)&amp;IF(X112&lt;&gt;"","["&amp;W112&amp;"] "&amp;X112&amp;IF(Y112&lt;&gt;"", " ("&amp;Y112&amp;")",""),"Nenhuma intervenção registrada hoje.")&amp;CHAR(10)&amp;CHAR(10)&amp;"4. Plano Terapêutico"&amp;CHAR(10)&amp;IF(AB112&lt;&gt;"",AB112,"Não definido.")</f>
      </c>
    </row>
    <row r="113" spans="3:29" x14ac:dyDescent="0.25">
      <c r="AC113">
        <f>"1. Evolução Clínica"&amp;CHAR(10)&amp;TEXTJOIN(" ",TRUE,"Paciente "&amp;F113&amp;", "&amp;IF(G113="","sem DVA","em uso de "&amp;G113)&amp;".",IF(H113&lt;&gt;"","Em "&amp;H113&amp;IF(AND(H113="VMI",I113&lt;&gt;"")," por "&amp;I113,"")&amp;IF(J113&lt;&gt;""," ("&amp;J113&amp;")","")&amp;IF(K113&lt;&gt;"", ", "&amp;K113,"")&amp;IF(L113&lt;&gt;"", ", sob analgosedação com "&amp;L113,"")&amp;".",""),IF(M113&lt;&gt;"","Dieta "&amp;M113&amp;IF(N113&lt;&gt;"", ", com "&amp;LOWER(N113),"")&amp;IF(O113&lt;&gt;"", " — "&amp;O113,"")&amp;".",""),IF(P113="Febre","Apresentou episódio febril nas últimas 24h"&amp;IF(Q113&lt;&gt;""," ("&amp;Q113&amp;")","")&amp;".",IF(P113="Afebril","Encontra-se afebril.","")),IF(R113&lt;&gt;"",IF(S113="Sim","Apresenta disfunção renal aguda ","Função renal preservada ")&amp;"("&amp;R113&amp;").",""),IF(T113&lt;&gt;"","Em uso do esquema antimicrobiano com "&amp;T113&amp;".",""),IF(U113&lt;&gt;"","Em uso de profilaxia: "&amp;U113&amp;".",""))&amp;CHAR(10)&amp;CHAR(10)&amp;"2. Farmacoterapia"&amp;CHAR(10)&amp;IF(V113&lt;&gt;"","Corticoide/DART: "&amp;V113,"Sem corticoide/DART registrado.")&amp;CHAR(10)&amp;CHAR(10)&amp;"3. Conduta Farmacêutica"&amp;CHAR(10)&amp;IF(X113&lt;&gt;"","["&amp;W113&amp;"] "&amp;X113&amp;IF(Y113&lt;&gt;"", " ("&amp;Y113&amp;")",""),"Nenhuma intervenção registrada hoje.")&amp;CHAR(10)&amp;CHAR(10)&amp;"4. Plano Terapêutico"&amp;CHAR(10)&amp;IF(AB113&lt;&gt;"",AB113,"Não definido.")</f>
      </c>
    </row>
    <row r="114" spans="3:29" x14ac:dyDescent="0.25">
      <c r="AC114">
        <f>"1. Evolução Clínica"&amp;CHAR(10)&amp;TEXTJOIN(" ",TRUE,"Paciente "&amp;F114&amp;", "&amp;IF(G114="","sem DVA","em uso de "&amp;G114)&amp;".",IF(H114&lt;&gt;"","Em "&amp;H114&amp;IF(AND(H114="VMI",I114&lt;&gt;"")," por "&amp;I114,"")&amp;IF(J114&lt;&gt;""," ("&amp;J114&amp;")","")&amp;IF(K114&lt;&gt;"", ", "&amp;K114,"")&amp;IF(L114&lt;&gt;"", ", sob analgosedação com "&amp;L114,"")&amp;".",""),IF(M114&lt;&gt;"","Dieta "&amp;M114&amp;IF(N114&lt;&gt;"", ", com "&amp;LOWER(N114),"")&amp;IF(O114&lt;&gt;"", " — "&amp;O114,"")&amp;".",""),IF(P114="Febre","Apresentou episódio febril nas últimas 24h"&amp;IF(Q114&lt;&gt;""," ("&amp;Q114&amp;")","")&amp;".",IF(P114="Afebril","Encontra-se afebril.","")),IF(R114&lt;&gt;"",IF(S114="Sim","Apresenta disfunção renal aguda ","Função renal preservada ")&amp;"("&amp;R114&amp;").",""),IF(T114&lt;&gt;"","Em uso do esquema antimicrobiano com "&amp;T114&amp;".",""),IF(U114&lt;&gt;"","Em uso de profilaxia: "&amp;U114&amp;".",""))&amp;CHAR(10)&amp;CHAR(10)&amp;"2. Farmacoterapia"&amp;CHAR(10)&amp;IF(V114&lt;&gt;"","Corticoide/DART: "&amp;V114,"Sem corticoide/DART registrado.")&amp;CHAR(10)&amp;CHAR(10)&amp;"3. Conduta Farmacêutica"&amp;CHAR(10)&amp;IF(X114&lt;&gt;"","["&amp;W114&amp;"] "&amp;X114&amp;IF(Y114&lt;&gt;"", " ("&amp;Y114&amp;")",""),"Nenhuma intervenção registrada hoje.")&amp;CHAR(10)&amp;CHAR(10)&amp;"4. Plano Terapêutico"&amp;CHAR(10)&amp;IF(AB114&lt;&gt;"",AB114,"Não definido.")</f>
      </c>
    </row>
    <row r="115" spans="3:29" x14ac:dyDescent="0.25">
      <c r="AC115">
        <f>"1. Evolução Clínica"&amp;CHAR(10)&amp;TEXTJOIN(" ",TRUE,"Paciente "&amp;F115&amp;", "&amp;IF(G115="","sem DVA","em uso de "&amp;G115)&amp;".",IF(H115&lt;&gt;"","Em "&amp;H115&amp;IF(AND(H115="VMI",I115&lt;&gt;"")," por "&amp;I115,"")&amp;IF(J115&lt;&gt;""," ("&amp;J115&amp;")","")&amp;IF(K115&lt;&gt;"", ", "&amp;K115,"")&amp;IF(L115&lt;&gt;"", ", sob analgosedação com "&amp;L115,"")&amp;".",""),IF(M115&lt;&gt;"","Dieta "&amp;M115&amp;IF(N115&lt;&gt;"", ", com "&amp;LOWER(N115),"")&amp;IF(O115&lt;&gt;"", " — "&amp;O115,"")&amp;".",""),IF(P115="Febre","Apresentou episódio febril nas últimas 24h"&amp;IF(Q115&lt;&gt;""," ("&amp;Q115&amp;")","")&amp;".",IF(P115="Afebril","Encontra-se afebril.","")),IF(R115&lt;&gt;"",IF(S115="Sim","Apresenta disfunção renal aguda ","Função renal preservada ")&amp;"("&amp;R115&amp;").",""),IF(T115&lt;&gt;"","Em uso do esquema antimicrobiano com "&amp;T115&amp;".",""),IF(U115&lt;&gt;"","Em uso de profilaxia: "&amp;U115&amp;".",""))&amp;CHAR(10)&amp;CHAR(10)&amp;"2. Farmacoterapia"&amp;CHAR(10)&amp;IF(V115&lt;&gt;"","Corticoide/DART: "&amp;V115,"Sem corticoide/DART registrado.")&amp;CHAR(10)&amp;CHAR(10)&amp;"3. Conduta Farmacêutica"&amp;CHAR(10)&amp;IF(X115&lt;&gt;"","["&amp;W115&amp;"] "&amp;X115&amp;IF(Y115&lt;&gt;"", " ("&amp;Y115&amp;")",""),"Nenhuma intervenção registrada hoje.")&amp;CHAR(10)&amp;CHAR(10)&amp;"4. Plano Terapêutico"&amp;CHAR(10)&amp;IF(AB115&lt;&gt;"",AB115,"Não definido.")</f>
      </c>
    </row>
    <row r="116" spans="3:29" x14ac:dyDescent="0.25">
      <c r="AC116">
        <f>"1. Evolução Clínica"&amp;CHAR(10)&amp;TEXTJOIN(" ",TRUE,"Paciente "&amp;F116&amp;", "&amp;IF(G116="","sem DVA","em uso de "&amp;G116)&amp;".",IF(H116&lt;&gt;"","Em "&amp;H116&amp;IF(AND(H116="VMI",I116&lt;&gt;"")," por "&amp;I116,"")&amp;IF(J116&lt;&gt;""," ("&amp;J116&amp;")","")&amp;IF(K116&lt;&gt;"", ", "&amp;K116,"")&amp;IF(L116&lt;&gt;"", ", sob analgosedação com "&amp;L116,"")&amp;".",""),IF(M116&lt;&gt;"","Dieta "&amp;M116&amp;IF(N116&lt;&gt;"", ", com "&amp;LOWER(N116),"")&amp;IF(O116&lt;&gt;"", " — "&amp;O116,"")&amp;".",""),IF(P116="Febre","Apresentou episódio febril nas últimas 24h"&amp;IF(Q116&lt;&gt;""," ("&amp;Q116&amp;")","")&amp;".",IF(P116="Afebril","Encontra-se afebril.","")),IF(R116&lt;&gt;"",IF(S116="Sim","Apresenta disfunção renal aguda ","Função renal preservada ")&amp;"("&amp;R116&amp;").",""),IF(T116&lt;&gt;"","Em uso do esquema antimicrobiano com "&amp;T116&amp;".",""),IF(U116&lt;&gt;"","Em uso de profilaxia: "&amp;U116&amp;".",""))&amp;CHAR(10)&amp;CHAR(10)&amp;"2. Farmacoterapia"&amp;CHAR(10)&amp;IF(V116&lt;&gt;"","Corticoide/DART: "&amp;V116,"Sem corticoide/DART registrado.")&amp;CHAR(10)&amp;CHAR(10)&amp;"3. Conduta Farmacêutica"&amp;CHAR(10)&amp;IF(X116&lt;&gt;"","["&amp;W116&amp;"] "&amp;X116&amp;IF(Y116&lt;&gt;"", " ("&amp;Y116&amp;")",""),"Nenhuma intervenção registrada hoje.")&amp;CHAR(10)&amp;CHAR(10)&amp;"4. Plano Terapêutico"&amp;CHAR(10)&amp;IF(AB116&lt;&gt;"",AB116,"Não definido.")</f>
      </c>
    </row>
    <row r="117" spans="3:29" x14ac:dyDescent="0.25">
      <c r="AC117">
        <f>"1. Evolução Clínica"&amp;CHAR(10)&amp;TEXTJOIN(" ",TRUE,"Paciente "&amp;F117&amp;", "&amp;IF(G117="","sem DVA","em uso de "&amp;G117)&amp;".",IF(H117&lt;&gt;"","Em "&amp;H117&amp;IF(AND(H117="VMI",I117&lt;&gt;"")," por "&amp;I117,"")&amp;IF(J117&lt;&gt;""," ("&amp;J117&amp;")","")&amp;IF(K117&lt;&gt;"", ", "&amp;K117,"")&amp;IF(L117&lt;&gt;"", ", sob analgosedação com "&amp;L117,"")&amp;".",""),IF(M117&lt;&gt;"","Dieta "&amp;M117&amp;IF(N117&lt;&gt;"", ", com "&amp;LOWER(N117),"")&amp;IF(O117&lt;&gt;"", " — "&amp;O117,"")&amp;".",""),IF(P117="Febre","Apresentou episódio febril nas últimas 24h"&amp;IF(Q117&lt;&gt;""," ("&amp;Q117&amp;")","")&amp;".",IF(P117="Afebril","Encontra-se afebril.","")),IF(R117&lt;&gt;"",IF(S117="Sim","Apresenta disfunção renal aguda ","Função renal preservada ")&amp;"("&amp;R117&amp;").",""),IF(T117&lt;&gt;"","Em uso do esquema antimicrobiano com "&amp;T117&amp;".",""),IF(U117&lt;&gt;"","Em uso de profilaxia: "&amp;U117&amp;".",""))&amp;CHAR(10)&amp;CHAR(10)&amp;"2. Farmacoterapia"&amp;CHAR(10)&amp;IF(V117&lt;&gt;"","Corticoide/DART: "&amp;V117,"Sem corticoide/DART registrado.")&amp;CHAR(10)&amp;CHAR(10)&amp;"3. Conduta Farmacêutica"&amp;CHAR(10)&amp;IF(X117&lt;&gt;"","["&amp;W117&amp;"] "&amp;X117&amp;IF(Y117&lt;&gt;"", " ("&amp;Y117&amp;")",""),"Nenhuma intervenção registrada hoje.")&amp;CHAR(10)&amp;CHAR(10)&amp;"4. Plano Terapêutico"&amp;CHAR(10)&amp;IF(AB117&lt;&gt;"",AB117,"Não definido.")</f>
      </c>
    </row>
    <row r="118" spans="3:29" x14ac:dyDescent="0.25">
      <c r="AC118">
        <f>"1. Evolução Clínica"&amp;CHAR(10)&amp;TEXTJOIN(" ",TRUE,"Paciente "&amp;F118&amp;", "&amp;IF(G118="","sem DVA","em uso de "&amp;G118)&amp;".",IF(H118&lt;&gt;"","Em "&amp;H118&amp;IF(AND(H118="VMI",I118&lt;&gt;"")," por "&amp;I118,"")&amp;IF(J118&lt;&gt;""," ("&amp;J118&amp;")","")&amp;IF(K118&lt;&gt;"", ", "&amp;K118,"")&amp;IF(L118&lt;&gt;"", ", sob analgosedação com "&amp;L118,"")&amp;".",""),IF(M118&lt;&gt;"","Dieta "&amp;M118&amp;IF(N118&lt;&gt;"", ", com "&amp;LOWER(N118),"")&amp;IF(O118&lt;&gt;"", " — "&amp;O118,"")&amp;".",""),IF(P118="Febre","Apresentou episódio febril nas últimas 24h"&amp;IF(Q118&lt;&gt;""," ("&amp;Q118&amp;")","")&amp;".",IF(P118="Afebril","Encontra-se afebril.","")),IF(R118&lt;&gt;"",IF(S118="Sim","Apresenta disfunção renal aguda ","Função renal preservada ")&amp;"("&amp;R118&amp;").",""),IF(T118&lt;&gt;"","Em uso do esquema antimicrobiano com "&amp;T118&amp;".",""),IF(U118&lt;&gt;"","Em uso de profilaxia: "&amp;U118&amp;".",""))&amp;CHAR(10)&amp;CHAR(10)&amp;"2. Farmacoterapia"&amp;CHAR(10)&amp;IF(V118&lt;&gt;"","Corticoide/DART: "&amp;V118,"Sem corticoide/DART registrado.")&amp;CHAR(10)&amp;CHAR(10)&amp;"3. Conduta Farmacêutica"&amp;CHAR(10)&amp;IF(X118&lt;&gt;"","["&amp;W118&amp;"] "&amp;X118&amp;IF(Y118&lt;&gt;"", " ("&amp;Y118&amp;")",""),"Nenhuma intervenção registrada hoje.")&amp;CHAR(10)&amp;CHAR(10)&amp;"4. Plano Terapêutico"&amp;CHAR(10)&amp;IF(AB118&lt;&gt;"",AB118,"Não definido.")</f>
      </c>
    </row>
    <row r="119" spans="3:29" x14ac:dyDescent="0.25">
      <c r="AC119">
        <f>"1. Evolução Clínica"&amp;CHAR(10)&amp;TEXTJOIN(" ",TRUE,"Paciente "&amp;F119&amp;", "&amp;IF(G119="","sem DVA","em uso de "&amp;G119)&amp;".",IF(H119&lt;&gt;"","Em "&amp;H119&amp;IF(AND(H119="VMI",I119&lt;&gt;"")," por "&amp;I119,"")&amp;IF(J119&lt;&gt;""," ("&amp;J119&amp;")","")&amp;IF(K119&lt;&gt;"", ", "&amp;K119,"")&amp;IF(L119&lt;&gt;"", ", sob analgosedação com "&amp;L119,"")&amp;".",""),IF(M119&lt;&gt;"","Dieta "&amp;M119&amp;IF(N119&lt;&gt;"", ", com "&amp;LOWER(N119),"")&amp;IF(O119&lt;&gt;"", " — "&amp;O119,"")&amp;".",""),IF(P119="Febre","Apresentou episódio febril nas últimas 24h"&amp;IF(Q119&lt;&gt;""," ("&amp;Q119&amp;")","")&amp;".",IF(P119="Afebril","Encontra-se afebril.","")),IF(R119&lt;&gt;"",IF(S119="Sim","Apresenta disfunção renal aguda ","Função renal preservada ")&amp;"("&amp;R119&amp;").",""),IF(T119&lt;&gt;"","Em uso do esquema antimicrobiano com "&amp;T119&amp;".",""),IF(U119&lt;&gt;"","Em uso de profilaxia: "&amp;U119&amp;".",""))&amp;CHAR(10)&amp;CHAR(10)&amp;"2. Farmacoterapia"&amp;CHAR(10)&amp;IF(V119&lt;&gt;"","Corticoide/DART: "&amp;V119,"Sem corticoide/DART registrado.")&amp;CHAR(10)&amp;CHAR(10)&amp;"3. Conduta Farmacêutica"&amp;CHAR(10)&amp;IF(X119&lt;&gt;"","["&amp;W119&amp;"] "&amp;X119&amp;IF(Y119&lt;&gt;"", " ("&amp;Y119&amp;")",""),"Nenhuma intervenção registrada hoje.")&amp;CHAR(10)&amp;CHAR(10)&amp;"4. Plano Terapêutico"&amp;CHAR(10)&amp;IF(AB119&lt;&gt;"",AB119,"Não definido.")</f>
      </c>
    </row>
    <row r="120" spans="3:29" x14ac:dyDescent="0.25">
      <c r="AC120">
        <f>"1. Evolução Clínica"&amp;CHAR(10)&amp;TEXTJOIN(" ",TRUE,"Paciente "&amp;F120&amp;", "&amp;IF(G120="","sem DVA","em uso de "&amp;G120)&amp;".",IF(H120&lt;&gt;"","Em "&amp;H120&amp;IF(AND(H120="VMI",I120&lt;&gt;"")," por "&amp;I120,"")&amp;IF(J120&lt;&gt;""," ("&amp;J120&amp;")","")&amp;IF(K120&lt;&gt;"", ", "&amp;K120,"")&amp;IF(L120&lt;&gt;"", ", sob analgosedação com "&amp;L120,"")&amp;".",""),IF(M120&lt;&gt;"","Dieta "&amp;M120&amp;IF(N120&lt;&gt;"", ", com "&amp;LOWER(N120),"")&amp;IF(O120&lt;&gt;"", " — "&amp;O120,"")&amp;".",""),IF(P120="Febre","Apresentou episódio febril nas últimas 24h"&amp;IF(Q120&lt;&gt;""," ("&amp;Q120&amp;")","")&amp;".",IF(P120="Afebril","Encontra-se afebril.","")),IF(R120&lt;&gt;"",IF(S120="Sim","Apresenta disfunção renal aguda ","Função renal preservada ")&amp;"("&amp;R120&amp;").",""),IF(T120&lt;&gt;"","Em uso do esquema antimicrobiano com "&amp;T120&amp;".",""),IF(U120&lt;&gt;"","Em uso de profilaxia: "&amp;U120&amp;".",""))&amp;CHAR(10)&amp;CHAR(10)&amp;"2. Farmacoterapia"&amp;CHAR(10)&amp;IF(V120&lt;&gt;"","Corticoide/DART: "&amp;V120,"Sem corticoide/DART registrado.")&amp;CHAR(10)&amp;CHAR(10)&amp;"3. Conduta Farmacêutica"&amp;CHAR(10)&amp;IF(X120&lt;&gt;"","["&amp;W120&amp;"] "&amp;X120&amp;IF(Y120&lt;&gt;"", " ("&amp;Y120&amp;")",""),"Nenhuma intervenção registrada hoje.")&amp;CHAR(10)&amp;CHAR(10)&amp;"4. Plano Terapêutico"&amp;CHAR(10)&amp;IF(AB120&lt;&gt;"",AB120,"Não definido.")</f>
      </c>
    </row>
    <row r="121" spans="3:29" x14ac:dyDescent="0.25">
      <c r="AC121">
        <f>"1. Evolução Clínica"&amp;CHAR(10)&amp;TEXTJOIN(" ",TRUE,"Paciente "&amp;F121&amp;", "&amp;IF(G121="","sem DVA","em uso de "&amp;G121)&amp;".",IF(H121&lt;&gt;"","Em "&amp;H121&amp;IF(AND(H121="VMI",I121&lt;&gt;"")," por "&amp;I121,"")&amp;IF(J121&lt;&gt;""," ("&amp;J121&amp;")","")&amp;IF(K121&lt;&gt;"", ", "&amp;K121,"")&amp;IF(L121&lt;&gt;"", ", sob analgosedação com "&amp;L121,"")&amp;".",""),IF(M121&lt;&gt;"","Dieta "&amp;M121&amp;IF(N121&lt;&gt;"", ", com "&amp;LOWER(N121),"")&amp;IF(O121&lt;&gt;"", " — "&amp;O121,"")&amp;".",""),IF(P121="Febre","Apresentou episódio febril nas últimas 24h"&amp;IF(Q121&lt;&gt;""," ("&amp;Q121&amp;")","")&amp;".",IF(P121="Afebril","Encontra-se afebril.","")),IF(R121&lt;&gt;"",IF(S121="Sim","Apresenta disfunção renal aguda ","Função renal preservada ")&amp;"("&amp;R121&amp;").",""),IF(T121&lt;&gt;"","Em uso do esquema antimicrobiano com "&amp;T121&amp;".",""),IF(U121&lt;&gt;"","Em uso de profilaxia: "&amp;U121&amp;".",""))&amp;CHAR(10)&amp;CHAR(10)&amp;"2. Farmacoterapia"&amp;CHAR(10)&amp;IF(V121&lt;&gt;"","Corticoide/DART: "&amp;V121,"Sem corticoide/DART registrado.")&amp;CHAR(10)&amp;CHAR(10)&amp;"3. Conduta Farmacêutica"&amp;CHAR(10)&amp;IF(X121&lt;&gt;"","["&amp;W121&amp;"] "&amp;X121&amp;IF(Y121&lt;&gt;"", " ("&amp;Y121&amp;")",""),"Nenhuma intervenção registrada hoje.")&amp;CHAR(10)&amp;CHAR(10)&amp;"4. Plano Terapêutico"&amp;CHAR(10)&amp;IF(AB121&lt;&gt;"",AB121,"Não definido.")</f>
      </c>
    </row>
    <row r="122" spans="3:29" x14ac:dyDescent="0.25">
      <c r="AC122">
        <f>"1. Evolução Clínica"&amp;CHAR(10)&amp;TEXTJOIN(" ",TRUE,"Paciente "&amp;F122&amp;", "&amp;IF(G122="","sem DVA","em uso de "&amp;G122)&amp;".",IF(H122&lt;&gt;"","Em "&amp;H122&amp;IF(AND(H122="VMI",I122&lt;&gt;"")," por "&amp;I122,"")&amp;IF(J122&lt;&gt;""," ("&amp;J122&amp;")","")&amp;IF(K122&lt;&gt;"", ", "&amp;K122,"")&amp;IF(L122&lt;&gt;"", ", sob analgosedação com "&amp;L122,"")&amp;".",""),IF(M122&lt;&gt;"","Dieta "&amp;M122&amp;IF(N122&lt;&gt;"", ", com "&amp;LOWER(N122),"")&amp;IF(O122&lt;&gt;"", " — "&amp;O122,"")&amp;".",""),IF(P122="Febre","Apresentou episódio febril nas últimas 24h"&amp;IF(Q122&lt;&gt;""," ("&amp;Q122&amp;")","")&amp;".",IF(P122="Afebril","Encontra-se afebril.","")),IF(R122&lt;&gt;"",IF(S122="Sim","Apresenta disfunção renal aguda ","Função renal preservada ")&amp;"("&amp;R122&amp;").",""),IF(T122&lt;&gt;"","Em uso do esquema antimicrobiano com "&amp;T122&amp;".",""),IF(U122&lt;&gt;"","Em uso de profilaxia: "&amp;U122&amp;".",""))&amp;CHAR(10)&amp;CHAR(10)&amp;"2. Farmacoterapia"&amp;CHAR(10)&amp;IF(V122&lt;&gt;"","Corticoide/DART: "&amp;V122,"Sem corticoide/DART registrado.")&amp;CHAR(10)&amp;CHAR(10)&amp;"3. Conduta Farmacêutica"&amp;CHAR(10)&amp;IF(X122&lt;&gt;"","["&amp;W122&amp;"] "&amp;X122&amp;IF(Y122&lt;&gt;"", " ("&amp;Y122&amp;")",""),"Nenhuma intervenção registrada hoje.")&amp;CHAR(10)&amp;CHAR(10)&amp;"4. Plano Terapêutico"&amp;CHAR(10)&amp;IF(AB122&lt;&gt;"",AB122,"Não definido.")</f>
      </c>
    </row>
    <row r="123" spans="3:29" x14ac:dyDescent="0.25">
      <c r="AC123">
        <f>"1. Evolução Clínica"&amp;CHAR(10)&amp;TEXTJOIN(" ",TRUE,"Paciente "&amp;F123&amp;", "&amp;IF(G123="","sem DVA","em uso de "&amp;G123)&amp;".",IF(H123&lt;&gt;"","Em "&amp;H123&amp;IF(AND(H123="VMI",I123&lt;&gt;"")," por "&amp;I123,"")&amp;IF(J123&lt;&gt;""," ("&amp;J123&amp;")","")&amp;IF(K123&lt;&gt;"", ", "&amp;K123,"")&amp;IF(L123&lt;&gt;"", ", sob analgosedação com "&amp;L123,"")&amp;".",""),IF(M123&lt;&gt;"","Dieta "&amp;M123&amp;IF(N123&lt;&gt;"", ", com "&amp;LOWER(N123),"")&amp;IF(O123&lt;&gt;"", " — "&amp;O123,"")&amp;".",""),IF(P123="Febre","Apresentou episódio febril nas últimas 24h"&amp;IF(Q123&lt;&gt;""," ("&amp;Q123&amp;")","")&amp;".",IF(P123="Afebril","Encontra-se afebril.","")),IF(R123&lt;&gt;"",IF(S123="Sim","Apresenta disfunção renal aguda ","Função renal preservada ")&amp;"("&amp;R123&amp;").",""),IF(T123&lt;&gt;"","Em uso do esquema antimicrobiano com "&amp;T123&amp;".",""),IF(U123&lt;&gt;"","Em uso de profilaxia: "&amp;U123&amp;".",""))&amp;CHAR(10)&amp;CHAR(10)&amp;"2. Farmacoterapia"&amp;CHAR(10)&amp;IF(V123&lt;&gt;"","Corticoide/DART: "&amp;V123,"Sem corticoide/DART registrado.")&amp;CHAR(10)&amp;CHAR(10)&amp;"3. Conduta Farmacêutica"&amp;CHAR(10)&amp;IF(X123&lt;&gt;"","["&amp;W123&amp;"] "&amp;X123&amp;IF(Y123&lt;&gt;"", " ("&amp;Y123&amp;")",""),"Nenhuma intervenção registrada hoje.")&amp;CHAR(10)&amp;CHAR(10)&amp;"4. Plano Terapêutico"&amp;CHAR(10)&amp;IF(AB123&lt;&gt;"",AB123,"Não definido.")</f>
      </c>
    </row>
    <row r="124" spans="3:29" x14ac:dyDescent="0.25">
      <c r="AC124">
        <f>"1. Evolução Clínica"&amp;CHAR(10)&amp;TEXTJOIN(" ",TRUE,"Paciente "&amp;F124&amp;", "&amp;IF(G124="","sem DVA","em uso de "&amp;G124)&amp;".",IF(H124&lt;&gt;"","Em "&amp;H124&amp;IF(AND(H124="VMI",I124&lt;&gt;"")," por "&amp;I124,"")&amp;IF(J124&lt;&gt;""," ("&amp;J124&amp;")","")&amp;IF(K124&lt;&gt;"", ", "&amp;K124,"")&amp;IF(L124&lt;&gt;"", ", sob analgosedação com "&amp;L124,"")&amp;".",""),IF(M124&lt;&gt;"","Dieta "&amp;M124&amp;IF(N124&lt;&gt;"", ", com "&amp;LOWER(N124),"")&amp;IF(O124&lt;&gt;"", " — "&amp;O124,"")&amp;".",""),IF(P124="Febre","Apresentou episódio febril nas últimas 24h"&amp;IF(Q124&lt;&gt;""," ("&amp;Q124&amp;")","")&amp;".",IF(P124="Afebril","Encontra-se afebril.","")),IF(R124&lt;&gt;"",IF(S124="Sim","Apresenta disfunção renal aguda ","Função renal preservada ")&amp;"("&amp;R124&amp;").",""),IF(T124&lt;&gt;"","Em uso do esquema antimicrobiano com "&amp;T124&amp;".",""),IF(U124&lt;&gt;"","Em uso de profilaxia: "&amp;U124&amp;".",""))&amp;CHAR(10)&amp;CHAR(10)&amp;"2. Farmacoterapia"&amp;CHAR(10)&amp;IF(V124&lt;&gt;"","Corticoide/DART: "&amp;V124,"Sem corticoide/DART registrado.")&amp;CHAR(10)&amp;CHAR(10)&amp;"3. Conduta Farmacêutica"&amp;CHAR(10)&amp;IF(X124&lt;&gt;"","["&amp;W124&amp;"] "&amp;X124&amp;IF(Y124&lt;&gt;"", " ("&amp;Y124&amp;")",""),"Nenhuma intervenção registrada hoje.")&amp;CHAR(10)&amp;CHAR(10)&amp;"4. Plano Terapêutico"&amp;CHAR(10)&amp;IF(AB124&lt;&gt;"",AB124,"Não definido.")</f>
      </c>
    </row>
    <row r="125" spans="3:29" x14ac:dyDescent="0.25">
      <c r="AC125">
        <f>"1. Evolução Clínica"&amp;CHAR(10)&amp;TEXTJOIN(" ",TRUE,"Paciente "&amp;F125&amp;", "&amp;IF(G125="","sem DVA","em uso de "&amp;G125)&amp;".",IF(H125&lt;&gt;"","Em "&amp;H125&amp;IF(AND(H125="VMI",I125&lt;&gt;"")," por "&amp;I125,"")&amp;IF(J125&lt;&gt;""," ("&amp;J125&amp;")","")&amp;IF(K125&lt;&gt;"", ", "&amp;K125,"")&amp;IF(L125&lt;&gt;"", ", sob analgosedação com "&amp;L125,"")&amp;".",""),IF(M125&lt;&gt;"","Dieta "&amp;M125&amp;IF(N125&lt;&gt;"", ", com "&amp;LOWER(N125),"")&amp;IF(O125&lt;&gt;"", " — "&amp;O125,"")&amp;".",""),IF(P125="Febre","Apresentou episódio febril nas últimas 24h"&amp;IF(Q125&lt;&gt;""," ("&amp;Q125&amp;")","")&amp;".",IF(P125="Afebril","Encontra-se afebril.","")),IF(R125&lt;&gt;"",IF(S125="Sim","Apresenta disfunção renal aguda ","Função renal preservada ")&amp;"("&amp;R125&amp;").",""),IF(T125&lt;&gt;"","Em uso do esquema antimicrobiano com "&amp;T125&amp;".",""),IF(U125&lt;&gt;"","Em uso de profilaxia: "&amp;U125&amp;".",""))&amp;CHAR(10)&amp;CHAR(10)&amp;"2. Farmacoterapia"&amp;CHAR(10)&amp;IF(V125&lt;&gt;"","Corticoide/DART: "&amp;V125,"Sem corticoide/DART registrado.")&amp;CHAR(10)&amp;CHAR(10)&amp;"3. Conduta Farmacêutica"&amp;CHAR(10)&amp;IF(X125&lt;&gt;"","["&amp;W125&amp;"] "&amp;X125&amp;IF(Y125&lt;&gt;"", " ("&amp;Y125&amp;")",""),"Nenhuma intervenção registrada hoje.")&amp;CHAR(10)&amp;CHAR(10)&amp;"4. Plano Terapêutico"&amp;CHAR(10)&amp;IF(AB125&lt;&gt;"",AB125,"Não definido.")</f>
      </c>
    </row>
    <row r="126" spans="3:29" x14ac:dyDescent="0.25">
      <c r="AC126">
        <f>"1. Evolução Clínica"&amp;CHAR(10)&amp;TEXTJOIN(" ",TRUE,"Paciente "&amp;F126&amp;", "&amp;IF(G126="","sem DVA","em uso de "&amp;G126)&amp;".",IF(H126&lt;&gt;"","Em "&amp;H126&amp;IF(AND(H126="VMI",I126&lt;&gt;"")," por "&amp;I126,"")&amp;IF(J126&lt;&gt;""," ("&amp;J126&amp;")","")&amp;IF(K126&lt;&gt;"", ", "&amp;K126,"")&amp;IF(L126&lt;&gt;"", ", sob analgosedação com "&amp;L126,"")&amp;".",""),IF(M126&lt;&gt;"","Dieta "&amp;M126&amp;IF(N126&lt;&gt;"", ", com "&amp;LOWER(N126),"")&amp;IF(O126&lt;&gt;"", " — "&amp;O126,"")&amp;".",""),IF(P126="Febre","Apresentou episódio febril nas últimas 24h"&amp;IF(Q126&lt;&gt;""," ("&amp;Q126&amp;")","")&amp;".",IF(P126="Afebril","Encontra-se afebril.","")),IF(R126&lt;&gt;"",IF(S126="Sim","Apresenta disfunção renal aguda ","Função renal preservada ")&amp;"("&amp;R126&amp;").",""),IF(T126&lt;&gt;"","Em uso do esquema antimicrobiano com "&amp;T126&amp;".",""),IF(U126&lt;&gt;"","Em uso de profilaxia: "&amp;U126&amp;".",""))&amp;CHAR(10)&amp;CHAR(10)&amp;"2. Farmacoterapia"&amp;CHAR(10)&amp;IF(V126&lt;&gt;"","Corticoide/DART: "&amp;V126,"Sem corticoide/DART registrado.")&amp;CHAR(10)&amp;CHAR(10)&amp;"3. Conduta Farmacêutica"&amp;CHAR(10)&amp;IF(X126&lt;&gt;"","["&amp;W126&amp;"] "&amp;X126&amp;IF(Y126&lt;&gt;"", " ("&amp;Y126&amp;")",""),"Nenhuma intervenção registrada hoje.")&amp;CHAR(10)&amp;CHAR(10)&amp;"4. Plano Terapêutico"&amp;CHAR(10)&amp;IF(AB126&lt;&gt;"",AB126,"Não definido.")</f>
      </c>
    </row>
    <row r="127" spans="3:29" x14ac:dyDescent="0.25">
      <c r="AC127">
        <f>"1. Evolução Clínica"&amp;CHAR(10)&amp;TEXTJOIN(" ",TRUE,"Paciente "&amp;F127&amp;", "&amp;IF(G127="","sem DVA","em uso de "&amp;G127)&amp;".",IF(H127&lt;&gt;"","Em "&amp;H127&amp;IF(AND(H127="VMI",I127&lt;&gt;"")," por "&amp;I127,"")&amp;IF(J127&lt;&gt;""," ("&amp;J127&amp;")","")&amp;IF(K127&lt;&gt;"", ", "&amp;K127,"")&amp;IF(L127&lt;&gt;"", ", sob analgosedação com "&amp;L127,"")&amp;".",""),IF(M127&lt;&gt;"","Dieta "&amp;M127&amp;IF(N127&lt;&gt;"", ", com "&amp;LOWER(N127),"")&amp;IF(O127&lt;&gt;"", " — "&amp;O127,"")&amp;".",""),IF(P127="Febre","Apresentou episódio febril nas últimas 24h"&amp;IF(Q127&lt;&gt;""," ("&amp;Q127&amp;")","")&amp;".",IF(P127="Afebril","Encontra-se afebril.","")),IF(R127&lt;&gt;"",IF(S127="Sim","Apresenta disfunção renal aguda ","Função renal preservada ")&amp;"("&amp;R127&amp;").",""),IF(T127&lt;&gt;"","Em uso do esquema antimicrobiano com "&amp;T127&amp;".",""),IF(U127&lt;&gt;"","Em uso de profilaxia: "&amp;U127&amp;".",""))&amp;CHAR(10)&amp;CHAR(10)&amp;"2. Farmacoterapia"&amp;CHAR(10)&amp;IF(V127&lt;&gt;"","Corticoide/DART: "&amp;V127,"Sem corticoide/DART registrado.")&amp;CHAR(10)&amp;CHAR(10)&amp;"3. Conduta Farmacêutica"&amp;CHAR(10)&amp;IF(X127&lt;&gt;"","["&amp;W127&amp;"] "&amp;X127&amp;IF(Y127&lt;&gt;"", " ("&amp;Y127&amp;")",""),"Nenhuma intervenção registrada hoje.")&amp;CHAR(10)&amp;CHAR(10)&amp;"4. Plano Terapêutico"&amp;CHAR(10)&amp;IF(AB127&lt;&gt;"",AB127,"Não definido.")</f>
      </c>
    </row>
    <row r="128" spans="3:29" x14ac:dyDescent="0.25">
      <c r="AC128">
        <f>"1. Evolução Clínica"&amp;CHAR(10)&amp;TEXTJOIN(" ",TRUE,"Paciente "&amp;F128&amp;", "&amp;IF(G128="","sem DVA","em uso de "&amp;G128)&amp;".",IF(H128&lt;&gt;"","Em "&amp;H128&amp;IF(AND(H128="VMI",I128&lt;&gt;"")," por "&amp;I128,"")&amp;IF(J128&lt;&gt;""," ("&amp;J128&amp;")","")&amp;IF(K128&lt;&gt;"", ", "&amp;K128,"")&amp;IF(L128&lt;&gt;"", ", sob analgosedação com "&amp;L128,"")&amp;".",""),IF(M128&lt;&gt;"","Dieta "&amp;M128&amp;IF(N128&lt;&gt;"", ", com "&amp;LOWER(N128),"")&amp;IF(O128&lt;&gt;"", " — "&amp;O128,"")&amp;".",""),IF(P128="Febre","Apresentou episódio febril nas últimas 24h"&amp;IF(Q128&lt;&gt;""," ("&amp;Q128&amp;")","")&amp;".",IF(P128="Afebril","Encontra-se afebril.","")),IF(R128&lt;&gt;"",IF(S128="Sim","Apresenta disfunção renal aguda ","Função renal preservada ")&amp;"("&amp;R128&amp;").",""),IF(T128&lt;&gt;"","Em uso do esquema antimicrobiano com "&amp;T128&amp;".",""),IF(U128&lt;&gt;"","Em uso de profilaxia: "&amp;U128&amp;".",""))&amp;CHAR(10)&amp;CHAR(10)&amp;"2. Farmacoterapia"&amp;CHAR(10)&amp;IF(V128&lt;&gt;"","Corticoide/DART: "&amp;V128,"Sem corticoide/DART registrado.")&amp;CHAR(10)&amp;CHAR(10)&amp;"3. Conduta Farmacêutica"&amp;CHAR(10)&amp;IF(X128&lt;&gt;"","["&amp;W128&amp;"] "&amp;X128&amp;IF(Y128&lt;&gt;"", " ("&amp;Y128&amp;")",""),"Nenhuma intervenção registrada hoje.")&amp;CHAR(10)&amp;CHAR(10)&amp;"4. Plano Terapêutico"&amp;CHAR(10)&amp;IF(AB128&lt;&gt;"",AB128,"Não definido.")</f>
      </c>
    </row>
    <row r="129" spans="3:29" x14ac:dyDescent="0.25">
      <c r="AC129">
        <f>"1. Evolução Clínica"&amp;CHAR(10)&amp;TEXTJOIN(" ",TRUE,"Paciente "&amp;F129&amp;", "&amp;IF(G129="","sem DVA","em uso de "&amp;G129)&amp;".",IF(H129&lt;&gt;"","Em "&amp;H129&amp;IF(AND(H129="VMI",I129&lt;&gt;"")," por "&amp;I129,"")&amp;IF(J129&lt;&gt;""," ("&amp;J129&amp;")","")&amp;IF(K129&lt;&gt;"", ", "&amp;K129,"")&amp;IF(L129&lt;&gt;"", ", sob analgosedação com "&amp;L129,"")&amp;".",""),IF(M129&lt;&gt;"","Dieta "&amp;M129&amp;IF(N129&lt;&gt;"", ", com "&amp;LOWER(N129),"")&amp;IF(O129&lt;&gt;"", " — "&amp;O129,"")&amp;".",""),IF(P129="Febre","Apresentou episódio febril nas últimas 24h"&amp;IF(Q129&lt;&gt;""," ("&amp;Q129&amp;")","")&amp;".",IF(P129="Afebril","Encontra-se afebril.","")),IF(R129&lt;&gt;"",IF(S129="Sim","Apresenta disfunção renal aguda ","Função renal preservada ")&amp;"("&amp;R129&amp;").",""),IF(T129&lt;&gt;"","Em uso do esquema antimicrobiano com "&amp;T129&amp;".",""),IF(U129&lt;&gt;"","Em uso de profilaxia: "&amp;U129&amp;".",""))&amp;CHAR(10)&amp;CHAR(10)&amp;"2. Farmacoterapia"&amp;CHAR(10)&amp;IF(V129&lt;&gt;"","Corticoide/DART: "&amp;V129,"Sem corticoide/DART registrado.")&amp;CHAR(10)&amp;CHAR(10)&amp;"3. Conduta Farmacêutica"&amp;CHAR(10)&amp;IF(X129&lt;&gt;"","["&amp;W129&amp;"] "&amp;X129&amp;IF(Y129&lt;&gt;"", " ("&amp;Y129&amp;")",""),"Nenhuma intervenção registrada hoje.")&amp;CHAR(10)&amp;CHAR(10)&amp;"4. Plano Terapêutico"&amp;CHAR(10)&amp;IF(AB129&lt;&gt;"",AB129,"Não definido.")</f>
      </c>
    </row>
    <row r="130" spans="3:29" x14ac:dyDescent="0.25">
      <c r="AC130">
        <f>"1. Evolução Clínica"&amp;CHAR(10)&amp;TEXTJOIN(" ",TRUE,"Paciente "&amp;F130&amp;", "&amp;IF(G130="","sem DVA","em uso de "&amp;G130)&amp;".",IF(H130&lt;&gt;"","Em "&amp;H130&amp;IF(AND(H130="VMI",I130&lt;&gt;"")," por "&amp;I130,"")&amp;IF(J130&lt;&gt;""," ("&amp;J130&amp;")","")&amp;IF(K130&lt;&gt;"", ", "&amp;K130,"")&amp;IF(L130&lt;&gt;"", ", sob analgosedação com "&amp;L130,"")&amp;".",""),IF(M130&lt;&gt;"","Dieta "&amp;M130&amp;IF(N130&lt;&gt;"", ", com "&amp;LOWER(N130),"")&amp;IF(O130&lt;&gt;"", " — "&amp;O130,"")&amp;".",""),IF(P130="Febre","Apresentou episódio febril nas últimas 24h"&amp;IF(Q130&lt;&gt;""," ("&amp;Q130&amp;")","")&amp;".",IF(P130="Afebril","Encontra-se afebril.","")),IF(R130&lt;&gt;"",IF(S130="Sim","Apresenta disfunção renal aguda ","Função renal preservada ")&amp;"("&amp;R130&amp;").",""),IF(T130&lt;&gt;"","Em uso do esquema antimicrobiano com "&amp;T130&amp;".",""),IF(U130&lt;&gt;"","Em uso de profilaxia: "&amp;U130&amp;".",""))&amp;CHAR(10)&amp;CHAR(10)&amp;"2. Farmacoterapia"&amp;CHAR(10)&amp;IF(V130&lt;&gt;"","Corticoide/DART: "&amp;V130,"Sem corticoide/DART registrado.")&amp;CHAR(10)&amp;CHAR(10)&amp;"3. Conduta Farmacêutica"&amp;CHAR(10)&amp;IF(X130&lt;&gt;"","["&amp;W130&amp;"] "&amp;X130&amp;IF(Y130&lt;&gt;"", " ("&amp;Y130&amp;")",""),"Nenhuma intervenção registrada hoje.")&amp;CHAR(10)&amp;CHAR(10)&amp;"4. Plano Terapêutico"&amp;CHAR(10)&amp;IF(AB130&lt;&gt;"",AB130,"Não definido.")</f>
      </c>
    </row>
    <row r="131" spans="3:29" x14ac:dyDescent="0.25">
      <c r="AC131">
        <f>"1. Evolução Clínica"&amp;CHAR(10)&amp;TEXTJOIN(" ",TRUE,"Paciente "&amp;F131&amp;", "&amp;IF(G131="","sem DVA","em uso de "&amp;G131)&amp;".",IF(H131&lt;&gt;"","Em "&amp;H131&amp;IF(AND(H131="VMI",I131&lt;&gt;"")," por "&amp;I131,"")&amp;IF(J131&lt;&gt;""," ("&amp;J131&amp;")","")&amp;IF(K131&lt;&gt;"", ", "&amp;K131,"")&amp;IF(L131&lt;&gt;"", ", sob analgosedação com "&amp;L131,"")&amp;".",""),IF(M131&lt;&gt;"","Dieta "&amp;M131&amp;IF(N131&lt;&gt;"", ", com "&amp;LOWER(N131),"")&amp;IF(O131&lt;&gt;"", " — "&amp;O131,"")&amp;".",""),IF(P131="Febre","Apresentou episódio febril nas últimas 24h"&amp;IF(Q131&lt;&gt;""," ("&amp;Q131&amp;")","")&amp;".",IF(P131="Afebril","Encontra-se afebril.","")),IF(R131&lt;&gt;"",IF(S131="Sim","Apresenta disfunção renal aguda ","Função renal preservada ")&amp;"("&amp;R131&amp;").",""),IF(T131&lt;&gt;"","Em uso do esquema antimicrobiano com "&amp;T131&amp;".",""),IF(U131&lt;&gt;"","Em uso de profilaxia: "&amp;U131&amp;".",""))&amp;CHAR(10)&amp;CHAR(10)&amp;"2. Farmacoterapia"&amp;CHAR(10)&amp;IF(V131&lt;&gt;"","Corticoide/DART: "&amp;V131,"Sem corticoide/DART registrado.")&amp;CHAR(10)&amp;CHAR(10)&amp;"3. Conduta Farmacêutica"&amp;CHAR(10)&amp;IF(X131&lt;&gt;"","["&amp;W131&amp;"] "&amp;X131&amp;IF(Y131&lt;&gt;"", " ("&amp;Y131&amp;")",""),"Nenhuma intervenção registrada hoje.")&amp;CHAR(10)&amp;CHAR(10)&amp;"4. Plano Terapêutico"&amp;CHAR(10)&amp;IF(AB131&lt;&gt;"",AB131,"Não definido.")</f>
      </c>
    </row>
    <row r="132" spans="3:29" x14ac:dyDescent="0.25">
      <c r="AC132">
        <f>"1. Evolução Clínica"&amp;CHAR(10)&amp;TEXTJOIN(" ",TRUE,"Paciente "&amp;F132&amp;", "&amp;IF(G132="","sem DVA","em uso de "&amp;G132)&amp;".",IF(H132&lt;&gt;"","Em "&amp;H132&amp;IF(AND(H132="VMI",I132&lt;&gt;"")," por "&amp;I132,"")&amp;IF(J132&lt;&gt;""," ("&amp;J132&amp;")","")&amp;IF(K132&lt;&gt;"", ", "&amp;K132,"")&amp;IF(L132&lt;&gt;"", ", sob analgosedação com "&amp;L132,"")&amp;".",""),IF(M132&lt;&gt;"","Dieta "&amp;M132&amp;IF(N132&lt;&gt;"", ", com "&amp;LOWER(N132),"")&amp;IF(O132&lt;&gt;"", " — "&amp;O132,"")&amp;".",""),IF(P132="Febre","Apresentou episódio febril nas últimas 24h"&amp;IF(Q132&lt;&gt;""," ("&amp;Q132&amp;")","")&amp;".",IF(P132="Afebril","Encontra-se afebril.","")),IF(R132&lt;&gt;"",IF(S132="Sim","Apresenta disfunção renal aguda ","Função renal preservada ")&amp;"("&amp;R132&amp;").",""),IF(T132&lt;&gt;"","Em uso do esquema antimicrobiano com "&amp;T132&amp;".",""),IF(U132&lt;&gt;"","Em uso de profilaxia: "&amp;U132&amp;".",""))&amp;CHAR(10)&amp;CHAR(10)&amp;"2. Farmacoterapia"&amp;CHAR(10)&amp;IF(V132&lt;&gt;"","Corticoide/DART: "&amp;V132,"Sem corticoide/DART registrado.")&amp;CHAR(10)&amp;CHAR(10)&amp;"3. Conduta Farmacêutica"&amp;CHAR(10)&amp;IF(X132&lt;&gt;"","["&amp;W132&amp;"] "&amp;X132&amp;IF(Y132&lt;&gt;"", " ("&amp;Y132&amp;")",""),"Nenhuma intervenção registrada hoje.")&amp;CHAR(10)&amp;CHAR(10)&amp;"4. Plano Terapêutico"&amp;CHAR(10)&amp;IF(AB132&lt;&gt;"",AB132,"Não definido.")</f>
      </c>
    </row>
    <row r="133" spans="3:29" x14ac:dyDescent="0.25">
      <c r="AC133">
        <f>"1. Evolução Clínica"&amp;CHAR(10)&amp;TEXTJOIN(" ",TRUE,"Paciente "&amp;F133&amp;", "&amp;IF(G133="","sem DVA","em uso de "&amp;G133)&amp;".",IF(H133&lt;&gt;"","Em "&amp;H133&amp;IF(AND(H133="VMI",I133&lt;&gt;"")," por "&amp;I133,"")&amp;IF(J133&lt;&gt;""," ("&amp;J133&amp;")","")&amp;IF(K133&lt;&gt;"", ", "&amp;K133,"")&amp;IF(L133&lt;&gt;"", ", sob analgosedação com "&amp;L133,"")&amp;".",""),IF(M133&lt;&gt;"","Dieta "&amp;M133&amp;IF(N133&lt;&gt;"", ", com "&amp;LOWER(N133),"")&amp;IF(O133&lt;&gt;"", " — "&amp;O133,"")&amp;".",""),IF(P133="Febre","Apresentou episódio febril nas últimas 24h"&amp;IF(Q133&lt;&gt;""," ("&amp;Q133&amp;")","")&amp;".",IF(P133="Afebril","Encontra-se afebril.","")),IF(R133&lt;&gt;"",IF(S133="Sim","Apresenta disfunção renal aguda ","Função renal preservada ")&amp;"("&amp;R133&amp;").",""),IF(T133&lt;&gt;"","Em uso do esquema antimicrobiano com "&amp;T133&amp;".",""),IF(U133&lt;&gt;"","Em uso de profilaxia: "&amp;U133&amp;".",""))&amp;CHAR(10)&amp;CHAR(10)&amp;"2. Farmacoterapia"&amp;CHAR(10)&amp;IF(V133&lt;&gt;"","Corticoide/DART: "&amp;V133,"Sem corticoide/DART registrado.")&amp;CHAR(10)&amp;CHAR(10)&amp;"3. Conduta Farmacêutica"&amp;CHAR(10)&amp;IF(X133&lt;&gt;"","["&amp;W133&amp;"] "&amp;X133&amp;IF(Y133&lt;&gt;"", " ("&amp;Y133&amp;")",""),"Nenhuma intervenção registrada hoje.")&amp;CHAR(10)&amp;CHAR(10)&amp;"4. Plano Terapêutico"&amp;CHAR(10)&amp;IF(AB133&lt;&gt;"",AB133,"Não definido.")</f>
      </c>
    </row>
    <row r="134" spans="3:29" x14ac:dyDescent="0.25">
      <c r="AC134">
        <f>"1. Evolução Clínica"&amp;CHAR(10)&amp;TEXTJOIN(" ",TRUE,"Paciente "&amp;F134&amp;", "&amp;IF(G134="","sem DVA","em uso de "&amp;G134)&amp;".",IF(H134&lt;&gt;"","Em "&amp;H134&amp;IF(AND(H134="VMI",I134&lt;&gt;"")," por "&amp;I134,"")&amp;IF(J134&lt;&gt;""," ("&amp;J134&amp;")","")&amp;IF(K134&lt;&gt;"", ", "&amp;K134,"")&amp;IF(L134&lt;&gt;"", ", sob analgosedação com "&amp;L134,"")&amp;".",""),IF(M134&lt;&gt;"","Dieta "&amp;M134&amp;IF(N134&lt;&gt;"", ", com "&amp;LOWER(N134),"")&amp;IF(O134&lt;&gt;"", " — "&amp;O134,"")&amp;".",""),IF(P134="Febre","Apresentou episódio febril nas últimas 24h"&amp;IF(Q134&lt;&gt;""," ("&amp;Q134&amp;")","")&amp;".",IF(P134="Afebril","Encontra-se afebril.","")),IF(R134&lt;&gt;"",IF(S134="Sim","Apresenta disfunção renal aguda ","Função renal preservada ")&amp;"("&amp;R134&amp;").",""),IF(T134&lt;&gt;"","Em uso do esquema antimicrobiano com "&amp;T134&amp;".",""),IF(U134&lt;&gt;"","Em uso de profilaxia: "&amp;U134&amp;".",""))&amp;CHAR(10)&amp;CHAR(10)&amp;"2. Farmacoterapia"&amp;CHAR(10)&amp;IF(V134&lt;&gt;"","Corticoide/DART: "&amp;V134,"Sem corticoide/DART registrado.")&amp;CHAR(10)&amp;CHAR(10)&amp;"3. Conduta Farmacêutica"&amp;CHAR(10)&amp;IF(X134&lt;&gt;"","["&amp;W134&amp;"] "&amp;X134&amp;IF(Y134&lt;&gt;"", " ("&amp;Y134&amp;")",""),"Nenhuma intervenção registrada hoje.")&amp;CHAR(10)&amp;CHAR(10)&amp;"4. Plano Terapêutico"&amp;CHAR(10)&amp;IF(AB134&lt;&gt;"",AB134,"Não definido.")</f>
      </c>
    </row>
    <row r="135" spans="3:29" x14ac:dyDescent="0.25">
      <c r="AC135">
        <f>"1. Evolução Clínica"&amp;CHAR(10)&amp;TEXTJOIN(" ",TRUE,"Paciente "&amp;F135&amp;", "&amp;IF(G135="","sem DVA","em uso de "&amp;G135)&amp;".",IF(H135&lt;&gt;"","Em "&amp;H135&amp;IF(AND(H135="VMI",I135&lt;&gt;"")," por "&amp;I135,"")&amp;IF(J135&lt;&gt;""," ("&amp;J135&amp;")","")&amp;IF(K135&lt;&gt;"", ", "&amp;K135,"")&amp;IF(L135&lt;&gt;"", ", sob analgosedação com "&amp;L135,"")&amp;".",""),IF(M135&lt;&gt;"","Dieta "&amp;M135&amp;IF(N135&lt;&gt;"", ", com "&amp;LOWER(N135),"")&amp;IF(O135&lt;&gt;"", " — "&amp;O135,"")&amp;".",""),IF(P135="Febre","Apresentou episódio febril nas últimas 24h"&amp;IF(Q135&lt;&gt;""," ("&amp;Q135&amp;")","")&amp;".",IF(P135="Afebril","Encontra-se afebril.","")),IF(R135&lt;&gt;"",IF(S135="Sim","Apresenta disfunção renal aguda ","Função renal preservada ")&amp;"("&amp;R135&amp;").",""),IF(T135&lt;&gt;"","Em uso do esquema antimicrobiano com "&amp;T135&amp;".",""),IF(U135&lt;&gt;"","Em uso de profilaxia: "&amp;U135&amp;".",""))&amp;CHAR(10)&amp;CHAR(10)&amp;"2. Farmacoterapia"&amp;CHAR(10)&amp;IF(V135&lt;&gt;"","Corticoide/DART: "&amp;V135,"Sem corticoide/DART registrado.")&amp;CHAR(10)&amp;CHAR(10)&amp;"3. Conduta Farmacêutica"&amp;CHAR(10)&amp;IF(X135&lt;&gt;"","["&amp;W135&amp;"] "&amp;X135&amp;IF(Y135&lt;&gt;"", " ("&amp;Y135&amp;")",""),"Nenhuma intervenção registrada hoje.")&amp;CHAR(10)&amp;CHAR(10)&amp;"4. Plano Terapêutico"&amp;CHAR(10)&amp;IF(AB135&lt;&gt;"",AB135,"Não definido.")</f>
      </c>
    </row>
    <row r="136" spans="3:29" x14ac:dyDescent="0.25">
      <c r="AC136">
        <f>"1. Evolução Clínica"&amp;CHAR(10)&amp;TEXTJOIN(" ",TRUE,"Paciente "&amp;F136&amp;", "&amp;IF(G136="","sem DVA","em uso de "&amp;G136)&amp;".",IF(H136&lt;&gt;"","Em "&amp;H136&amp;IF(AND(H136="VMI",I136&lt;&gt;"")," por "&amp;I136,"")&amp;IF(J136&lt;&gt;""," ("&amp;J136&amp;")","")&amp;IF(K136&lt;&gt;"", ", "&amp;K136,"")&amp;IF(L136&lt;&gt;"", ", sob analgosedação com "&amp;L136,"")&amp;".",""),IF(M136&lt;&gt;"","Dieta "&amp;M136&amp;IF(N136&lt;&gt;"", ", com "&amp;LOWER(N136),"")&amp;IF(O136&lt;&gt;"", " — "&amp;O136,"")&amp;".",""),IF(P136="Febre","Apresentou episódio febril nas últimas 24h"&amp;IF(Q136&lt;&gt;""," ("&amp;Q136&amp;")","")&amp;".",IF(P136="Afebril","Encontra-se afebril.","")),IF(R136&lt;&gt;"",IF(S136="Sim","Apresenta disfunção renal aguda ","Função renal preservada ")&amp;"("&amp;R136&amp;").",""),IF(T136&lt;&gt;"","Em uso do esquema antimicrobiano com "&amp;T136&amp;".",""),IF(U136&lt;&gt;"","Em uso de profilaxia: "&amp;U136&amp;".",""))&amp;CHAR(10)&amp;CHAR(10)&amp;"2. Farmacoterapia"&amp;CHAR(10)&amp;IF(V136&lt;&gt;"","Corticoide/DART: "&amp;V136,"Sem corticoide/DART registrado.")&amp;CHAR(10)&amp;CHAR(10)&amp;"3. Conduta Farmacêutica"&amp;CHAR(10)&amp;IF(X136&lt;&gt;"","["&amp;W136&amp;"] "&amp;X136&amp;IF(Y136&lt;&gt;"", " ("&amp;Y136&amp;")",""),"Nenhuma intervenção registrada hoje.")&amp;CHAR(10)&amp;CHAR(10)&amp;"4. Plano Terapêutico"&amp;CHAR(10)&amp;IF(AB136&lt;&gt;"",AB136,"Não definido.")</f>
      </c>
    </row>
    <row r="137" spans="3:29" x14ac:dyDescent="0.25">
      <c r="AC137">
        <f>"1. Evolução Clínica"&amp;CHAR(10)&amp;TEXTJOIN(" ",TRUE,"Paciente "&amp;F137&amp;", "&amp;IF(G137="","sem DVA","em uso de "&amp;G137)&amp;".",IF(H137&lt;&gt;"","Em "&amp;H137&amp;IF(AND(H137="VMI",I137&lt;&gt;"")," por "&amp;I137,"")&amp;IF(J137&lt;&gt;""," ("&amp;J137&amp;")","")&amp;IF(K137&lt;&gt;"", ", "&amp;K137,"")&amp;IF(L137&lt;&gt;"", ", sob analgosedação com "&amp;L137,"")&amp;".",""),IF(M137&lt;&gt;"","Dieta "&amp;M137&amp;IF(N137&lt;&gt;"", ", com "&amp;LOWER(N137),"")&amp;IF(O137&lt;&gt;"", " — "&amp;O137,"")&amp;".",""),IF(P137="Febre","Apresentou episódio febril nas últimas 24h"&amp;IF(Q137&lt;&gt;""," ("&amp;Q137&amp;")","")&amp;".",IF(P137="Afebril","Encontra-se afebril.","")),IF(R137&lt;&gt;"",IF(S137="Sim","Apresenta disfunção renal aguda ","Função renal preservada ")&amp;"("&amp;R137&amp;").",""),IF(T137&lt;&gt;"","Em uso do esquema antimicrobiano com "&amp;T137&amp;".",""),IF(U137&lt;&gt;"","Em uso de profilaxia: "&amp;U137&amp;".",""))&amp;CHAR(10)&amp;CHAR(10)&amp;"2. Farmacoterapia"&amp;CHAR(10)&amp;IF(V137&lt;&gt;"","Corticoide/DART: "&amp;V137,"Sem corticoide/DART registrado.")&amp;CHAR(10)&amp;CHAR(10)&amp;"3. Conduta Farmacêutica"&amp;CHAR(10)&amp;IF(X137&lt;&gt;"","["&amp;W137&amp;"] "&amp;X137&amp;IF(Y137&lt;&gt;"", " ("&amp;Y137&amp;")",""),"Nenhuma intervenção registrada hoje.")&amp;CHAR(10)&amp;CHAR(10)&amp;"4. Plano Terapêutico"&amp;CHAR(10)&amp;IF(AB137&lt;&gt;"",AB137,"Não definido.")</f>
      </c>
    </row>
    <row r="138" spans="3:29" x14ac:dyDescent="0.25">
      <c r="AC138">
        <f>"1. Evolução Clínica"&amp;CHAR(10)&amp;TEXTJOIN(" ",TRUE,"Paciente "&amp;F138&amp;", "&amp;IF(G138="","sem DVA","em uso de "&amp;G138)&amp;".",IF(H138&lt;&gt;"","Em "&amp;H138&amp;IF(AND(H138="VMI",I138&lt;&gt;"")," por "&amp;I138,"")&amp;IF(J138&lt;&gt;""," ("&amp;J138&amp;")","")&amp;IF(K138&lt;&gt;"", ", "&amp;K138,"")&amp;IF(L138&lt;&gt;"", ", sob analgosedação com "&amp;L138,"")&amp;".",""),IF(M138&lt;&gt;"","Dieta "&amp;M138&amp;IF(N138&lt;&gt;"", ", com "&amp;LOWER(N138),"")&amp;IF(O138&lt;&gt;"", " — "&amp;O138,"")&amp;".",""),IF(P138="Febre","Apresentou episódio febril nas últimas 24h"&amp;IF(Q138&lt;&gt;""," ("&amp;Q138&amp;")","")&amp;".",IF(P138="Afebril","Encontra-se afebril.","")),IF(R138&lt;&gt;"",IF(S138="Sim","Apresenta disfunção renal aguda ","Função renal preservada ")&amp;"("&amp;R138&amp;").",""),IF(T138&lt;&gt;"","Em uso do esquema antimicrobiano com "&amp;T138&amp;".",""),IF(U138&lt;&gt;"","Em uso de profilaxia: "&amp;U138&amp;".",""))&amp;CHAR(10)&amp;CHAR(10)&amp;"2. Farmacoterapia"&amp;CHAR(10)&amp;IF(V138&lt;&gt;"","Corticoide/DART: "&amp;V138,"Sem corticoide/DART registrado.")&amp;CHAR(10)&amp;CHAR(10)&amp;"3. Conduta Farmacêutica"&amp;CHAR(10)&amp;IF(X138&lt;&gt;"","["&amp;W138&amp;"] "&amp;X138&amp;IF(Y138&lt;&gt;"", " ("&amp;Y138&amp;")",""),"Nenhuma intervenção registrada hoje.")&amp;CHAR(10)&amp;CHAR(10)&amp;"4. Plano Terapêutico"&amp;CHAR(10)&amp;IF(AB138&lt;&gt;"",AB138,"Não definido.")</f>
      </c>
    </row>
    <row r="139" spans="3:29" x14ac:dyDescent="0.25">
      <c r="AC139">
        <f>"1. Evolução Clínica"&amp;CHAR(10)&amp;TEXTJOIN(" ",TRUE,"Paciente "&amp;F139&amp;", "&amp;IF(G139="","sem DVA","em uso de "&amp;G139)&amp;".",IF(H139&lt;&gt;"","Em "&amp;H139&amp;IF(AND(H139="VMI",I139&lt;&gt;"")," por "&amp;I139,"")&amp;IF(J139&lt;&gt;""," ("&amp;J139&amp;")","")&amp;IF(K139&lt;&gt;"", ", "&amp;K139,"")&amp;IF(L139&lt;&gt;"", ", sob analgosedação com "&amp;L139,"")&amp;".",""),IF(M139&lt;&gt;"","Dieta "&amp;M139&amp;IF(N139&lt;&gt;"", ", com "&amp;LOWER(N139),"")&amp;IF(O139&lt;&gt;"", " — "&amp;O139,"")&amp;".",""),IF(P139="Febre","Apresentou episódio febril nas últimas 24h"&amp;IF(Q139&lt;&gt;""," ("&amp;Q139&amp;")","")&amp;".",IF(P139="Afebril","Encontra-se afebril.","")),IF(R139&lt;&gt;"",IF(S139="Sim","Apresenta disfunção renal aguda ","Função renal preservada ")&amp;"("&amp;R139&amp;").",""),IF(T139&lt;&gt;"","Em uso do esquema antimicrobiano com "&amp;T139&amp;".",""),IF(U139&lt;&gt;"","Em uso de profilaxia: "&amp;U139&amp;".",""))&amp;CHAR(10)&amp;CHAR(10)&amp;"2. Farmacoterapia"&amp;CHAR(10)&amp;IF(V139&lt;&gt;"","Corticoide/DART: "&amp;V139,"Sem corticoide/DART registrado.")&amp;CHAR(10)&amp;CHAR(10)&amp;"3. Conduta Farmacêutica"&amp;CHAR(10)&amp;IF(X139&lt;&gt;"","["&amp;W139&amp;"] "&amp;X139&amp;IF(Y139&lt;&gt;"", " ("&amp;Y139&amp;")",""),"Nenhuma intervenção registrada hoje.")&amp;CHAR(10)&amp;CHAR(10)&amp;"4. Plano Terapêutico"&amp;CHAR(10)&amp;IF(AB139&lt;&gt;"",AB139,"Não definido.")</f>
      </c>
    </row>
    <row r="140" spans="3:29" x14ac:dyDescent="0.25">
      <c r="AC140">
        <f>"1. Evolução Clínica"&amp;CHAR(10)&amp;TEXTJOIN(" ",TRUE,"Paciente "&amp;F140&amp;", "&amp;IF(G140="","sem DVA","em uso de "&amp;G140)&amp;".",IF(H140&lt;&gt;"","Em "&amp;H140&amp;IF(AND(H140="VMI",I140&lt;&gt;"")," por "&amp;I140,"")&amp;IF(J140&lt;&gt;""," ("&amp;J140&amp;")","")&amp;IF(K140&lt;&gt;"", ", "&amp;K140,"")&amp;IF(L140&lt;&gt;"", ", sob analgosedação com "&amp;L140,"")&amp;".",""),IF(M140&lt;&gt;"","Dieta "&amp;M140&amp;IF(N140&lt;&gt;"", ", com "&amp;LOWER(N140),"")&amp;IF(O140&lt;&gt;"", " — "&amp;O140,"")&amp;".",""),IF(P140="Febre","Apresentou episódio febril nas últimas 24h"&amp;IF(Q140&lt;&gt;""," ("&amp;Q140&amp;")","")&amp;".",IF(P140="Afebril","Encontra-se afebril.","")),IF(R140&lt;&gt;"",IF(S140="Sim","Apresenta disfunção renal aguda ","Função renal preservada ")&amp;"("&amp;R140&amp;").",""),IF(T140&lt;&gt;"","Em uso do esquema antimicrobiano com "&amp;T140&amp;".",""),IF(U140&lt;&gt;"","Em uso de profilaxia: "&amp;U140&amp;".",""))&amp;CHAR(10)&amp;CHAR(10)&amp;"2. Farmacoterapia"&amp;CHAR(10)&amp;IF(V140&lt;&gt;"","Corticoide/DART: "&amp;V140,"Sem corticoide/DART registrado.")&amp;CHAR(10)&amp;CHAR(10)&amp;"3. Conduta Farmacêutica"&amp;CHAR(10)&amp;IF(X140&lt;&gt;"","["&amp;W140&amp;"] "&amp;X140&amp;IF(Y140&lt;&gt;"", " ("&amp;Y140&amp;")",""),"Nenhuma intervenção registrada hoje.")&amp;CHAR(10)&amp;CHAR(10)&amp;"4. Plano Terapêutico"&amp;CHAR(10)&amp;IF(AB140&lt;&gt;"",AB140,"Não definido.")</f>
      </c>
    </row>
    <row r="141" spans="3:29" x14ac:dyDescent="0.25">
      <c r="AC141">
        <f>"1. Evolução Clínica"&amp;CHAR(10)&amp;TEXTJOIN(" ",TRUE,"Paciente "&amp;F141&amp;", "&amp;IF(G141="","sem DVA","em uso de "&amp;G141)&amp;".",IF(H141&lt;&gt;"","Em "&amp;H141&amp;IF(AND(H141="VMI",I141&lt;&gt;"")," por "&amp;I141,"")&amp;IF(J141&lt;&gt;""," ("&amp;J141&amp;")","")&amp;IF(K141&lt;&gt;"", ", "&amp;K141,"")&amp;IF(L141&lt;&gt;"", ", sob analgosedação com "&amp;L141,"")&amp;".",""),IF(M141&lt;&gt;"","Dieta "&amp;M141&amp;IF(N141&lt;&gt;"", ", com "&amp;LOWER(N141),"")&amp;IF(O141&lt;&gt;"", " — "&amp;O141,"")&amp;".",""),IF(P141="Febre","Apresentou episódio febril nas últimas 24h"&amp;IF(Q141&lt;&gt;""," ("&amp;Q141&amp;")","")&amp;".",IF(P141="Afebril","Encontra-se afebril.","")),IF(R141&lt;&gt;"",IF(S141="Sim","Apresenta disfunção renal aguda ","Função renal preservada ")&amp;"("&amp;R141&amp;").",""),IF(T141&lt;&gt;"","Em uso do esquema antimicrobiano com "&amp;T141&amp;".",""),IF(U141&lt;&gt;"","Em uso de profilaxia: "&amp;U141&amp;".",""))&amp;CHAR(10)&amp;CHAR(10)&amp;"2. Farmacoterapia"&amp;CHAR(10)&amp;IF(V141&lt;&gt;"","Corticoide/DART: "&amp;V141,"Sem corticoide/DART registrado.")&amp;CHAR(10)&amp;CHAR(10)&amp;"3. Conduta Farmacêutica"&amp;CHAR(10)&amp;IF(X141&lt;&gt;"","["&amp;W141&amp;"] "&amp;X141&amp;IF(Y141&lt;&gt;"", " ("&amp;Y141&amp;")",""),"Nenhuma intervenção registrada hoje.")&amp;CHAR(10)&amp;CHAR(10)&amp;"4. Plano Terapêutico"&amp;CHAR(10)&amp;IF(AB141&lt;&gt;"",AB141,"Não definido.")</f>
      </c>
    </row>
    <row r="142" spans="3:29" x14ac:dyDescent="0.25">
      <c r="AC142">
        <f>"1. Evolução Clínica"&amp;CHAR(10)&amp;TEXTJOIN(" ",TRUE,"Paciente "&amp;F142&amp;", "&amp;IF(G142="","sem DVA","em uso de "&amp;G142)&amp;".",IF(H142&lt;&gt;"","Em "&amp;H142&amp;IF(AND(H142="VMI",I142&lt;&gt;"")," por "&amp;I142,"")&amp;IF(J142&lt;&gt;""," ("&amp;J142&amp;")","")&amp;IF(K142&lt;&gt;"", ", "&amp;K142,"")&amp;IF(L142&lt;&gt;"", ", sob analgosedação com "&amp;L142,"")&amp;".",""),IF(M142&lt;&gt;"","Dieta "&amp;M142&amp;IF(N142&lt;&gt;"", ", com "&amp;LOWER(N142),"")&amp;IF(O142&lt;&gt;"", " — "&amp;O142,"")&amp;".",""),IF(P142="Febre","Apresentou episódio febril nas últimas 24h"&amp;IF(Q142&lt;&gt;""," ("&amp;Q142&amp;")","")&amp;".",IF(P142="Afebril","Encontra-se afebril.","")),IF(R142&lt;&gt;"",IF(S142="Sim","Apresenta disfunção renal aguda ","Função renal preservada ")&amp;"("&amp;R142&amp;").",""),IF(T142&lt;&gt;"","Em uso do esquema antimicrobiano com "&amp;T142&amp;".",""),IF(U142&lt;&gt;"","Em uso de profilaxia: "&amp;U142&amp;".",""))&amp;CHAR(10)&amp;CHAR(10)&amp;"2. Farmacoterapia"&amp;CHAR(10)&amp;IF(V142&lt;&gt;"","Corticoide/DART: "&amp;V142,"Sem corticoide/DART registrado.")&amp;CHAR(10)&amp;CHAR(10)&amp;"3. Conduta Farmacêutica"&amp;CHAR(10)&amp;IF(X142&lt;&gt;"","["&amp;W142&amp;"] "&amp;X142&amp;IF(Y142&lt;&gt;"", " ("&amp;Y142&amp;")",""),"Nenhuma intervenção registrada hoje.")&amp;CHAR(10)&amp;CHAR(10)&amp;"4. Plano Terapêutico"&amp;CHAR(10)&amp;IF(AB142&lt;&gt;"",AB142,"Não definido.")</f>
      </c>
    </row>
    <row r="143" spans="3:29" x14ac:dyDescent="0.25">
      <c r="AC143">
        <f>"1. Evolução Clínica"&amp;CHAR(10)&amp;TEXTJOIN(" ",TRUE,"Paciente "&amp;F143&amp;", "&amp;IF(G143="","sem DVA","em uso de "&amp;G143)&amp;".",IF(H143&lt;&gt;"","Em "&amp;H143&amp;IF(AND(H143="VMI",I143&lt;&gt;"")," por "&amp;I143,"")&amp;IF(J143&lt;&gt;""," ("&amp;J143&amp;")","")&amp;IF(K143&lt;&gt;"", ", "&amp;K143,"")&amp;IF(L143&lt;&gt;"", ", sob analgosedação com "&amp;L143,"")&amp;".",""),IF(M143&lt;&gt;"","Dieta "&amp;M143&amp;IF(N143&lt;&gt;"", ", com "&amp;LOWER(N143),"")&amp;IF(O143&lt;&gt;"", " — "&amp;O143,"")&amp;".",""),IF(P143="Febre","Apresentou episódio febril nas últimas 24h"&amp;IF(Q143&lt;&gt;""," ("&amp;Q143&amp;")","")&amp;".",IF(P143="Afebril","Encontra-se afebril.","")),IF(R143&lt;&gt;"",IF(S143="Sim","Apresenta disfunção renal aguda ","Função renal preservada ")&amp;"("&amp;R143&amp;").",""),IF(T143&lt;&gt;"","Em uso do esquema antimicrobiano com "&amp;T143&amp;".",""),IF(U143&lt;&gt;"","Em uso de profilaxia: "&amp;U143&amp;".",""))&amp;CHAR(10)&amp;CHAR(10)&amp;"2. Farmacoterapia"&amp;CHAR(10)&amp;IF(V143&lt;&gt;"","Corticoide/DART: "&amp;V143,"Sem corticoide/DART registrado.")&amp;CHAR(10)&amp;CHAR(10)&amp;"3. Conduta Farmacêutica"&amp;CHAR(10)&amp;IF(X143&lt;&gt;"","["&amp;W143&amp;"] "&amp;X143&amp;IF(Y143&lt;&gt;"", " ("&amp;Y143&amp;")",""),"Nenhuma intervenção registrada hoje.")&amp;CHAR(10)&amp;CHAR(10)&amp;"4. Plano Terapêutico"&amp;CHAR(10)&amp;IF(AB143&lt;&gt;"",AB143,"Não definido.")</f>
      </c>
    </row>
    <row r="144" spans="3:29" x14ac:dyDescent="0.25">
      <c r="AC144">
        <f>"1. Evolução Clínica"&amp;CHAR(10)&amp;TEXTJOIN(" ",TRUE,"Paciente "&amp;F144&amp;", "&amp;IF(G144="","sem DVA","em uso de "&amp;G144)&amp;".",IF(H144&lt;&gt;"","Em "&amp;H144&amp;IF(AND(H144="VMI",I144&lt;&gt;"")," por "&amp;I144,"")&amp;IF(J144&lt;&gt;""," ("&amp;J144&amp;")","")&amp;IF(K144&lt;&gt;"", ", "&amp;K144,"")&amp;IF(L144&lt;&gt;"", ", sob analgosedação com "&amp;L144,"")&amp;".",""),IF(M144&lt;&gt;"","Dieta "&amp;M144&amp;IF(N144&lt;&gt;"", ", com "&amp;LOWER(N144),"")&amp;IF(O144&lt;&gt;"", " — "&amp;O144,"")&amp;".",""),IF(P144="Febre","Apresentou episódio febril nas últimas 24h"&amp;IF(Q144&lt;&gt;""," ("&amp;Q144&amp;")","")&amp;".",IF(P144="Afebril","Encontra-se afebril.","")),IF(R144&lt;&gt;"",IF(S144="Sim","Apresenta disfunção renal aguda ","Função renal preservada ")&amp;"("&amp;R144&amp;").",""),IF(T144&lt;&gt;"","Em uso do esquema antimicrobiano com "&amp;T144&amp;".",""),IF(U144&lt;&gt;"","Em uso de profilaxia: "&amp;U144&amp;".",""))&amp;CHAR(10)&amp;CHAR(10)&amp;"2. Farmacoterapia"&amp;CHAR(10)&amp;IF(V144&lt;&gt;"","Corticoide/DART: "&amp;V144,"Sem corticoide/DART registrado.")&amp;CHAR(10)&amp;CHAR(10)&amp;"3. Conduta Farmacêutica"&amp;CHAR(10)&amp;IF(X144&lt;&gt;"","["&amp;W144&amp;"] "&amp;X144&amp;IF(Y144&lt;&gt;"", " ("&amp;Y144&amp;")",""),"Nenhuma intervenção registrada hoje.")&amp;CHAR(10)&amp;CHAR(10)&amp;"4. Plano Terapêutico"&amp;CHAR(10)&amp;IF(AB144&lt;&gt;"",AB144,"Não definido.")</f>
      </c>
    </row>
    <row r="145" spans="3:29" x14ac:dyDescent="0.25">
      <c r="AC145">
        <f>"1. Evolução Clínica"&amp;CHAR(10)&amp;TEXTJOIN(" ",TRUE,"Paciente "&amp;F145&amp;", "&amp;IF(G145="","sem DVA","em uso de "&amp;G145)&amp;".",IF(H145&lt;&gt;"","Em "&amp;H145&amp;IF(AND(H145="VMI",I145&lt;&gt;"")," por "&amp;I145,"")&amp;IF(J145&lt;&gt;""," ("&amp;J145&amp;")","")&amp;IF(K145&lt;&gt;"", ", "&amp;K145,"")&amp;IF(L145&lt;&gt;"", ", sob analgosedação com "&amp;L145,"")&amp;".",""),IF(M145&lt;&gt;"","Dieta "&amp;M145&amp;IF(N145&lt;&gt;"", ", com "&amp;LOWER(N145),"")&amp;IF(O145&lt;&gt;"", " — "&amp;O145,"")&amp;".",""),IF(P145="Febre","Apresentou episódio febril nas últimas 24h"&amp;IF(Q145&lt;&gt;""," ("&amp;Q145&amp;")","")&amp;".",IF(P145="Afebril","Encontra-se afebril.","")),IF(R145&lt;&gt;"",IF(S145="Sim","Apresenta disfunção renal aguda ","Função renal preservada ")&amp;"("&amp;R145&amp;").",""),IF(T145&lt;&gt;"","Em uso do esquema antimicrobiano com "&amp;T145&amp;".",""),IF(U145&lt;&gt;"","Em uso de profilaxia: "&amp;U145&amp;".",""))&amp;CHAR(10)&amp;CHAR(10)&amp;"2. Farmacoterapia"&amp;CHAR(10)&amp;IF(V145&lt;&gt;"","Corticoide/DART: "&amp;V145,"Sem corticoide/DART registrado.")&amp;CHAR(10)&amp;CHAR(10)&amp;"3. Conduta Farmacêutica"&amp;CHAR(10)&amp;IF(X145&lt;&gt;"","["&amp;W145&amp;"] "&amp;X145&amp;IF(Y145&lt;&gt;"", " ("&amp;Y145&amp;")",""),"Nenhuma intervenção registrada hoje.")&amp;CHAR(10)&amp;CHAR(10)&amp;"4. Plano Terapêutico"&amp;CHAR(10)&amp;IF(AB145&lt;&gt;"",AB145,"Não definido.")</f>
      </c>
    </row>
    <row r="146" spans="3:29" x14ac:dyDescent="0.25">
      <c r="AC146">
        <f>"1. Evolução Clínica"&amp;CHAR(10)&amp;TEXTJOIN(" ",TRUE,"Paciente "&amp;F146&amp;", "&amp;IF(G146="","sem DVA","em uso de "&amp;G146)&amp;".",IF(H146&lt;&gt;"","Em "&amp;H146&amp;IF(AND(H146="VMI",I146&lt;&gt;"")," por "&amp;I146,"")&amp;IF(J146&lt;&gt;""," ("&amp;J146&amp;")","")&amp;IF(K146&lt;&gt;"", ", "&amp;K146,"")&amp;IF(L146&lt;&gt;"", ", sob analgosedação com "&amp;L146,"")&amp;".",""),IF(M146&lt;&gt;"","Dieta "&amp;M146&amp;IF(N146&lt;&gt;"", ", com "&amp;LOWER(N146),"")&amp;IF(O146&lt;&gt;"", " — "&amp;O146,"")&amp;".",""),IF(P146="Febre","Apresentou episódio febril nas últimas 24h"&amp;IF(Q146&lt;&gt;""," ("&amp;Q146&amp;")","")&amp;".",IF(P146="Afebril","Encontra-se afebril.","")),IF(R146&lt;&gt;"",IF(S146="Sim","Apresenta disfunção renal aguda ","Função renal preservada ")&amp;"("&amp;R146&amp;").",""),IF(T146&lt;&gt;"","Em uso do esquema antimicrobiano com "&amp;T146&amp;".",""),IF(U146&lt;&gt;"","Em uso de profilaxia: "&amp;U146&amp;".",""))&amp;CHAR(10)&amp;CHAR(10)&amp;"2. Farmacoterapia"&amp;CHAR(10)&amp;IF(V146&lt;&gt;"","Corticoide/DART: "&amp;V146,"Sem corticoide/DART registrado.")&amp;CHAR(10)&amp;CHAR(10)&amp;"3. Conduta Farmacêutica"&amp;CHAR(10)&amp;IF(X146&lt;&gt;"","["&amp;W146&amp;"] "&amp;X146&amp;IF(Y146&lt;&gt;"", " ("&amp;Y146&amp;")",""),"Nenhuma intervenção registrada hoje.")&amp;CHAR(10)&amp;CHAR(10)&amp;"4. Plano Terapêutico"&amp;CHAR(10)&amp;IF(AB146&lt;&gt;"",AB146,"Não definido.")</f>
      </c>
    </row>
    <row r="147" spans="3:29" x14ac:dyDescent="0.25">
      <c r="AC147">
        <f>"1. Evolução Clínica"&amp;CHAR(10)&amp;TEXTJOIN(" ",TRUE,"Paciente "&amp;F147&amp;", "&amp;IF(G147="","sem DVA","em uso de "&amp;G147)&amp;".",IF(H147&lt;&gt;"","Em "&amp;H147&amp;IF(AND(H147="VMI",I147&lt;&gt;"")," por "&amp;I147,"")&amp;IF(J147&lt;&gt;""," ("&amp;J147&amp;")","")&amp;IF(K147&lt;&gt;"", ", "&amp;K147,"")&amp;IF(L147&lt;&gt;"", ", sob analgosedação com "&amp;L147,"")&amp;".",""),IF(M147&lt;&gt;"","Dieta "&amp;M147&amp;IF(N147&lt;&gt;"", ", com "&amp;LOWER(N147),"")&amp;IF(O147&lt;&gt;"", " — "&amp;O147,"")&amp;".",""),IF(P147="Febre","Apresentou episódio febril nas últimas 24h"&amp;IF(Q147&lt;&gt;""," ("&amp;Q147&amp;")","")&amp;".",IF(P147="Afebril","Encontra-se afebril.","")),IF(R147&lt;&gt;"",IF(S147="Sim","Apresenta disfunção renal aguda ","Função renal preservada ")&amp;"("&amp;R147&amp;").",""),IF(T147&lt;&gt;"","Em uso do esquema antimicrobiano com "&amp;T147&amp;".",""),IF(U147&lt;&gt;"","Em uso de profilaxia: "&amp;U147&amp;".",""))&amp;CHAR(10)&amp;CHAR(10)&amp;"2. Farmacoterapia"&amp;CHAR(10)&amp;IF(V147&lt;&gt;"","Corticoide/DART: "&amp;V147,"Sem corticoide/DART registrado.")&amp;CHAR(10)&amp;CHAR(10)&amp;"3. Conduta Farmacêutica"&amp;CHAR(10)&amp;IF(X147&lt;&gt;"","["&amp;W147&amp;"] "&amp;X147&amp;IF(Y147&lt;&gt;"", " ("&amp;Y147&amp;")",""),"Nenhuma intervenção registrada hoje.")&amp;CHAR(10)&amp;CHAR(10)&amp;"4. Plano Terapêutico"&amp;CHAR(10)&amp;IF(AB147&lt;&gt;"",AB147,"Não definido.")</f>
      </c>
    </row>
    <row r="148" spans="3:29" x14ac:dyDescent="0.25">
      <c r="AC148">
        <f>"1. Evolução Clínica"&amp;CHAR(10)&amp;TEXTJOIN(" ",TRUE,"Paciente "&amp;F148&amp;", "&amp;IF(G148="","sem DVA","em uso de "&amp;G148)&amp;".",IF(H148&lt;&gt;"","Em "&amp;H148&amp;IF(AND(H148="VMI",I148&lt;&gt;"")," por "&amp;I148,"")&amp;IF(J148&lt;&gt;""," ("&amp;J148&amp;")","")&amp;IF(K148&lt;&gt;"", ", "&amp;K148,"")&amp;IF(L148&lt;&gt;"", ", sob analgosedação com "&amp;L148,"")&amp;".",""),IF(M148&lt;&gt;"","Dieta "&amp;M148&amp;IF(N148&lt;&gt;"", ", com "&amp;LOWER(N148),"")&amp;IF(O148&lt;&gt;"", " — "&amp;O148,"")&amp;".",""),IF(P148="Febre","Apresentou episódio febril nas últimas 24h"&amp;IF(Q148&lt;&gt;""," ("&amp;Q148&amp;")","")&amp;".",IF(P148="Afebril","Encontra-se afebril.","")),IF(R148&lt;&gt;"",IF(S148="Sim","Apresenta disfunção renal aguda ","Função renal preservada ")&amp;"("&amp;R148&amp;").",""),IF(T148&lt;&gt;"","Em uso do esquema antimicrobiano com "&amp;T148&amp;".",""),IF(U148&lt;&gt;"","Em uso de profilaxia: "&amp;U148&amp;".",""))&amp;CHAR(10)&amp;CHAR(10)&amp;"2. Farmacoterapia"&amp;CHAR(10)&amp;IF(V148&lt;&gt;"","Corticoide/DART: "&amp;V148,"Sem corticoide/DART registrado.")&amp;CHAR(10)&amp;CHAR(10)&amp;"3. Conduta Farmacêutica"&amp;CHAR(10)&amp;IF(X148&lt;&gt;"","["&amp;W148&amp;"] "&amp;X148&amp;IF(Y148&lt;&gt;"", " ("&amp;Y148&amp;")",""),"Nenhuma intervenção registrada hoje.")&amp;CHAR(10)&amp;CHAR(10)&amp;"4. Plano Terapêutico"&amp;CHAR(10)&amp;IF(AB148&lt;&gt;"",AB148,"Não definido.")</f>
      </c>
    </row>
    <row r="149" spans="3:29" x14ac:dyDescent="0.25">
      <c r="AC149">
        <f>"1. Evolução Clínica"&amp;CHAR(10)&amp;TEXTJOIN(" ",TRUE,"Paciente "&amp;F149&amp;", "&amp;IF(G149="","sem DVA","em uso de "&amp;G149)&amp;".",IF(H149&lt;&gt;"","Em "&amp;H149&amp;IF(AND(H149="VMI",I149&lt;&gt;"")," por "&amp;I149,"")&amp;IF(J149&lt;&gt;""," ("&amp;J149&amp;")","")&amp;IF(K149&lt;&gt;"", ", "&amp;K149,"")&amp;IF(L149&lt;&gt;"", ", sob analgosedação com "&amp;L149,"")&amp;".",""),IF(M149&lt;&gt;"","Dieta "&amp;M149&amp;IF(N149&lt;&gt;"", ", com "&amp;LOWER(N149),"")&amp;IF(O149&lt;&gt;"", " — "&amp;O149,"")&amp;".",""),IF(P149="Febre","Apresentou episódio febril nas últimas 24h"&amp;IF(Q149&lt;&gt;""," ("&amp;Q149&amp;")","")&amp;".",IF(P149="Afebril","Encontra-se afebril.","")),IF(R149&lt;&gt;"",IF(S149="Sim","Apresenta disfunção renal aguda ","Função renal preservada ")&amp;"("&amp;R149&amp;").",""),IF(T149&lt;&gt;"","Em uso do esquema antimicrobiano com "&amp;T149&amp;".",""),IF(U149&lt;&gt;"","Em uso de profilaxia: "&amp;U149&amp;".",""))&amp;CHAR(10)&amp;CHAR(10)&amp;"2. Farmacoterapia"&amp;CHAR(10)&amp;IF(V149&lt;&gt;"","Corticoide/DART: "&amp;V149,"Sem corticoide/DART registrado.")&amp;CHAR(10)&amp;CHAR(10)&amp;"3. Conduta Farmacêutica"&amp;CHAR(10)&amp;IF(X149&lt;&gt;"","["&amp;W149&amp;"] "&amp;X149&amp;IF(Y149&lt;&gt;"", " ("&amp;Y149&amp;")",""),"Nenhuma intervenção registrada hoje.")&amp;CHAR(10)&amp;CHAR(10)&amp;"4. Plano Terapêutico"&amp;CHAR(10)&amp;IF(AB149&lt;&gt;"",AB149,"Não definido.")</f>
      </c>
    </row>
    <row r="150" spans="3:29" x14ac:dyDescent="0.25">
      <c r="AC150">
        <f>"1. Evolução Clínica"&amp;CHAR(10)&amp;TEXTJOIN(" ",TRUE,"Paciente "&amp;F150&amp;", "&amp;IF(G150="","sem DVA","em uso de "&amp;G150)&amp;".",IF(H150&lt;&gt;"","Em "&amp;H150&amp;IF(AND(H150="VMI",I150&lt;&gt;"")," por "&amp;I150,"")&amp;IF(J150&lt;&gt;""," ("&amp;J150&amp;")","")&amp;IF(K150&lt;&gt;"", ", "&amp;K150,"")&amp;IF(L150&lt;&gt;"", ", sob analgosedação com "&amp;L150,"")&amp;".",""),IF(M150&lt;&gt;"","Dieta "&amp;M150&amp;IF(N150&lt;&gt;"", ", com "&amp;LOWER(N150),"")&amp;IF(O150&lt;&gt;"", " — "&amp;O150,"")&amp;".",""),IF(P150="Febre","Apresentou episódio febril nas últimas 24h"&amp;IF(Q150&lt;&gt;""," ("&amp;Q150&amp;")","")&amp;".",IF(P150="Afebril","Encontra-se afebril.","")),IF(R150&lt;&gt;"",IF(S150="Sim","Apresenta disfunção renal aguda ","Função renal preservada ")&amp;"("&amp;R150&amp;").",""),IF(T150&lt;&gt;"","Em uso do esquema antimicrobiano com "&amp;T150&amp;".",""),IF(U150&lt;&gt;"","Em uso de profilaxia: "&amp;U150&amp;".",""))&amp;CHAR(10)&amp;CHAR(10)&amp;"2. Farmacoterapia"&amp;CHAR(10)&amp;IF(V150&lt;&gt;"","Corticoide/DART: "&amp;V150,"Sem corticoide/DART registrado.")&amp;CHAR(10)&amp;CHAR(10)&amp;"3. Conduta Farmacêutica"&amp;CHAR(10)&amp;IF(X150&lt;&gt;"","["&amp;W150&amp;"] "&amp;X150&amp;IF(Y150&lt;&gt;"", " ("&amp;Y150&amp;")",""),"Nenhuma intervenção registrada hoje.")&amp;CHAR(10)&amp;CHAR(10)&amp;"4. Plano Terapêutico"&amp;CHAR(10)&amp;IF(AB150&lt;&gt;"",AB150,"Não definido.")</f>
      </c>
    </row>
    <row r="151" spans="3:29" x14ac:dyDescent="0.25">
      <c r="AC151">
        <f>"1. Evolução Clínica"&amp;CHAR(10)&amp;TEXTJOIN(" ",TRUE,"Paciente "&amp;F151&amp;", "&amp;IF(G151="","sem DVA","em uso de "&amp;G151)&amp;".",IF(H151&lt;&gt;"","Em "&amp;H151&amp;IF(AND(H151="VMI",I151&lt;&gt;"")," por "&amp;I151,"")&amp;IF(J151&lt;&gt;""," ("&amp;J151&amp;")","")&amp;IF(K151&lt;&gt;"", ", "&amp;K151,"")&amp;IF(L151&lt;&gt;"", ", sob analgosedação com "&amp;L151,"")&amp;".",""),IF(M151&lt;&gt;"","Dieta "&amp;M151&amp;IF(N151&lt;&gt;"", ", com "&amp;LOWER(N151),"")&amp;IF(O151&lt;&gt;"", " — "&amp;O151,"")&amp;".",""),IF(P151="Febre","Apresentou episódio febril nas últimas 24h"&amp;IF(Q151&lt;&gt;""," ("&amp;Q151&amp;")","")&amp;".",IF(P151="Afebril","Encontra-se afebril.","")),IF(R151&lt;&gt;"",IF(S151="Sim","Apresenta disfunção renal aguda ","Função renal preservada ")&amp;"("&amp;R151&amp;").",""),IF(T151&lt;&gt;"","Em uso do esquema antimicrobiano com "&amp;T151&amp;".",""),IF(U151&lt;&gt;"","Em uso de profilaxia: "&amp;U151&amp;".",""))&amp;CHAR(10)&amp;CHAR(10)&amp;"2. Farmacoterapia"&amp;CHAR(10)&amp;IF(V151&lt;&gt;"","Corticoide/DART: "&amp;V151,"Sem corticoide/DART registrado.")&amp;CHAR(10)&amp;CHAR(10)&amp;"3. Conduta Farmacêutica"&amp;CHAR(10)&amp;IF(X151&lt;&gt;"","["&amp;W151&amp;"] "&amp;X151&amp;IF(Y151&lt;&gt;"", " ("&amp;Y151&amp;")",""),"Nenhuma intervenção registrada hoje.")&amp;CHAR(10)&amp;CHAR(10)&amp;"4. Plano Terapêutico"&amp;CHAR(10)&amp;IF(AB151&lt;&gt;"",AB151,"Não definido.")</f>
      </c>
    </row>
    <row r="152" spans="3:29" x14ac:dyDescent="0.25">
      <c r="AC152">
        <f>"1. Evolução Clínica"&amp;CHAR(10)&amp;TEXTJOIN(" ",TRUE,"Paciente "&amp;F152&amp;", "&amp;IF(G152="","sem DVA","em uso de "&amp;G152)&amp;".",IF(H152&lt;&gt;"","Em "&amp;H152&amp;IF(AND(H152="VMI",I152&lt;&gt;"")," por "&amp;I152,"")&amp;IF(J152&lt;&gt;""," ("&amp;J152&amp;")","")&amp;IF(K152&lt;&gt;"", ", "&amp;K152,"")&amp;IF(L152&lt;&gt;"", ", sob analgosedação com "&amp;L152,"")&amp;".",""),IF(M152&lt;&gt;"","Dieta "&amp;M152&amp;IF(N152&lt;&gt;"", ", com "&amp;LOWER(N152),"")&amp;IF(O152&lt;&gt;"", " — "&amp;O152,"")&amp;".",""),IF(P152="Febre","Apresentou episódio febril nas últimas 24h"&amp;IF(Q152&lt;&gt;""," ("&amp;Q152&amp;")","")&amp;".",IF(P152="Afebril","Encontra-se afebril.","")),IF(R152&lt;&gt;"",IF(S152="Sim","Apresenta disfunção renal aguda ","Função renal preservada ")&amp;"("&amp;R152&amp;").",""),IF(T152&lt;&gt;"","Em uso do esquema antimicrobiano com "&amp;T152&amp;".",""),IF(U152&lt;&gt;"","Em uso de profilaxia: "&amp;U152&amp;".",""))&amp;CHAR(10)&amp;CHAR(10)&amp;"2. Farmacoterapia"&amp;CHAR(10)&amp;IF(V152&lt;&gt;"","Corticoide/DART: "&amp;V152,"Sem corticoide/DART registrado.")&amp;CHAR(10)&amp;CHAR(10)&amp;"3. Conduta Farmacêutica"&amp;CHAR(10)&amp;IF(X152&lt;&gt;"","["&amp;W152&amp;"] "&amp;X152&amp;IF(Y152&lt;&gt;"", " ("&amp;Y152&amp;")",""),"Nenhuma intervenção registrada hoje.")&amp;CHAR(10)&amp;CHAR(10)&amp;"4. Plano Terapêutico"&amp;CHAR(10)&amp;IF(AB152&lt;&gt;"",AB152,"Não definido.")</f>
      </c>
    </row>
    <row r="153" spans="3:29" x14ac:dyDescent="0.25">
      <c r="AC153">
        <f>"1. Evolução Clínica"&amp;CHAR(10)&amp;TEXTJOIN(" ",TRUE,"Paciente "&amp;F153&amp;", "&amp;IF(G153="","sem DVA","em uso de "&amp;G153)&amp;".",IF(H153&lt;&gt;"","Em "&amp;H153&amp;IF(AND(H153="VMI",I153&lt;&gt;"")," por "&amp;I153,"")&amp;IF(J153&lt;&gt;""," ("&amp;J153&amp;")","")&amp;IF(K153&lt;&gt;"", ", "&amp;K153,"")&amp;IF(L153&lt;&gt;"", ", sob analgosedação com "&amp;L153,"")&amp;".",""),IF(M153&lt;&gt;"","Dieta "&amp;M153&amp;IF(N153&lt;&gt;"", ", com "&amp;LOWER(N153),"")&amp;IF(O153&lt;&gt;"", " — "&amp;O153,"")&amp;".",""),IF(P153="Febre","Apresentou episódio febril nas últimas 24h"&amp;IF(Q153&lt;&gt;""," ("&amp;Q153&amp;")","")&amp;".",IF(P153="Afebril","Encontra-se afebril.","")),IF(R153&lt;&gt;"",IF(S153="Sim","Apresenta disfunção renal aguda ","Função renal preservada ")&amp;"("&amp;R153&amp;").",""),IF(T153&lt;&gt;"","Em uso do esquema antimicrobiano com "&amp;T153&amp;".",""),IF(U153&lt;&gt;"","Em uso de profilaxia: "&amp;U153&amp;".",""))&amp;CHAR(10)&amp;CHAR(10)&amp;"2. Farmacoterapia"&amp;CHAR(10)&amp;IF(V153&lt;&gt;"","Corticoide/DART: "&amp;V153,"Sem corticoide/DART registrado.")&amp;CHAR(10)&amp;CHAR(10)&amp;"3. Conduta Farmacêutica"&amp;CHAR(10)&amp;IF(X153&lt;&gt;"","["&amp;W153&amp;"] "&amp;X153&amp;IF(Y153&lt;&gt;"", " ("&amp;Y153&amp;")",""),"Nenhuma intervenção registrada hoje.")&amp;CHAR(10)&amp;CHAR(10)&amp;"4. Plano Terapêutico"&amp;CHAR(10)&amp;IF(AB153&lt;&gt;"",AB153,"Não definido.")</f>
      </c>
    </row>
    <row r="154" spans="3:29" x14ac:dyDescent="0.25">
      <c r="AC154">
        <f>"1. Evolução Clínica"&amp;CHAR(10)&amp;TEXTJOIN(" ",TRUE,"Paciente "&amp;F154&amp;", "&amp;IF(G154="","sem DVA","em uso de "&amp;G154)&amp;".",IF(H154&lt;&gt;"","Em "&amp;H154&amp;IF(AND(H154="VMI",I154&lt;&gt;"")," por "&amp;I154,"")&amp;IF(J154&lt;&gt;""," ("&amp;J154&amp;")","")&amp;IF(K154&lt;&gt;"", ", "&amp;K154,"")&amp;IF(L154&lt;&gt;"", ", sob analgosedação com "&amp;L154,"")&amp;".",""),IF(M154&lt;&gt;"","Dieta "&amp;M154&amp;IF(N154&lt;&gt;"", ", com "&amp;LOWER(N154),"")&amp;IF(O154&lt;&gt;"", " — "&amp;O154,"")&amp;".",""),IF(P154="Febre","Apresentou episódio febril nas últimas 24h"&amp;IF(Q154&lt;&gt;""," ("&amp;Q154&amp;")","")&amp;".",IF(P154="Afebril","Encontra-se afebril.","")),IF(R154&lt;&gt;"",IF(S154="Sim","Apresenta disfunção renal aguda ","Função renal preservada ")&amp;"("&amp;R154&amp;").",""),IF(T154&lt;&gt;"","Em uso do esquema antimicrobiano com "&amp;T154&amp;".",""),IF(U154&lt;&gt;"","Em uso de profilaxia: "&amp;U154&amp;".",""))&amp;CHAR(10)&amp;CHAR(10)&amp;"2. Farmacoterapia"&amp;CHAR(10)&amp;IF(V154&lt;&gt;"","Corticoide/DART: "&amp;V154,"Sem corticoide/DART registrado.")&amp;CHAR(10)&amp;CHAR(10)&amp;"3. Conduta Farmacêutica"&amp;CHAR(10)&amp;IF(X154&lt;&gt;"","["&amp;W154&amp;"] "&amp;X154&amp;IF(Y154&lt;&gt;"", " ("&amp;Y154&amp;")",""),"Nenhuma intervenção registrada hoje.")&amp;CHAR(10)&amp;CHAR(10)&amp;"4. Plano Terapêutico"&amp;CHAR(10)&amp;IF(AB154&lt;&gt;"",AB154,"Não definido.")</f>
      </c>
    </row>
    <row r="155" spans="3:29" x14ac:dyDescent="0.25">
      <c r="AC155">
        <f>"1. Evolução Clínica"&amp;CHAR(10)&amp;TEXTJOIN(" ",TRUE,"Paciente "&amp;F155&amp;", "&amp;IF(G155="","sem DVA","em uso de "&amp;G155)&amp;".",IF(H155&lt;&gt;"","Em "&amp;H155&amp;IF(AND(H155="VMI",I155&lt;&gt;"")," por "&amp;I155,"")&amp;IF(J155&lt;&gt;""," ("&amp;J155&amp;")","")&amp;IF(K155&lt;&gt;"", ", "&amp;K155,"")&amp;IF(L155&lt;&gt;"", ", sob analgosedação com "&amp;L155,"")&amp;".",""),IF(M155&lt;&gt;"","Dieta "&amp;M155&amp;IF(N155&lt;&gt;"", ", com "&amp;LOWER(N155),"")&amp;IF(O155&lt;&gt;"", " — "&amp;O155,"")&amp;".",""),IF(P155="Febre","Apresentou episódio febril nas últimas 24h"&amp;IF(Q155&lt;&gt;""," ("&amp;Q155&amp;")","")&amp;".",IF(P155="Afebril","Encontra-se afebril.","")),IF(R155&lt;&gt;"",IF(S155="Sim","Apresenta disfunção renal aguda ","Função renal preservada ")&amp;"("&amp;R155&amp;").",""),IF(T155&lt;&gt;"","Em uso do esquema antimicrobiano com "&amp;T155&amp;".",""),IF(U155&lt;&gt;"","Em uso de profilaxia: "&amp;U155&amp;".",""))&amp;CHAR(10)&amp;CHAR(10)&amp;"2. Farmacoterapia"&amp;CHAR(10)&amp;IF(V155&lt;&gt;"","Corticoide/DART: "&amp;V155,"Sem corticoide/DART registrado.")&amp;CHAR(10)&amp;CHAR(10)&amp;"3. Conduta Farmacêutica"&amp;CHAR(10)&amp;IF(X155&lt;&gt;"","["&amp;W155&amp;"] "&amp;X155&amp;IF(Y155&lt;&gt;"", " ("&amp;Y155&amp;")",""),"Nenhuma intervenção registrada hoje.")&amp;CHAR(10)&amp;CHAR(10)&amp;"4. Plano Terapêutico"&amp;CHAR(10)&amp;IF(AB155&lt;&gt;"",AB155,"Não definido.")</f>
      </c>
    </row>
    <row r="156" spans="3:29" x14ac:dyDescent="0.25">
      <c r="AC156">
        <f>"1. Evolução Clínica"&amp;CHAR(10)&amp;TEXTJOIN(" ",TRUE,"Paciente "&amp;F156&amp;", "&amp;IF(G156="","sem DVA","em uso de "&amp;G156)&amp;".",IF(H156&lt;&gt;"","Em "&amp;H156&amp;IF(AND(H156="VMI",I156&lt;&gt;"")," por "&amp;I156,"")&amp;IF(J156&lt;&gt;""," ("&amp;J156&amp;")","")&amp;IF(K156&lt;&gt;"", ", "&amp;K156,"")&amp;IF(L156&lt;&gt;"", ", sob analgosedação com "&amp;L156,"")&amp;".",""),IF(M156&lt;&gt;"","Dieta "&amp;M156&amp;IF(N156&lt;&gt;"", ", com "&amp;LOWER(N156),"")&amp;IF(O156&lt;&gt;"", " — "&amp;O156,"")&amp;".",""),IF(P156="Febre","Apresentou episódio febril nas últimas 24h"&amp;IF(Q156&lt;&gt;""," ("&amp;Q156&amp;")","")&amp;".",IF(P156="Afebril","Encontra-se afebril.","")),IF(R156&lt;&gt;"",IF(S156="Sim","Apresenta disfunção renal aguda ","Função renal preservada ")&amp;"("&amp;R156&amp;").",""),IF(T156&lt;&gt;"","Em uso do esquema antimicrobiano com "&amp;T156&amp;".",""),IF(U156&lt;&gt;"","Em uso de profilaxia: "&amp;U156&amp;".",""))&amp;CHAR(10)&amp;CHAR(10)&amp;"2. Farmacoterapia"&amp;CHAR(10)&amp;IF(V156&lt;&gt;"","Corticoide/DART: "&amp;V156,"Sem corticoide/DART registrado.")&amp;CHAR(10)&amp;CHAR(10)&amp;"3. Conduta Farmacêutica"&amp;CHAR(10)&amp;IF(X156&lt;&gt;"","["&amp;W156&amp;"] "&amp;X156&amp;IF(Y156&lt;&gt;"", " ("&amp;Y156&amp;")",""),"Nenhuma intervenção registrada hoje.")&amp;CHAR(10)&amp;CHAR(10)&amp;"4. Plano Terapêutico"&amp;CHAR(10)&amp;IF(AB156&lt;&gt;"",AB156,"Não definido.")</f>
      </c>
    </row>
    <row r="157" spans="3:29" x14ac:dyDescent="0.25">
      <c r="AC157">
        <f>"1. Evolução Clínica"&amp;CHAR(10)&amp;TEXTJOIN(" ",TRUE,"Paciente "&amp;F157&amp;", "&amp;IF(G157="","sem DVA","em uso de "&amp;G157)&amp;".",IF(H157&lt;&gt;"","Em "&amp;H157&amp;IF(AND(H157="VMI",I157&lt;&gt;"")," por "&amp;I157,"")&amp;IF(J157&lt;&gt;""," ("&amp;J157&amp;")","")&amp;IF(K157&lt;&gt;"", ", "&amp;K157,"")&amp;IF(L157&lt;&gt;"", ", sob analgosedação com "&amp;L157,"")&amp;".",""),IF(M157&lt;&gt;"","Dieta "&amp;M157&amp;IF(N157&lt;&gt;"", ", com "&amp;LOWER(N157),"")&amp;IF(O157&lt;&gt;"", " — "&amp;O157,"")&amp;".",""),IF(P157="Febre","Apresentou episódio febril nas últimas 24h"&amp;IF(Q157&lt;&gt;""," ("&amp;Q157&amp;")","")&amp;".",IF(P157="Afebril","Encontra-se afebril.","")),IF(R157&lt;&gt;"",IF(S157="Sim","Apresenta disfunção renal aguda ","Função renal preservada ")&amp;"("&amp;R157&amp;").",""),IF(T157&lt;&gt;"","Em uso do esquema antimicrobiano com "&amp;T157&amp;".",""),IF(U157&lt;&gt;"","Em uso de profilaxia: "&amp;U157&amp;".",""))&amp;CHAR(10)&amp;CHAR(10)&amp;"2. Farmacoterapia"&amp;CHAR(10)&amp;IF(V157&lt;&gt;"","Corticoide/DART: "&amp;V157,"Sem corticoide/DART registrado.")&amp;CHAR(10)&amp;CHAR(10)&amp;"3. Conduta Farmacêutica"&amp;CHAR(10)&amp;IF(X157&lt;&gt;"","["&amp;W157&amp;"] "&amp;X157&amp;IF(Y157&lt;&gt;"", " ("&amp;Y157&amp;")",""),"Nenhuma intervenção registrada hoje.")&amp;CHAR(10)&amp;CHAR(10)&amp;"4. Plano Terapêutico"&amp;CHAR(10)&amp;IF(AB157&lt;&gt;"",AB157,"Não definido.")</f>
      </c>
    </row>
    <row r="158" spans="3:29" x14ac:dyDescent="0.25">
      <c r="AC158">
        <f>"1. Evolução Clínica"&amp;CHAR(10)&amp;TEXTJOIN(" ",TRUE,"Paciente "&amp;F158&amp;", "&amp;IF(G158="","sem DVA","em uso de "&amp;G158)&amp;".",IF(H158&lt;&gt;"","Em "&amp;H158&amp;IF(AND(H158="VMI",I158&lt;&gt;"")," por "&amp;I158,"")&amp;IF(J158&lt;&gt;""," ("&amp;J158&amp;")","")&amp;IF(K158&lt;&gt;"", ", "&amp;K158,"")&amp;IF(L158&lt;&gt;"", ", sob analgosedação com "&amp;L158,"")&amp;".",""),IF(M158&lt;&gt;"","Dieta "&amp;M158&amp;IF(N158&lt;&gt;"", ", com "&amp;LOWER(N158),"")&amp;IF(O158&lt;&gt;"", " — "&amp;O158,"")&amp;".",""),IF(P158="Febre","Apresentou episódio febril nas últimas 24h"&amp;IF(Q158&lt;&gt;""," ("&amp;Q158&amp;")","")&amp;".",IF(P158="Afebril","Encontra-se afebril.","")),IF(R158&lt;&gt;"",IF(S158="Sim","Apresenta disfunção renal aguda ","Função renal preservada ")&amp;"("&amp;R158&amp;").",""),IF(T158&lt;&gt;"","Em uso do esquema antimicrobiano com "&amp;T158&amp;".",""),IF(U158&lt;&gt;"","Em uso de profilaxia: "&amp;U158&amp;".",""))&amp;CHAR(10)&amp;CHAR(10)&amp;"2. Farmacoterapia"&amp;CHAR(10)&amp;IF(V158&lt;&gt;"","Corticoide/DART: "&amp;V158,"Sem corticoide/DART registrado.")&amp;CHAR(10)&amp;CHAR(10)&amp;"3. Conduta Farmacêutica"&amp;CHAR(10)&amp;IF(X158&lt;&gt;"","["&amp;W158&amp;"] "&amp;X158&amp;IF(Y158&lt;&gt;"", " ("&amp;Y158&amp;")",""),"Nenhuma intervenção registrada hoje.")&amp;CHAR(10)&amp;CHAR(10)&amp;"4. Plano Terapêutico"&amp;CHAR(10)&amp;IF(AB158&lt;&gt;"",AB158,"Não definido.")</f>
      </c>
    </row>
    <row r="159" spans="3:29" x14ac:dyDescent="0.25">
      <c r="AC159">
        <f>"1. Evolução Clínica"&amp;CHAR(10)&amp;TEXTJOIN(" ",TRUE,"Paciente "&amp;F159&amp;", "&amp;IF(G159="","sem DVA","em uso de "&amp;G159)&amp;".",IF(H159&lt;&gt;"","Em "&amp;H159&amp;IF(AND(H159="VMI",I159&lt;&gt;"")," por "&amp;I159,"")&amp;IF(J159&lt;&gt;""," ("&amp;J159&amp;")","")&amp;IF(K159&lt;&gt;"", ", "&amp;K159,"")&amp;IF(L159&lt;&gt;"", ", sob analgosedação com "&amp;L159,"")&amp;".",""),IF(M159&lt;&gt;"","Dieta "&amp;M159&amp;IF(N159&lt;&gt;"", ", com "&amp;LOWER(N159),"")&amp;IF(O159&lt;&gt;"", " — "&amp;O159,"")&amp;".",""),IF(P159="Febre","Apresentou episódio febril nas últimas 24h"&amp;IF(Q159&lt;&gt;""," ("&amp;Q159&amp;")","")&amp;".",IF(P159="Afebril","Encontra-se afebril.","")),IF(R159&lt;&gt;"",IF(S159="Sim","Apresenta disfunção renal aguda ","Função renal preservada ")&amp;"("&amp;R159&amp;").",""),IF(T159&lt;&gt;"","Em uso do esquema antimicrobiano com "&amp;T159&amp;".",""),IF(U159&lt;&gt;"","Em uso de profilaxia: "&amp;U159&amp;".",""))&amp;CHAR(10)&amp;CHAR(10)&amp;"2. Farmacoterapia"&amp;CHAR(10)&amp;IF(V159&lt;&gt;"","Corticoide/DART: "&amp;V159,"Sem corticoide/DART registrado.")&amp;CHAR(10)&amp;CHAR(10)&amp;"3. Conduta Farmacêutica"&amp;CHAR(10)&amp;IF(X159&lt;&gt;"","["&amp;W159&amp;"] "&amp;X159&amp;IF(Y159&lt;&gt;"", " ("&amp;Y159&amp;")",""),"Nenhuma intervenção registrada hoje.")&amp;CHAR(10)&amp;CHAR(10)&amp;"4. Plano Terapêutico"&amp;CHAR(10)&amp;IF(AB159&lt;&gt;"",AB159,"Não definido.")</f>
      </c>
    </row>
    <row r="160" spans="3:29" x14ac:dyDescent="0.25">
      <c r="AC160">
        <f>"1. Evolução Clínica"&amp;CHAR(10)&amp;TEXTJOIN(" ",TRUE,"Paciente "&amp;F160&amp;", "&amp;IF(G160="","sem DVA","em uso de "&amp;G160)&amp;".",IF(H160&lt;&gt;"","Em "&amp;H160&amp;IF(AND(H160="VMI",I160&lt;&gt;"")," por "&amp;I160,"")&amp;IF(J160&lt;&gt;""," ("&amp;J160&amp;")","")&amp;IF(K160&lt;&gt;"", ", "&amp;K160,"")&amp;IF(L160&lt;&gt;"", ", sob analgosedação com "&amp;L160,"")&amp;".",""),IF(M160&lt;&gt;"","Dieta "&amp;M160&amp;IF(N160&lt;&gt;"", ", com "&amp;LOWER(N160),"")&amp;IF(O160&lt;&gt;"", " — "&amp;O160,"")&amp;".",""),IF(P160="Febre","Apresentou episódio febril nas últimas 24h"&amp;IF(Q160&lt;&gt;""," ("&amp;Q160&amp;")","")&amp;".",IF(P160="Afebril","Encontra-se afebril.","")),IF(R160&lt;&gt;"",IF(S160="Sim","Apresenta disfunção renal aguda ","Função renal preservada ")&amp;"("&amp;R160&amp;").",""),IF(T160&lt;&gt;"","Em uso do esquema antimicrobiano com "&amp;T160&amp;".",""),IF(U160&lt;&gt;"","Em uso de profilaxia: "&amp;U160&amp;".",""))&amp;CHAR(10)&amp;CHAR(10)&amp;"2. Farmacoterapia"&amp;CHAR(10)&amp;IF(V160&lt;&gt;"","Corticoide/DART: "&amp;V160,"Sem corticoide/DART registrado.")&amp;CHAR(10)&amp;CHAR(10)&amp;"3. Conduta Farmacêutica"&amp;CHAR(10)&amp;IF(X160&lt;&gt;"","["&amp;W160&amp;"] "&amp;X160&amp;IF(Y160&lt;&gt;"", " ("&amp;Y160&amp;")",""),"Nenhuma intervenção registrada hoje.")&amp;CHAR(10)&amp;CHAR(10)&amp;"4. Plano Terapêutico"&amp;CHAR(10)&amp;IF(AB160&lt;&gt;"",AB160,"Não definido.")</f>
      </c>
    </row>
    <row r="161" spans="3:29" x14ac:dyDescent="0.25">
      <c r="AC161">
        <f>"1. Evolução Clínica"&amp;CHAR(10)&amp;TEXTJOIN(" ",TRUE,"Paciente "&amp;F161&amp;", "&amp;IF(G161="","sem DVA","em uso de "&amp;G161)&amp;".",IF(H161&lt;&gt;"","Em "&amp;H161&amp;IF(AND(H161="VMI",I161&lt;&gt;"")," por "&amp;I161,"")&amp;IF(J161&lt;&gt;""," ("&amp;J161&amp;")","")&amp;IF(K161&lt;&gt;"", ", "&amp;K161,"")&amp;IF(L161&lt;&gt;"", ", sob analgosedação com "&amp;L161,"")&amp;".",""),IF(M161&lt;&gt;"","Dieta "&amp;M161&amp;IF(N161&lt;&gt;"", ", com "&amp;LOWER(N161),"")&amp;IF(O161&lt;&gt;"", " — "&amp;O161,"")&amp;".",""),IF(P161="Febre","Apresentou episódio febril nas últimas 24h"&amp;IF(Q161&lt;&gt;""," ("&amp;Q161&amp;")","")&amp;".",IF(P161="Afebril","Encontra-se afebril.","")),IF(R161&lt;&gt;"",IF(S161="Sim","Apresenta disfunção renal aguda ","Função renal preservada ")&amp;"("&amp;R161&amp;").",""),IF(T161&lt;&gt;"","Em uso do esquema antimicrobiano com "&amp;T161&amp;".",""),IF(U161&lt;&gt;"","Em uso de profilaxia: "&amp;U161&amp;".",""))&amp;CHAR(10)&amp;CHAR(10)&amp;"2. Farmacoterapia"&amp;CHAR(10)&amp;IF(V161&lt;&gt;"","Corticoide/DART: "&amp;V161,"Sem corticoide/DART registrado.")&amp;CHAR(10)&amp;CHAR(10)&amp;"3. Conduta Farmacêutica"&amp;CHAR(10)&amp;IF(X161&lt;&gt;"","["&amp;W161&amp;"] "&amp;X161&amp;IF(Y161&lt;&gt;"", " ("&amp;Y161&amp;")",""),"Nenhuma intervenção registrada hoje.")&amp;CHAR(10)&amp;CHAR(10)&amp;"4. Plano Terapêutico"&amp;CHAR(10)&amp;IF(AB161&lt;&gt;"",AB161,"Não definido.")</f>
      </c>
    </row>
    <row r="162" spans="3:29" x14ac:dyDescent="0.25">
      <c r="AC162">
        <f>"1. Evolução Clínica"&amp;CHAR(10)&amp;TEXTJOIN(" ",TRUE,"Paciente "&amp;F162&amp;", "&amp;IF(G162="","sem DVA","em uso de "&amp;G162)&amp;".",IF(H162&lt;&gt;"","Em "&amp;H162&amp;IF(AND(H162="VMI",I162&lt;&gt;"")," por "&amp;I162,"")&amp;IF(J162&lt;&gt;""," ("&amp;J162&amp;")","")&amp;IF(K162&lt;&gt;"", ", "&amp;K162,"")&amp;IF(L162&lt;&gt;"", ", sob analgosedação com "&amp;L162,"")&amp;".",""),IF(M162&lt;&gt;"","Dieta "&amp;M162&amp;IF(N162&lt;&gt;"", ", com "&amp;LOWER(N162),"")&amp;IF(O162&lt;&gt;"", " — "&amp;O162,"")&amp;".",""),IF(P162="Febre","Apresentou episódio febril nas últimas 24h"&amp;IF(Q162&lt;&gt;""," ("&amp;Q162&amp;")","")&amp;".",IF(P162="Afebril","Encontra-se afebril.","")),IF(R162&lt;&gt;"",IF(S162="Sim","Apresenta disfunção renal aguda ","Função renal preservada ")&amp;"("&amp;R162&amp;").",""),IF(T162&lt;&gt;"","Em uso do esquema antimicrobiano com "&amp;T162&amp;".",""),IF(U162&lt;&gt;"","Em uso de profilaxia: "&amp;U162&amp;".",""))&amp;CHAR(10)&amp;CHAR(10)&amp;"2. Farmacoterapia"&amp;CHAR(10)&amp;IF(V162&lt;&gt;"","Corticoide/DART: "&amp;V162,"Sem corticoide/DART registrado.")&amp;CHAR(10)&amp;CHAR(10)&amp;"3. Conduta Farmacêutica"&amp;CHAR(10)&amp;IF(X162&lt;&gt;"","["&amp;W162&amp;"] "&amp;X162&amp;IF(Y162&lt;&gt;"", " ("&amp;Y162&amp;")",""),"Nenhuma intervenção registrada hoje.")&amp;CHAR(10)&amp;CHAR(10)&amp;"4. Plano Terapêutico"&amp;CHAR(10)&amp;IF(AB162&lt;&gt;"",AB162,"Não definido.")</f>
      </c>
    </row>
    <row r="163" spans="3:29" x14ac:dyDescent="0.25">
      <c r="AC163">
        <f>"1. Evolução Clínica"&amp;CHAR(10)&amp;TEXTJOIN(" ",TRUE,"Paciente "&amp;F163&amp;", "&amp;IF(G163="","sem DVA","em uso de "&amp;G163)&amp;".",IF(H163&lt;&gt;"","Em "&amp;H163&amp;IF(AND(H163="VMI",I163&lt;&gt;"")," por "&amp;I163,"")&amp;IF(J163&lt;&gt;""," ("&amp;J163&amp;")","")&amp;IF(K163&lt;&gt;"", ", "&amp;K163,"")&amp;IF(L163&lt;&gt;"", ", sob analgosedação com "&amp;L163,"")&amp;".",""),IF(M163&lt;&gt;"","Dieta "&amp;M163&amp;IF(N163&lt;&gt;"", ", com "&amp;LOWER(N163),"")&amp;IF(O163&lt;&gt;"", " — "&amp;O163,"")&amp;".",""),IF(P163="Febre","Apresentou episódio febril nas últimas 24h"&amp;IF(Q163&lt;&gt;""," ("&amp;Q163&amp;")","")&amp;".",IF(P163="Afebril","Encontra-se afebril.","")),IF(R163&lt;&gt;"",IF(S163="Sim","Apresenta disfunção renal aguda ","Função renal preservada ")&amp;"("&amp;R163&amp;").",""),IF(T163&lt;&gt;"","Em uso do esquema antimicrobiano com "&amp;T163&amp;".",""),IF(U163&lt;&gt;"","Em uso de profilaxia: "&amp;U163&amp;".",""))&amp;CHAR(10)&amp;CHAR(10)&amp;"2. Farmacoterapia"&amp;CHAR(10)&amp;IF(V163&lt;&gt;"","Corticoide/DART: "&amp;V163,"Sem corticoide/DART registrado.")&amp;CHAR(10)&amp;CHAR(10)&amp;"3. Conduta Farmacêutica"&amp;CHAR(10)&amp;IF(X163&lt;&gt;"","["&amp;W163&amp;"] "&amp;X163&amp;IF(Y163&lt;&gt;"", " ("&amp;Y163&amp;")",""),"Nenhuma intervenção registrada hoje.")&amp;CHAR(10)&amp;CHAR(10)&amp;"4. Plano Terapêutico"&amp;CHAR(10)&amp;IF(AB163&lt;&gt;"",AB163,"Não definido.")</f>
      </c>
    </row>
    <row r="164" spans="3:29" x14ac:dyDescent="0.25">
      <c r="AC164">
        <f>"1. Evolução Clínica"&amp;CHAR(10)&amp;TEXTJOIN(" ",TRUE,"Paciente "&amp;F164&amp;", "&amp;IF(G164="","sem DVA","em uso de "&amp;G164)&amp;".",IF(H164&lt;&gt;"","Em "&amp;H164&amp;IF(AND(H164="VMI",I164&lt;&gt;"")," por "&amp;I164,"")&amp;IF(J164&lt;&gt;""," ("&amp;J164&amp;")","")&amp;IF(K164&lt;&gt;"", ", "&amp;K164,"")&amp;IF(L164&lt;&gt;"", ", sob analgosedação com "&amp;L164,"")&amp;".",""),IF(M164&lt;&gt;"","Dieta "&amp;M164&amp;IF(N164&lt;&gt;"", ", com "&amp;LOWER(N164),"")&amp;IF(O164&lt;&gt;"", " — "&amp;O164,"")&amp;".",""),IF(P164="Febre","Apresentou episódio febril nas últimas 24h"&amp;IF(Q164&lt;&gt;""," ("&amp;Q164&amp;")","")&amp;".",IF(P164="Afebril","Encontra-se afebril.","")),IF(R164&lt;&gt;"",IF(S164="Sim","Apresenta disfunção renal aguda ","Função renal preservada ")&amp;"("&amp;R164&amp;").",""),IF(T164&lt;&gt;"","Em uso do esquema antimicrobiano com "&amp;T164&amp;".",""),IF(U164&lt;&gt;"","Em uso de profilaxia: "&amp;U164&amp;".",""))&amp;CHAR(10)&amp;CHAR(10)&amp;"2. Farmacoterapia"&amp;CHAR(10)&amp;IF(V164&lt;&gt;"","Corticoide/DART: "&amp;V164,"Sem corticoide/DART registrado.")&amp;CHAR(10)&amp;CHAR(10)&amp;"3. Conduta Farmacêutica"&amp;CHAR(10)&amp;IF(X164&lt;&gt;"","["&amp;W164&amp;"] "&amp;X164&amp;IF(Y164&lt;&gt;"", " ("&amp;Y164&amp;")",""),"Nenhuma intervenção registrada hoje.")&amp;CHAR(10)&amp;CHAR(10)&amp;"4. Plano Terapêutico"&amp;CHAR(10)&amp;IF(AB164&lt;&gt;"",AB164,"Não definido.")</f>
      </c>
    </row>
    <row r="165" spans="3:29" x14ac:dyDescent="0.25">
      <c r="AC165">
        <f>"1. Evolução Clínica"&amp;CHAR(10)&amp;TEXTJOIN(" ",TRUE,"Paciente "&amp;F165&amp;", "&amp;IF(G165="","sem DVA","em uso de "&amp;G165)&amp;".",IF(H165&lt;&gt;"","Em "&amp;H165&amp;IF(AND(H165="VMI",I165&lt;&gt;"")," por "&amp;I165,"")&amp;IF(J165&lt;&gt;""," ("&amp;J165&amp;")","")&amp;IF(K165&lt;&gt;"", ", "&amp;K165,"")&amp;IF(L165&lt;&gt;"", ", sob analgosedação com "&amp;L165,"")&amp;".",""),IF(M165&lt;&gt;"","Dieta "&amp;M165&amp;IF(N165&lt;&gt;"", ", com "&amp;LOWER(N165),"")&amp;IF(O165&lt;&gt;"", " — "&amp;O165,"")&amp;".",""),IF(P165="Febre","Apresentou episódio febril nas últimas 24h"&amp;IF(Q165&lt;&gt;""," ("&amp;Q165&amp;")","")&amp;".",IF(P165="Afebril","Encontra-se afebril.","")),IF(R165&lt;&gt;"",IF(S165="Sim","Apresenta disfunção renal aguda ","Função renal preservada ")&amp;"("&amp;R165&amp;").",""),IF(T165&lt;&gt;"","Em uso do esquema antimicrobiano com "&amp;T165&amp;".",""),IF(U165&lt;&gt;"","Em uso de profilaxia: "&amp;U165&amp;".",""))&amp;CHAR(10)&amp;CHAR(10)&amp;"2. Farmacoterapia"&amp;CHAR(10)&amp;IF(V165&lt;&gt;"","Corticoide/DART: "&amp;V165,"Sem corticoide/DART registrado.")&amp;CHAR(10)&amp;CHAR(10)&amp;"3. Conduta Farmacêutica"&amp;CHAR(10)&amp;IF(X165&lt;&gt;"","["&amp;W165&amp;"] "&amp;X165&amp;IF(Y165&lt;&gt;"", " ("&amp;Y165&amp;")",""),"Nenhuma intervenção registrada hoje.")&amp;CHAR(10)&amp;CHAR(10)&amp;"4. Plano Terapêutico"&amp;CHAR(10)&amp;IF(AB165&lt;&gt;"",AB165,"Não definido.")</f>
      </c>
    </row>
    <row r="166" spans="3:29" x14ac:dyDescent="0.25">
      <c r="AC166">
        <f>"1. Evolução Clínica"&amp;CHAR(10)&amp;TEXTJOIN(" ",TRUE,"Paciente "&amp;F166&amp;", "&amp;IF(G166="","sem DVA","em uso de "&amp;G166)&amp;".",IF(H166&lt;&gt;"","Em "&amp;H166&amp;IF(AND(H166="VMI",I166&lt;&gt;"")," por "&amp;I166,"")&amp;IF(J166&lt;&gt;""," ("&amp;J166&amp;")","")&amp;IF(K166&lt;&gt;"", ", "&amp;K166,"")&amp;IF(L166&lt;&gt;"", ", sob analgosedação com "&amp;L166,"")&amp;".",""),IF(M166&lt;&gt;"","Dieta "&amp;M166&amp;IF(N166&lt;&gt;"", ", com "&amp;LOWER(N166),"")&amp;IF(O166&lt;&gt;"", " — "&amp;O166,"")&amp;".",""),IF(P166="Febre","Apresentou episódio febril nas últimas 24h"&amp;IF(Q166&lt;&gt;""," ("&amp;Q166&amp;")","")&amp;".",IF(P166="Afebril","Encontra-se afebril.","")),IF(R166&lt;&gt;"",IF(S166="Sim","Apresenta disfunção renal aguda ","Função renal preservada ")&amp;"("&amp;R166&amp;").",""),IF(T166&lt;&gt;"","Em uso do esquema antimicrobiano com "&amp;T166&amp;".",""),IF(U166&lt;&gt;"","Em uso de profilaxia: "&amp;U166&amp;".",""))&amp;CHAR(10)&amp;CHAR(10)&amp;"2. Farmacoterapia"&amp;CHAR(10)&amp;IF(V166&lt;&gt;"","Corticoide/DART: "&amp;V166,"Sem corticoide/DART registrado.")&amp;CHAR(10)&amp;CHAR(10)&amp;"3. Conduta Farmacêutica"&amp;CHAR(10)&amp;IF(X166&lt;&gt;"","["&amp;W166&amp;"] "&amp;X166&amp;IF(Y166&lt;&gt;"", " ("&amp;Y166&amp;")",""),"Nenhuma intervenção registrada hoje.")&amp;CHAR(10)&amp;CHAR(10)&amp;"4. Plano Terapêutico"&amp;CHAR(10)&amp;IF(AB166&lt;&gt;"",AB166,"Não definido.")</f>
      </c>
    </row>
    <row r="167" spans="3:29" x14ac:dyDescent="0.25">
      <c r="AC167">
        <f>"1. Evolução Clínica"&amp;CHAR(10)&amp;TEXTJOIN(" ",TRUE,"Paciente "&amp;F167&amp;", "&amp;IF(G167="","sem DVA","em uso de "&amp;G167)&amp;".",IF(H167&lt;&gt;"","Em "&amp;H167&amp;IF(AND(H167="VMI",I167&lt;&gt;"")," por "&amp;I167,"")&amp;IF(J167&lt;&gt;""," ("&amp;J167&amp;")","")&amp;IF(K167&lt;&gt;"", ", "&amp;K167,"")&amp;IF(L167&lt;&gt;"", ", sob analgosedação com "&amp;L167,"")&amp;".",""),IF(M167&lt;&gt;"","Dieta "&amp;M167&amp;IF(N167&lt;&gt;"", ", com "&amp;LOWER(N167),"")&amp;IF(O167&lt;&gt;"", " — "&amp;O167,"")&amp;".",""),IF(P167="Febre","Apresentou episódio febril nas últimas 24h"&amp;IF(Q167&lt;&gt;""," ("&amp;Q167&amp;")","")&amp;".",IF(P167="Afebril","Encontra-se afebril.","")),IF(R167&lt;&gt;"",IF(S167="Sim","Apresenta disfunção renal aguda ","Função renal preservada ")&amp;"("&amp;R167&amp;").",""),IF(T167&lt;&gt;"","Em uso do esquema antimicrobiano com "&amp;T167&amp;".",""),IF(U167&lt;&gt;"","Em uso de profilaxia: "&amp;U167&amp;".",""))&amp;CHAR(10)&amp;CHAR(10)&amp;"2. Farmacoterapia"&amp;CHAR(10)&amp;IF(V167&lt;&gt;"","Corticoide/DART: "&amp;V167,"Sem corticoide/DART registrado.")&amp;CHAR(10)&amp;CHAR(10)&amp;"3. Conduta Farmacêutica"&amp;CHAR(10)&amp;IF(X167&lt;&gt;"","["&amp;W167&amp;"] "&amp;X167&amp;IF(Y167&lt;&gt;"", " ("&amp;Y167&amp;")",""),"Nenhuma intervenção registrada hoje.")&amp;CHAR(10)&amp;CHAR(10)&amp;"4. Plano Terapêutico"&amp;CHAR(10)&amp;IF(AB167&lt;&gt;"",AB167,"Não definido.")</f>
      </c>
    </row>
    <row r="168" spans="3:29" x14ac:dyDescent="0.25">
      <c r="AC168">
        <f>"1. Evolução Clínica"&amp;CHAR(10)&amp;TEXTJOIN(" ",TRUE,"Paciente "&amp;F168&amp;", "&amp;IF(G168="","sem DVA","em uso de "&amp;G168)&amp;".",IF(H168&lt;&gt;"","Em "&amp;H168&amp;IF(AND(H168="VMI",I168&lt;&gt;"")," por "&amp;I168,"")&amp;IF(J168&lt;&gt;""," ("&amp;J168&amp;")","")&amp;IF(K168&lt;&gt;"", ", "&amp;K168,"")&amp;IF(L168&lt;&gt;"", ", sob analgosedação com "&amp;L168,"")&amp;".",""),IF(M168&lt;&gt;"","Dieta "&amp;M168&amp;IF(N168&lt;&gt;"", ", com "&amp;LOWER(N168),"")&amp;IF(O168&lt;&gt;"", " — "&amp;O168,"")&amp;".",""),IF(P168="Febre","Apresentou episódio febril nas últimas 24h"&amp;IF(Q168&lt;&gt;""," ("&amp;Q168&amp;")","")&amp;".",IF(P168="Afebril","Encontra-se afebril.","")),IF(R168&lt;&gt;"",IF(S168="Sim","Apresenta disfunção renal aguda ","Função renal preservada ")&amp;"("&amp;R168&amp;").",""),IF(T168&lt;&gt;"","Em uso do esquema antimicrobiano com "&amp;T168&amp;".",""),IF(U168&lt;&gt;"","Em uso de profilaxia: "&amp;U168&amp;".",""))&amp;CHAR(10)&amp;CHAR(10)&amp;"2. Farmacoterapia"&amp;CHAR(10)&amp;IF(V168&lt;&gt;"","Corticoide/DART: "&amp;V168,"Sem corticoide/DART registrado.")&amp;CHAR(10)&amp;CHAR(10)&amp;"3. Conduta Farmacêutica"&amp;CHAR(10)&amp;IF(X168&lt;&gt;"","["&amp;W168&amp;"] "&amp;X168&amp;IF(Y168&lt;&gt;"", " ("&amp;Y168&amp;")",""),"Nenhuma intervenção registrada hoje.")&amp;CHAR(10)&amp;CHAR(10)&amp;"4. Plano Terapêutico"&amp;CHAR(10)&amp;IF(AB168&lt;&gt;"",AB168,"Não definido.")</f>
      </c>
    </row>
    <row r="169" spans="3:29" x14ac:dyDescent="0.25">
      <c r="AC169">
        <f>"1. Evolução Clínica"&amp;CHAR(10)&amp;TEXTJOIN(" ",TRUE,"Paciente "&amp;F169&amp;", "&amp;IF(G169="","sem DVA","em uso de "&amp;G169)&amp;".",IF(H169&lt;&gt;"","Em "&amp;H169&amp;IF(AND(H169="VMI",I169&lt;&gt;"")," por "&amp;I169,"")&amp;IF(J169&lt;&gt;""," ("&amp;J169&amp;")","")&amp;IF(K169&lt;&gt;"", ", "&amp;K169,"")&amp;IF(L169&lt;&gt;"", ", sob analgosedação com "&amp;L169,"")&amp;".",""),IF(M169&lt;&gt;"","Dieta "&amp;M169&amp;IF(N169&lt;&gt;"", ", com "&amp;LOWER(N169),"")&amp;IF(O169&lt;&gt;"", " — "&amp;O169,"")&amp;".",""),IF(P169="Febre","Apresentou episódio febril nas últimas 24h"&amp;IF(Q169&lt;&gt;""," ("&amp;Q169&amp;")","")&amp;".",IF(P169="Afebril","Encontra-se afebril.","")),IF(R169&lt;&gt;"",IF(S169="Sim","Apresenta disfunção renal aguda ","Função renal preservada ")&amp;"("&amp;R169&amp;").",""),IF(T169&lt;&gt;"","Em uso do esquema antimicrobiano com "&amp;T169&amp;".",""),IF(U169&lt;&gt;"","Em uso de profilaxia: "&amp;U169&amp;".",""))&amp;CHAR(10)&amp;CHAR(10)&amp;"2. Farmacoterapia"&amp;CHAR(10)&amp;IF(V169&lt;&gt;"","Corticoide/DART: "&amp;V169,"Sem corticoide/DART registrado.")&amp;CHAR(10)&amp;CHAR(10)&amp;"3. Conduta Farmacêutica"&amp;CHAR(10)&amp;IF(X169&lt;&gt;"","["&amp;W169&amp;"] "&amp;X169&amp;IF(Y169&lt;&gt;"", " ("&amp;Y169&amp;")",""),"Nenhuma intervenção registrada hoje.")&amp;CHAR(10)&amp;CHAR(10)&amp;"4. Plano Terapêutico"&amp;CHAR(10)&amp;IF(AB169&lt;&gt;"",AB169,"Não definido.")</f>
      </c>
    </row>
    <row r="170" spans="3:29" x14ac:dyDescent="0.25">
      <c r="AC170">
        <f>"1. Evolução Clínica"&amp;CHAR(10)&amp;TEXTJOIN(" ",TRUE,"Paciente "&amp;F170&amp;", "&amp;IF(G170="","sem DVA","em uso de "&amp;G170)&amp;".",IF(H170&lt;&gt;"","Em "&amp;H170&amp;IF(AND(H170="VMI",I170&lt;&gt;"")," por "&amp;I170,"")&amp;IF(J170&lt;&gt;""," ("&amp;J170&amp;")","")&amp;IF(K170&lt;&gt;"", ", "&amp;K170,"")&amp;IF(L170&lt;&gt;"", ", sob analgosedação com "&amp;L170,"")&amp;".",""),IF(M170&lt;&gt;"","Dieta "&amp;M170&amp;IF(N170&lt;&gt;"", ", com "&amp;LOWER(N170),"")&amp;IF(O170&lt;&gt;"", " — "&amp;O170,"")&amp;".",""),IF(P170="Febre","Apresentou episódio febril nas últimas 24h"&amp;IF(Q170&lt;&gt;""," ("&amp;Q170&amp;")","")&amp;".",IF(P170="Afebril","Encontra-se afebril.","")),IF(R170&lt;&gt;"",IF(S170="Sim","Apresenta disfunção renal aguda ","Função renal preservada ")&amp;"("&amp;R170&amp;").",""),IF(T170&lt;&gt;"","Em uso do esquema antimicrobiano com "&amp;T170&amp;".",""),IF(U170&lt;&gt;"","Em uso de profilaxia: "&amp;U170&amp;".",""))&amp;CHAR(10)&amp;CHAR(10)&amp;"2. Farmacoterapia"&amp;CHAR(10)&amp;IF(V170&lt;&gt;"","Corticoide/DART: "&amp;V170,"Sem corticoide/DART registrado.")&amp;CHAR(10)&amp;CHAR(10)&amp;"3. Conduta Farmacêutica"&amp;CHAR(10)&amp;IF(X170&lt;&gt;"","["&amp;W170&amp;"] "&amp;X170&amp;IF(Y170&lt;&gt;"", " ("&amp;Y170&amp;")",""),"Nenhuma intervenção registrada hoje.")&amp;CHAR(10)&amp;CHAR(10)&amp;"4. Plano Terapêutico"&amp;CHAR(10)&amp;IF(AB170&lt;&gt;"",AB170,"Não definido.")</f>
      </c>
    </row>
    <row r="171" spans="3:29" x14ac:dyDescent="0.25">
      <c r="AC171">
        <f>"1. Evolução Clínica"&amp;CHAR(10)&amp;TEXTJOIN(" ",TRUE,"Paciente "&amp;F171&amp;", "&amp;IF(G171="","sem DVA","em uso de "&amp;G171)&amp;".",IF(H171&lt;&gt;"","Em "&amp;H171&amp;IF(AND(H171="VMI",I171&lt;&gt;"")," por "&amp;I171,"")&amp;IF(J171&lt;&gt;""," ("&amp;J171&amp;")","")&amp;IF(K171&lt;&gt;"", ", "&amp;K171,"")&amp;IF(L171&lt;&gt;"", ", sob analgosedação com "&amp;L171,"")&amp;".",""),IF(M171&lt;&gt;"","Dieta "&amp;M171&amp;IF(N171&lt;&gt;"", ", com "&amp;LOWER(N171),"")&amp;IF(O171&lt;&gt;"", " — "&amp;O171,"")&amp;".",""),IF(P171="Febre","Apresentou episódio febril nas últimas 24h"&amp;IF(Q171&lt;&gt;""," ("&amp;Q171&amp;")","")&amp;".",IF(P171="Afebril","Encontra-se afebril.","")),IF(R171&lt;&gt;"",IF(S171="Sim","Apresenta disfunção renal aguda ","Função renal preservada ")&amp;"("&amp;R171&amp;").",""),IF(T171&lt;&gt;"","Em uso do esquema antimicrobiano com "&amp;T171&amp;".",""),IF(U171&lt;&gt;"","Em uso de profilaxia: "&amp;U171&amp;".",""))&amp;CHAR(10)&amp;CHAR(10)&amp;"2. Farmacoterapia"&amp;CHAR(10)&amp;IF(V171&lt;&gt;"","Corticoide/DART: "&amp;V171,"Sem corticoide/DART registrado.")&amp;CHAR(10)&amp;CHAR(10)&amp;"3. Conduta Farmacêutica"&amp;CHAR(10)&amp;IF(X171&lt;&gt;"","["&amp;W171&amp;"] "&amp;X171&amp;IF(Y171&lt;&gt;"", " ("&amp;Y171&amp;")",""),"Nenhuma intervenção registrada hoje.")&amp;CHAR(10)&amp;CHAR(10)&amp;"4. Plano Terapêutico"&amp;CHAR(10)&amp;IF(AB171&lt;&gt;"",AB171,"Não definido.")</f>
      </c>
    </row>
    <row r="172" spans="3:29" x14ac:dyDescent="0.25">
      <c r="AC172">
        <f>"1. Evolução Clínica"&amp;CHAR(10)&amp;TEXTJOIN(" ",TRUE,"Paciente "&amp;F172&amp;", "&amp;IF(G172="","sem DVA","em uso de "&amp;G172)&amp;".",IF(H172&lt;&gt;"","Em "&amp;H172&amp;IF(AND(H172="VMI",I172&lt;&gt;"")," por "&amp;I172,"")&amp;IF(J172&lt;&gt;""," ("&amp;J172&amp;")","")&amp;IF(K172&lt;&gt;"", ", "&amp;K172,"")&amp;IF(L172&lt;&gt;"", ", sob analgosedação com "&amp;L172,"")&amp;".",""),IF(M172&lt;&gt;"","Dieta "&amp;M172&amp;IF(N172&lt;&gt;"", ", com "&amp;LOWER(N172),"")&amp;IF(O172&lt;&gt;"", " — "&amp;O172,"")&amp;".",""),IF(P172="Febre","Apresentou episódio febril nas últimas 24h"&amp;IF(Q172&lt;&gt;""," ("&amp;Q172&amp;")","")&amp;".",IF(P172="Afebril","Encontra-se afebril.","")),IF(R172&lt;&gt;"",IF(S172="Sim","Apresenta disfunção renal aguda ","Função renal preservada ")&amp;"("&amp;R172&amp;").",""),IF(T172&lt;&gt;"","Em uso do esquema antimicrobiano com "&amp;T172&amp;".",""),IF(U172&lt;&gt;"","Em uso de profilaxia: "&amp;U172&amp;".",""))&amp;CHAR(10)&amp;CHAR(10)&amp;"2. Farmacoterapia"&amp;CHAR(10)&amp;IF(V172&lt;&gt;"","Corticoide/DART: "&amp;V172,"Sem corticoide/DART registrado.")&amp;CHAR(10)&amp;CHAR(10)&amp;"3. Conduta Farmacêutica"&amp;CHAR(10)&amp;IF(X172&lt;&gt;"","["&amp;W172&amp;"] "&amp;X172&amp;IF(Y172&lt;&gt;"", " ("&amp;Y172&amp;")",""),"Nenhuma intervenção registrada hoje.")&amp;CHAR(10)&amp;CHAR(10)&amp;"4. Plano Terapêutico"&amp;CHAR(10)&amp;IF(AB172&lt;&gt;"",AB172,"Não definido.")</f>
      </c>
    </row>
    <row r="173" spans="3:29" x14ac:dyDescent="0.25">
      <c r="AC173">
        <f>"1. Evolução Clínica"&amp;CHAR(10)&amp;TEXTJOIN(" ",TRUE,"Paciente "&amp;F173&amp;", "&amp;IF(G173="","sem DVA","em uso de "&amp;G173)&amp;".",IF(H173&lt;&gt;"","Em "&amp;H173&amp;IF(AND(H173="VMI",I173&lt;&gt;"")," por "&amp;I173,"")&amp;IF(J173&lt;&gt;""," ("&amp;J173&amp;")","")&amp;IF(K173&lt;&gt;"", ", "&amp;K173,"")&amp;IF(L173&lt;&gt;"", ", sob analgosedação com "&amp;L173,"")&amp;".",""),IF(M173&lt;&gt;"","Dieta "&amp;M173&amp;IF(N173&lt;&gt;"", ", com "&amp;LOWER(N173),"")&amp;IF(O173&lt;&gt;"", " — "&amp;O173,"")&amp;".",""),IF(P173="Febre","Apresentou episódio febril nas últimas 24h"&amp;IF(Q173&lt;&gt;""," ("&amp;Q173&amp;")","")&amp;".",IF(P173="Afebril","Encontra-se afebril.","")),IF(R173&lt;&gt;"",IF(S173="Sim","Apresenta disfunção renal aguda ","Função renal preservada ")&amp;"("&amp;R173&amp;").",""),IF(T173&lt;&gt;"","Em uso do esquema antimicrobiano com "&amp;T173&amp;".",""),IF(U173&lt;&gt;"","Em uso de profilaxia: "&amp;U173&amp;".",""))&amp;CHAR(10)&amp;CHAR(10)&amp;"2. Farmacoterapia"&amp;CHAR(10)&amp;IF(V173&lt;&gt;"","Corticoide/DART: "&amp;V173,"Sem corticoide/DART registrado.")&amp;CHAR(10)&amp;CHAR(10)&amp;"3. Conduta Farmacêutica"&amp;CHAR(10)&amp;IF(X173&lt;&gt;"","["&amp;W173&amp;"] "&amp;X173&amp;IF(Y173&lt;&gt;"", " ("&amp;Y173&amp;")",""),"Nenhuma intervenção registrada hoje.")&amp;CHAR(10)&amp;CHAR(10)&amp;"4. Plano Terapêutico"&amp;CHAR(10)&amp;IF(AB173&lt;&gt;"",AB173,"Não definido.")</f>
      </c>
    </row>
    <row r="174" spans="3:29" x14ac:dyDescent="0.25">
      <c r="AC174">
        <f>"1. Evolução Clínica"&amp;CHAR(10)&amp;TEXTJOIN(" ",TRUE,"Paciente "&amp;F174&amp;", "&amp;IF(G174="","sem DVA","em uso de "&amp;G174)&amp;".",IF(H174&lt;&gt;"","Em "&amp;H174&amp;IF(AND(H174="VMI",I174&lt;&gt;"")," por "&amp;I174,"")&amp;IF(J174&lt;&gt;""," ("&amp;J174&amp;")","")&amp;IF(K174&lt;&gt;"", ", "&amp;K174,"")&amp;IF(L174&lt;&gt;"", ", sob analgosedação com "&amp;L174,"")&amp;".",""),IF(M174&lt;&gt;"","Dieta "&amp;M174&amp;IF(N174&lt;&gt;"", ", com "&amp;LOWER(N174),"")&amp;IF(O174&lt;&gt;"", " — "&amp;O174,"")&amp;".",""),IF(P174="Febre","Apresentou episódio febril nas últimas 24h"&amp;IF(Q174&lt;&gt;""," ("&amp;Q174&amp;")","")&amp;".",IF(P174="Afebril","Encontra-se afebril.","")),IF(R174&lt;&gt;"",IF(S174="Sim","Apresenta disfunção renal aguda ","Função renal preservada ")&amp;"("&amp;R174&amp;").",""),IF(T174&lt;&gt;"","Em uso do esquema antimicrobiano com "&amp;T174&amp;".",""),IF(U174&lt;&gt;"","Em uso de profilaxia: "&amp;U174&amp;".",""))&amp;CHAR(10)&amp;CHAR(10)&amp;"2. Farmacoterapia"&amp;CHAR(10)&amp;IF(V174&lt;&gt;"","Corticoide/DART: "&amp;V174,"Sem corticoide/DART registrado.")&amp;CHAR(10)&amp;CHAR(10)&amp;"3. Conduta Farmacêutica"&amp;CHAR(10)&amp;IF(X174&lt;&gt;"","["&amp;W174&amp;"] "&amp;X174&amp;IF(Y174&lt;&gt;"", " ("&amp;Y174&amp;")",""),"Nenhuma intervenção registrada hoje.")&amp;CHAR(10)&amp;CHAR(10)&amp;"4. Plano Terapêutico"&amp;CHAR(10)&amp;IF(AB174&lt;&gt;"",AB174,"Não definido.")</f>
      </c>
    </row>
    <row r="175" spans="3:29" x14ac:dyDescent="0.25">
      <c r="AC175">
        <f>"1. Evolução Clínica"&amp;CHAR(10)&amp;TEXTJOIN(" ",TRUE,"Paciente "&amp;F175&amp;", "&amp;IF(G175="","sem DVA","em uso de "&amp;G175)&amp;".",IF(H175&lt;&gt;"","Em "&amp;H175&amp;IF(AND(H175="VMI",I175&lt;&gt;"")," por "&amp;I175,"")&amp;IF(J175&lt;&gt;""," ("&amp;J175&amp;")","")&amp;IF(K175&lt;&gt;"", ", "&amp;K175,"")&amp;IF(L175&lt;&gt;"", ", sob analgosedação com "&amp;L175,"")&amp;".",""),IF(M175&lt;&gt;"","Dieta "&amp;M175&amp;IF(N175&lt;&gt;"", ", com "&amp;LOWER(N175),"")&amp;IF(O175&lt;&gt;"", " — "&amp;O175,"")&amp;".",""),IF(P175="Febre","Apresentou episódio febril nas últimas 24h"&amp;IF(Q175&lt;&gt;""," ("&amp;Q175&amp;")","")&amp;".",IF(P175="Afebril","Encontra-se afebril.","")),IF(R175&lt;&gt;"",IF(S175="Sim","Apresenta disfunção renal aguda ","Função renal preservada ")&amp;"("&amp;R175&amp;").",""),IF(T175&lt;&gt;"","Em uso do esquema antimicrobiano com "&amp;T175&amp;".",""),IF(U175&lt;&gt;"","Em uso de profilaxia: "&amp;U175&amp;".",""))&amp;CHAR(10)&amp;CHAR(10)&amp;"2. Farmacoterapia"&amp;CHAR(10)&amp;IF(V175&lt;&gt;"","Corticoide/DART: "&amp;V175,"Sem corticoide/DART registrado.")&amp;CHAR(10)&amp;CHAR(10)&amp;"3. Conduta Farmacêutica"&amp;CHAR(10)&amp;IF(X175&lt;&gt;"","["&amp;W175&amp;"] "&amp;X175&amp;IF(Y175&lt;&gt;"", " ("&amp;Y175&amp;")",""),"Nenhuma intervenção registrada hoje.")&amp;CHAR(10)&amp;CHAR(10)&amp;"4. Plano Terapêutico"&amp;CHAR(10)&amp;IF(AB175&lt;&gt;"",AB175,"Não definido.")</f>
      </c>
    </row>
    <row r="176" spans="3:29" x14ac:dyDescent="0.25">
      <c r="AC176">
        <f>"1. Evolução Clínica"&amp;CHAR(10)&amp;TEXTJOIN(" ",TRUE,"Paciente "&amp;F176&amp;", "&amp;IF(G176="","sem DVA","em uso de "&amp;G176)&amp;".",IF(H176&lt;&gt;"","Em "&amp;H176&amp;IF(AND(H176="VMI",I176&lt;&gt;"")," por "&amp;I176,"")&amp;IF(J176&lt;&gt;""," ("&amp;J176&amp;")","")&amp;IF(K176&lt;&gt;"", ", "&amp;K176,"")&amp;IF(L176&lt;&gt;"", ", sob analgosedação com "&amp;L176,"")&amp;".",""),IF(M176&lt;&gt;"","Dieta "&amp;M176&amp;IF(N176&lt;&gt;"", ", com "&amp;LOWER(N176),"")&amp;IF(O176&lt;&gt;"", " — "&amp;O176,"")&amp;".",""),IF(P176="Febre","Apresentou episódio febril nas últimas 24h"&amp;IF(Q176&lt;&gt;""," ("&amp;Q176&amp;")","")&amp;".",IF(P176="Afebril","Encontra-se afebril.","")),IF(R176&lt;&gt;"",IF(S176="Sim","Apresenta disfunção renal aguda ","Função renal preservada ")&amp;"("&amp;R176&amp;").",""),IF(T176&lt;&gt;"","Em uso do esquema antimicrobiano com "&amp;T176&amp;".",""),IF(U176&lt;&gt;"","Em uso de profilaxia: "&amp;U176&amp;".",""))&amp;CHAR(10)&amp;CHAR(10)&amp;"2. Farmacoterapia"&amp;CHAR(10)&amp;IF(V176&lt;&gt;"","Corticoide/DART: "&amp;V176,"Sem corticoide/DART registrado.")&amp;CHAR(10)&amp;CHAR(10)&amp;"3. Conduta Farmacêutica"&amp;CHAR(10)&amp;IF(X176&lt;&gt;"","["&amp;W176&amp;"] "&amp;X176&amp;IF(Y176&lt;&gt;"", " ("&amp;Y176&amp;")",""),"Nenhuma intervenção registrada hoje.")&amp;CHAR(10)&amp;CHAR(10)&amp;"4. Plano Terapêutico"&amp;CHAR(10)&amp;IF(AB176&lt;&gt;"",AB176,"Não definido.")</f>
      </c>
    </row>
    <row r="177" spans="3:29" x14ac:dyDescent="0.25">
      <c r="AC177">
        <f>"1. Evolução Clínica"&amp;CHAR(10)&amp;TEXTJOIN(" ",TRUE,"Paciente "&amp;F177&amp;", "&amp;IF(G177="","sem DVA","em uso de "&amp;G177)&amp;".",IF(H177&lt;&gt;"","Em "&amp;H177&amp;IF(AND(H177="VMI",I177&lt;&gt;"")," por "&amp;I177,"")&amp;IF(J177&lt;&gt;""," ("&amp;J177&amp;")","")&amp;IF(K177&lt;&gt;"", ", "&amp;K177,"")&amp;IF(L177&lt;&gt;"", ", sob analgosedação com "&amp;L177,"")&amp;".",""),IF(M177&lt;&gt;"","Dieta "&amp;M177&amp;IF(N177&lt;&gt;"", ", com "&amp;LOWER(N177),"")&amp;IF(O177&lt;&gt;"", " — "&amp;O177,"")&amp;".",""),IF(P177="Febre","Apresentou episódio febril nas últimas 24h"&amp;IF(Q177&lt;&gt;""," ("&amp;Q177&amp;")","")&amp;".",IF(P177="Afebril","Encontra-se afebril.","")),IF(R177&lt;&gt;"",IF(S177="Sim","Apresenta disfunção renal aguda ","Função renal preservada ")&amp;"("&amp;R177&amp;").",""),IF(T177&lt;&gt;"","Em uso do esquema antimicrobiano com "&amp;T177&amp;".",""),IF(U177&lt;&gt;"","Em uso de profilaxia: "&amp;U177&amp;".",""))&amp;CHAR(10)&amp;CHAR(10)&amp;"2. Farmacoterapia"&amp;CHAR(10)&amp;IF(V177&lt;&gt;"","Corticoide/DART: "&amp;V177,"Sem corticoide/DART registrado.")&amp;CHAR(10)&amp;CHAR(10)&amp;"3. Conduta Farmacêutica"&amp;CHAR(10)&amp;IF(X177&lt;&gt;"","["&amp;W177&amp;"] "&amp;X177&amp;IF(Y177&lt;&gt;"", " ("&amp;Y177&amp;")",""),"Nenhuma intervenção registrada hoje.")&amp;CHAR(10)&amp;CHAR(10)&amp;"4. Plano Terapêutico"&amp;CHAR(10)&amp;IF(AB177&lt;&gt;"",AB177,"Não definido.")</f>
      </c>
    </row>
    <row r="178" spans="3:29" x14ac:dyDescent="0.25">
      <c r="AC178">
        <f>"1. Evolução Clínica"&amp;CHAR(10)&amp;TEXTJOIN(" ",TRUE,"Paciente "&amp;F178&amp;", "&amp;IF(G178="","sem DVA","em uso de "&amp;G178)&amp;".",IF(H178&lt;&gt;"","Em "&amp;H178&amp;IF(AND(H178="VMI",I178&lt;&gt;"")," por "&amp;I178,"")&amp;IF(J178&lt;&gt;""," ("&amp;J178&amp;")","")&amp;IF(K178&lt;&gt;"", ", "&amp;K178,"")&amp;IF(L178&lt;&gt;"", ", sob analgosedação com "&amp;L178,"")&amp;".",""),IF(M178&lt;&gt;"","Dieta "&amp;M178&amp;IF(N178&lt;&gt;"", ", com "&amp;LOWER(N178),"")&amp;IF(O178&lt;&gt;"", " — "&amp;O178,"")&amp;".",""),IF(P178="Febre","Apresentou episódio febril nas últimas 24h"&amp;IF(Q178&lt;&gt;""," ("&amp;Q178&amp;")","")&amp;".",IF(P178="Afebril","Encontra-se afebril.","")),IF(R178&lt;&gt;"",IF(S178="Sim","Apresenta disfunção renal aguda ","Função renal preservada ")&amp;"("&amp;R178&amp;").",""),IF(T178&lt;&gt;"","Em uso do esquema antimicrobiano com "&amp;T178&amp;".",""),IF(U178&lt;&gt;"","Em uso de profilaxia: "&amp;U178&amp;".",""))&amp;CHAR(10)&amp;CHAR(10)&amp;"2. Farmacoterapia"&amp;CHAR(10)&amp;IF(V178&lt;&gt;"","Corticoide/DART: "&amp;V178,"Sem corticoide/DART registrado.")&amp;CHAR(10)&amp;CHAR(10)&amp;"3. Conduta Farmacêutica"&amp;CHAR(10)&amp;IF(X178&lt;&gt;"","["&amp;W178&amp;"] "&amp;X178&amp;IF(Y178&lt;&gt;"", " ("&amp;Y178&amp;")",""),"Nenhuma intervenção registrada hoje.")&amp;CHAR(10)&amp;CHAR(10)&amp;"4. Plano Terapêutico"&amp;CHAR(10)&amp;IF(AB178&lt;&gt;"",AB178,"Não definido.")</f>
      </c>
    </row>
    <row r="179" spans="3:29" x14ac:dyDescent="0.25">
      <c r="AC179">
        <f>"1. Evolução Clínica"&amp;CHAR(10)&amp;TEXTJOIN(" ",TRUE,"Paciente "&amp;F179&amp;", "&amp;IF(G179="","sem DVA","em uso de "&amp;G179)&amp;".",IF(H179&lt;&gt;"","Em "&amp;H179&amp;IF(AND(H179="VMI",I179&lt;&gt;"")," por "&amp;I179,"")&amp;IF(J179&lt;&gt;""," ("&amp;J179&amp;")","")&amp;IF(K179&lt;&gt;"", ", "&amp;K179,"")&amp;IF(L179&lt;&gt;"", ", sob analgosedação com "&amp;L179,"")&amp;".",""),IF(M179&lt;&gt;"","Dieta "&amp;M179&amp;IF(N179&lt;&gt;"", ", com "&amp;LOWER(N179),"")&amp;IF(O179&lt;&gt;"", " — "&amp;O179,"")&amp;".",""),IF(P179="Febre","Apresentou episódio febril nas últimas 24h"&amp;IF(Q179&lt;&gt;""," ("&amp;Q179&amp;")","")&amp;".",IF(P179="Afebril","Encontra-se afebril.","")),IF(R179&lt;&gt;"",IF(S179="Sim","Apresenta disfunção renal aguda ","Função renal preservada ")&amp;"("&amp;R179&amp;").",""),IF(T179&lt;&gt;"","Em uso do esquema antimicrobiano com "&amp;T179&amp;".",""),IF(U179&lt;&gt;"","Em uso de profilaxia: "&amp;U179&amp;".",""))&amp;CHAR(10)&amp;CHAR(10)&amp;"2. Farmacoterapia"&amp;CHAR(10)&amp;IF(V179&lt;&gt;"","Corticoide/DART: "&amp;V179,"Sem corticoide/DART registrado.")&amp;CHAR(10)&amp;CHAR(10)&amp;"3. Conduta Farmacêutica"&amp;CHAR(10)&amp;IF(X179&lt;&gt;"","["&amp;W179&amp;"] "&amp;X179&amp;IF(Y179&lt;&gt;"", " ("&amp;Y179&amp;")",""),"Nenhuma intervenção registrada hoje.")&amp;CHAR(10)&amp;CHAR(10)&amp;"4. Plano Terapêutico"&amp;CHAR(10)&amp;IF(AB179&lt;&gt;"",AB179,"Não definido.")</f>
      </c>
    </row>
    <row r="180" spans="3:29" x14ac:dyDescent="0.25">
      <c r="AC180">
        <f>"1. Evolução Clínica"&amp;CHAR(10)&amp;TEXTJOIN(" ",TRUE,"Paciente "&amp;F180&amp;", "&amp;IF(G180="","sem DVA","em uso de "&amp;G180)&amp;".",IF(H180&lt;&gt;"","Em "&amp;H180&amp;IF(AND(H180="VMI",I180&lt;&gt;"")," por "&amp;I180,"")&amp;IF(J180&lt;&gt;""," ("&amp;J180&amp;")","")&amp;IF(K180&lt;&gt;"", ", "&amp;K180,"")&amp;IF(L180&lt;&gt;"", ", sob analgosedação com "&amp;L180,"")&amp;".",""),IF(M180&lt;&gt;"","Dieta "&amp;M180&amp;IF(N180&lt;&gt;"", ", com "&amp;LOWER(N180),"")&amp;IF(O180&lt;&gt;"", " — "&amp;O180,"")&amp;".",""),IF(P180="Febre","Apresentou episódio febril nas últimas 24h"&amp;IF(Q180&lt;&gt;""," ("&amp;Q180&amp;")","")&amp;".",IF(P180="Afebril","Encontra-se afebril.","")),IF(R180&lt;&gt;"",IF(S180="Sim","Apresenta disfunção renal aguda ","Função renal preservada ")&amp;"("&amp;R180&amp;").",""),IF(T180&lt;&gt;"","Em uso do esquema antimicrobiano com "&amp;T180&amp;".",""),IF(U180&lt;&gt;"","Em uso de profilaxia: "&amp;U180&amp;".",""))&amp;CHAR(10)&amp;CHAR(10)&amp;"2. Farmacoterapia"&amp;CHAR(10)&amp;IF(V180&lt;&gt;"","Corticoide/DART: "&amp;V180,"Sem corticoide/DART registrado.")&amp;CHAR(10)&amp;CHAR(10)&amp;"3. Conduta Farmacêutica"&amp;CHAR(10)&amp;IF(X180&lt;&gt;"","["&amp;W180&amp;"] "&amp;X180&amp;IF(Y180&lt;&gt;"", " ("&amp;Y180&amp;")",""),"Nenhuma intervenção registrada hoje.")&amp;CHAR(10)&amp;CHAR(10)&amp;"4. Plano Terapêutico"&amp;CHAR(10)&amp;IF(AB180&lt;&gt;"",AB180,"Não definido.")</f>
      </c>
    </row>
    <row r="181" spans="3:29" x14ac:dyDescent="0.25">
      <c r="AC181">
        <f>"1. Evolução Clínica"&amp;CHAR(10)&amp;TEXTJOIN(" ",TRUE,"Paciente "&amp;F181&amp;", "&amp;IF(G181="","sem DVA","em uso de "&amp;G181)&amp;".",IF(H181&lt;&gt;"","Em "&amp;H181&amp;IF(AND(H181="VMI",I181&lt;&gt;"")," por "&amp;I181,"")&amp;IF(J181&lt;&gt;""," ("&amp;J181&amp;")","")&amp;IF(K181&lt;&gt;"", ", "&amp;K181,"")&amp;IF(L181&lt;&gt;"", ", sob analgosedação com "&amp;L181,"")&amp;".",""),IF(M181&lt;&gt;"","Dieta "&amp;M181&amp;IF(N181&lt;&gt;"", ", com "&amp;LOWER(N181),"")&amp;IF(O181&lt;&gt;"", " — "&amp;O181,"")&amp;".",""),IF(P181="Febre","Apresentou episódio febril nas últimas 24h"&amp;IF(Q181&lt;&gt;""," ("&amp;Q181&amp;")","")&amp;".",IF(P181="Afebril","Encontra-se afebril.","")),IF(R181&lt;&gt;"",IF(S181="Sim","Apresenta disfunção renal aguda ","Função renal preservada ")&amp;"("&amp;R181&amp;").",""),IF(T181&lt;&gt;"","Em uso do esquema antimicrobiano com "&amp;T181&amp;".",""),IF(U181&lt;&gt;"","Em uso de profilaxia: "&amp;U181&amp;".",""))&amp;CHAR(10)&amp;CHAR(10)&amp;"2. Farmacoterapia"&amp;CHAR(10)&amp;IF(V181&lt;&gt;"","Corticoide/DART: "&amp;V181,"Sem corticoide/DART registrado.")&amp;CHAR(10)&amp;CHAR(10)&amp;"3. Conduta Farmacêutica"&amp;CHAR(10)&amp;IF(X181&lt;&gt;"","["&amp;W181&amp;"] "&amp;X181&amp;IF(Y181&lt;&gt;"", " ("&amp;Y181&amp;")",""),"Nenhuma intervenção registrada hoje.")&amp;CHAR(10)&amp;CHAR(10)&amp;"4. Plano Terapêutico"&amp;CHAR(10)&amp;IF(AB181&lt;&gt;"",AB181,"Não definido.")</f>
      </c>
    </row>
    <row r="182" spans="3:29" x14ac:dyDescent="0.25">
      <c r="AC182">
        <f>"1. Evolução Clínica"&amp;CHAR(10)&amp;TEXTJOIN(" ",TRUE,"Paciente "&amp;F182&amp;", "&amp;IF(G182="","sem DVA","em uso de "&amp;G182)&amp;".",IF(H182&lt;&gt;"","Em "&amp;H182&amp;IF(AND(H182="VMI",I182&lt;&gt;"")," por "&amp;I182,"")&amp;IF(J182&lt;&gt;""," ("&amp;J182&amp;")","")&amp;IF(K182&lt;&gt;"", ", "&amp;K182,"")&amp;IF(L182&lt;&gt;"", ", sob analgosedação com "&amp;L182,"")&amp;".",""),IF(M182&lt;&gt;"","Dieta "&amp;M182&amp;IF(N182&lt;&gt;"", ", com "&amp;LOWER(N182),"")&amp;IF(O182&lt;&gt;"", " — "&amp;O182,"")&amp;".",""),IF(P182="Febre","Apresentou episódio febril nas últimas 24h"&amp;IF(Q182&lt;&gt;""," ("&amp;Q182&amp;")","")&amp;".",IF(P182="Afebril","Encontra-se afebril.","")),IF(R182&lt;&gt;"",IF(S182="Sim","Apresenta disfunção renal aguda ","Função renal preservada ")&amp;"("&amp;R182&amp;").",""),IF(T182&lt;&gt;"","Em uso do esquema antimicrobiano com "&amp;T182&amp;".",""),IF(U182&lt;&gt;"","Em uso de profilaxia: "&amp;U182&amp;".",""))&amp;CHAR(10)&amp;CHAR(10)&amp;"2. Farmacoterapia"&amp;CHAR(10)&amp;IF(V182&lt;&gt;"","Corticoide/DART: "&amp;V182,"Sem corticoide/DART registrado.")&amp;CHAR(10)&amp;CHAR(10)&amp;"3. Conduta Farmacêutica"&amp;CHAR(10)&amp;IF(X182&lt;&gt;"","["&amp;W182&amp;"] "&amp;X182&amp;IF(Y182&lt;&gt;"", " ("&amp;Y182&amp;")",""),"Nenhuma intervenção registrada hoje.")&amp;CHAR(10)&amp;CHAR(10)&amp;"4. Plano Terapêutico"&amp;CHAR(10)&amp;IF(AB182&lt;&gt;"",AB182,"Não definido.")</f>
      </c>
    </row>
    <row r="183" spans="3:29" x14ac:dyDescent="0.25">
      <c r="AC183">
        <f>"1. Evolução Clínica"&amp;CHAR(10)&amp;TEXTJOIN(" ",TRUE,"Paciente "&amp;F183&amp;", "&amp;IF(G183="","sem DVA","em uso de "&amp;G183)&amp;".",IF(H183&lt;&gt;"","Em "&amp;H183&amp;IF(AND(H183="VMI",I183&lt;&gt;"")," por "&amp;I183,"")&amp;IF(J183&lt;&gt;""," ("&amp;J183&amp;")","")&amp;IF(K183&lt;&gt;"", ", "&amp;K183,"")&amp;IF(L183&lt;&gt;"", ", sob analgosedação com "&amp;L183,"")&amp;".",""),IF(M183&lt;&gt;"","Dieta "&amp;M183&amp;IF(N183&lt;&gt;"", ", com "&amp;LOWER(N183),"")&amp;IF(O183&lt;&gt;"", " — "&amp;O183,"")&amp;".",""),IF(P183="Febre","Apresentou episódio febril nas últimas 24h"&amp;IF(Q183&lt;&gt;""," ("&amp;Q183&amp;")","")&amp;".",IF(P183="Afebril","Encontra-se afebril.","")),IF(R183&lt;&gt;"",IF(S183="Sim","Apresenta disfunção renal aguda ","Função renal preservada ")&amp;"("&amp;R183&amp;").",""),IF(T183&lt;&gt;"","Em uso do esquema antimicrobiano com "&amp;T183&amp;".",""),IF(U183&lt;&gt;"","Em uso de profilaxia: "&amp;U183&amp;".",""))&amp;CHAR(10)&amp;CHAR(10)&amp;"2. Farmacoterapia"&amp;CHAR(10)&amp;IF(V183&lt;&gt;"","Corticoide/DART: "&amp;V183,"Sem corticoide/DART registrado.")&amp;CHAR(10)&amp;CHAR(10)&amp;"3. Conduta Farmacêutica"&amp;CHAR(10)&amp;IF(X183&lt;&gt;"","["&amp;W183&amp;"] "&amp;X183&amp;IF(Y183&lt;&gt;"", " ("&amp;Y183&amp;")",""),"Nenhuma intervenção registrada hoje.")&amp;CHAR(10)&amp;CHAR(10)&amp;"4. Plano Terapêutico"&amp;CHAR(10)&amp;IF(AB183&lt;&gt;"",AB183,"Não definido.")</f>
      </c>
    </row>
    <row r="184" spans="3:29" x14ac:dyDescent="0.25">
      <c r="AC184">
        <f>"1. Evolução Clínica"&amp;CHAR(10)&amp;TEXTJOIN(" ",TRUE,"Paciente "&amp;F184&amp;", "&amp;IF(G184="","sem DVA","em uso de "&amp;G184)&amp;".",IF(H184&lt;&gt;"","Em "&amp;H184&amp;IF(AND(H184="VMI",I184&lt;&gt;"")," por "&amp;I184,"")&amp;IF(J184&lt;&gt;""," ("&amp;J184&amp;")","")&amp;IF(K184&lt;&gt;"", ", "&amp;K184,"")&amp;IF(L184&lt;&gt;"", ", sob analgosedação com "&amp;L184,"")&amp;".",""),IF(M184&lt;&gt;"","Dieta "&amp;M184&amp;IF(N184&lt;&gt;"", ", com "&amp;LOWER(N184),"")&amp;IF(O184&lt;&gt;"", " — "&amp;O184,"")&amp;".",""),IF(P184="Febre","Apresentou episódio febril nas últimas 24h"&amp;IF(Q184&lt;&gt;""," ("&amp;Q184&amp;")","")&amp;".",IF(P184="Afebril","Encontra-se afebril.","")),IF(R184&lt;&gt;"",IF(S184="Sim","Apresenta disfunção renal aguda ","Função renal preservada ")&amp;"("&amp;R184&amp;").",""),IF(T184&lt;&gt;"","Em uso do esquema antimicrobiano com "&amp;T184&amp;".",""),IF(U184&lt;&gt;"","Em uso de profilaxia: "&amp;U184&amp;".",""))&amp;CHAR(10)&amp;CHAR(10)&amp;"2. Farmacoterapia"&amp;CHAR(10)&amp;IF(V184&lt;&gt;"","Corticoide/DART: "&amp;V184,"Sem corticoide/DART registrado.")&amp;CHAR(10)&amp;CHAR(10)&amp;"3. Conduta Farmacêutica"&amp;CHAR(10)&amp;IF(X184&lt;&gt;"","["&amp;W184&amp;"] "&amp;X184&amp;IF(Y184&lt;&gt;"", " ("&amp;Y184&amp;")",""),"Nenhuma intervenção registrada hoje.")&amp;CHAR(10)&amp;CHAR(10)&amp;"4. Plano Terapêutico"&amp;CHAR(10)&amp;IF(AB184&lt;&gt;"",AB184,"Não definido.")</f>
      </c>
    </row>
    <row r="185" spans="3:29" x14ac:dyDescent="0.25">
      <c r="AC185">
        <f>"1. Evolução Clínica"&amp;CHAR(10)&amp;TEXTJOIN(" ",TRUE,"Paciente "&amp;F185&amp;", "&amp;IF(G185="","sem DVA","em uso de "&amp;G185)&amp;".",IF(H185&lt;&gt;"","Em "&amp;H185&amp;IF(AND(H185="VMI",I185&lt;&gt;"")," por "&amp;I185,"")&amp;IF(J185&lt;&gt;""," ("&amp;J185&amp;")","")&amp;IF(K185&lt;&gt;"", ", "&amp;K185,"")&amp;IF(L185&lt;&gt;"", ", sob analgosedação com "&amp;L185,"")&amp;".",""),IF(M185&lt;&gt;"","Dieta "&amp;M185&amp;IF(N185&lt;&gt;"", ", com "&amp;LOWER(N185),"")&amp;IF(O185&lt;&gt;"", " — "&amp;O185,"")&amp;".",""),IF(P185="Febre","Apresentou episódio febril nas últimas 24h"&amp;IF(Q185&lt;&gt;""," ("&amp;Q185&amp;")","")&amp;".",IF(P185="Afebril","Encontra-se afebril.","")),IF(R185&lt;&gt;"",IF(S185="Sim","Apresenta disfunção renal aguda ","Função renal preservada ")&amp;"("&amp;R185&amp;").",""),IF(T185&lt;&gt;"","Em uso do esquema antimicrobiano com "&amp;T185&amp;".",""),IF(U185&lt;&gt;"","Em uso de profilaxia: "&amp;U185&amp;".",""))&amp;CHAR(10)&amp;CHAR(10)&amp;"2. Farmacoterapia"&amp;CHAR(10)&amp;IF(V185&lt;&gt;"","Corticoide/DART: "&amp;V185,"Sem corticoide/DART registrado.")&amp;CHAR(10)&amp;CHAR(10)&amp;"3. Conduta Farmacêutica"&amp;CHAR(10)&amp;IF(X185&lt;&gt;"","["&amp;W185&amp;"] "&amp;X185&amp;IF(Y185&lt;&gt;"", " ("&amp;Y185&amp;")",""),"Nenhuma intervenção registrada hoje.")&amp;CHAR(10)&amp;CHAR(10)&amp;"4. Plano Terapêutico"&amp;CHAR(10)&amp;IF(AB185&lt;&gt;"",AB185,"Não definido.")</f>
      </c>
    </row>
    <row r="186" spans="3:29" x14ac:dyDescent="0.25">
      <c r="AC186">
        <f>"1. Evolução Clínica"&amp;CHAR(10)&amp;TEXTJOIN(" ",TRUE,"Paciente "&amp;F186&amp;", "&amp;IF(G186="","sem DVA","em uso de "&amp;G186)&amp;".",IF(H186&lt;&gt;"","Em "&amp;H186&amp;IF(AND(H186="VMI",I186&lt;&gt;"")," por "&amp;I186,"")&amp;IF(J186&lt;&gt;""," ("&amp;J186&amp;")","")&amp;IF(K186&lt;&gt;"", ", "&amp;K186,"")&amp;IF(L186&lt;&gt;"", ", sob analgosedação com "&amp;L186,"")&amp;".",""),IF(M186&lt;&gt;"","Dieta "&amp;M186&amp;IF(N186&lt;&gt;"", ", com "&amp;LOWER(N186),"")&amp;IF(O186&lt;&gt;"", " — "&amp;O186,"")&amp;".",""),IF(P186="Febre","Apresentou episódio febril nas últimas 24h"&amp;IF(Q186&lt;&gt;""," ("&amp;Q186&amp;")","")&amp;".",IF(P186="Afebril","Encontra-se afebril.","")),IF(R186&lt;&gt;"",IF(S186="Sim","Apresenta disfunção renal aguda ","Função renal preservada ")&amp;"("&amp;R186&amp;").",""),IF(T186&lt;&gt;"","Em uso do esquema antimicrobiano com "&amp;T186&amp;".",""),IF(U186&lt;&gt;"","Em uso de profilaxia: "&amp;U186&amp;".",""))&amp;CHAR(10)&amp;CHAR(10)&amp;"2. Farmacoterapia"&amp;CHAR(10)&amp;IF(V186&lt;&gt;"","Corticoide/DART: "&amp;V186,"Sem corticoide/DART registrado.")&amp;CHAR(10)&amp;CHAR(10)&amp;"3. Conduta Farmacêutica"&amp;CHAR(10)&amp;IF(X186&lt;&gt;"","["&amp;W186&amp;"] "&amp;X186&amp;IF(Y186&lt;&gt;"", " ("&amp;Y186&amp;")",""),"Nenhuma intervenção registrada hoje.")&amp;CHAR(10)&amp;CHAR(10)&amp;"4. Plano Terapêutico"&amp;CHAR(10)&amp;IF(AB186&lt;&gt;"",AB186,"Não definido.")</f>
      </c>
    </row>
    <row r="187" spans="3:29" x14ac:dyDescent="0.25">
      <c r="AC187">
        <f>"1. Evolução Clínica"&amp;CHAR(10)&amp;TEXTJOIN(" ",TRUE,"Paciente "&amp;F187&amp;", "&amp;IF(G187="","sem DVA","em uso de "&amp;G187)&amp;".",IF(H187&lt;&gt;"","Em "&amp;H187&amp;IF(AND(H187="VMI",I187&lt;&gt;"")," por "&amp;I187,"")&amp;IF(J187&lt;&gt;""," ("&amp;J187&amp;")","")&amp;IF(K187&lt;&gt;"", ", "&amp;K187,"")&amp;IF(L187&lt;&gt;"", ", sob analgosedação com "&amp;L187,"")&amp;".",""),IF(M187&lt;&gt;"","Dieta "&amp;M187&amp;IF(N187&lt;&gt;"", ", com "&amp;LOWER(N187),"")&amp;IF(O187&lt;&gt;"", " — "&amp;O187,"")&amp;".",""),IF(P187="Febre","Apresentou episódio febril nas últimas 24h"&amp;IF(Q187&lt;&gt;""," ("&amp;Q187&amp;")","")&amp;".",IF(P187="Afebril","Encontra-se afebril.","")),IF(R187&lt;&gt;"",IF(S187="Sim","Apresenta disfunção renal aguda ","Função renal preservada ")&amp;"("&amp;R187&amp;").",""),IF(T187&lt;&gt;"","Em uso do esquema antimicrobiano com "&amp;T187&amp;".",""),IF(U187&lt;&gt;"","Em uso de profilaxia: "&amp;U187&amp;".",""))&amp;CHAR(10)&amp;CHAR(10)&amp;"2. Farmacoterapia"&amp;CHAR(10)&amp;IF(V187&lt;&gt;"","Corticoide/DART: "&amp;V187,"Sem corticoide/DART registrado.")&amp;CHAR(10)&amp;CHAR(10)&amp;"3. Conduta Farmacêutica"&amp;CHAR(10)&amp;IF(X187&lt;&gt;"","["&amp;W187&amp;"] "&amp;X187&amp;IF(Y187&lt;&gt;"", " ("&amp;Y187&amp;")",""),"Nenhuma intervenção registrada hoje.")&amp;CHAR(10)&amp;CHAR(10)&amp;"4. Plano Terapêutico"&amp;CHAR(10)&amp;IF(AB187&lt;&gt;"",AB187,"Não definido.")</f>
      </c>
    </row>
    <row r="188" spans="3:29" x14ac:dyDescent="0.25">
      <c r="AC188">
        <f>"1. Evolução Clínica"&amp;CHAR(10)&amp;TEXTJOIN(" ",TRUE,"Paciente "&amp;F188&amp;", "&amp;IF(G188="","sem DVA","em uso de "&amp;G188)&amp;".",IF(H188&lt;&gt;"","Em "&amp;H188&amp;IF(AND(H188="VMI",I188&lt;&gt;"")," por "&amp;I188,"")&amp;IF(J188&lt;&gt;""," ("&amp;J188&amp;")","")&amp;IF(K188&lt;&gt;"", ", "&amp;K188,"")&amp;IF(L188&lt;&gt;"", ", sob analgosedação com "&amp;L188,"")&amp;".",""),IF(M188&lt;&gt;"","Dieta "&amp;M188&amp;IF(N188&lt;&gt;"", ", com "&amp;LOWER(N188),"")&amp;IF(O188&lt;&gt;"", " — "&amp;O188,"")&amp;".",""),IF(P188="Febre","Apresentou episódio febril nas últimas 24h"&amp;IF(Q188&lt;&gt;""," ("&amp;Q188&amp;")","")&amp;".",IF(P188="Afebril","Encontra-se afebril.","")),IF(R188&lt;&gt;"",IF(S188="Sim","Apresenta disfunção renal aguda ","Função renal preservada ")&amp;"("&amp;R188&amp;").",""),IF(T188&lt;&gt;"","Em uso do esquema antimicrobiano com "&amp;T188&amp;".",""),IF(U188&lt;&gt;"","Em uso de profilaxia: "&amp;U188&amp;".",""))&amp;CHAR(10)&amp;CHAR(10)&amp;"2. Farmacoterapia"&amp;CHAR(10)&amp;IF(V188&lt;&gt;"","Corticoide/DART: "&amp;V188,"Sem corticoide/DART registrado.")&amp;CHAR(10)&amp;CHAR(10)&amp;"3. Conduta Farmacêutica"&amp;CHAR(10)&amp;IF(X188&lt;&gt;"","["&amp;W188&amp;"] "&amp;X188&amp;IF(Y188&lt;&gt;"", " ("&amp;Y188&amp;")",""),"Nenhuma intervenção registrada hoje.")&amp;CHAR(10)&amp;CHAR(10)&amp;"4. Plano Terapêutico"&amp;CHAR(10)&amp;IF(AB188&lt;&gt;"",AB188,"Não definido.")</f>
      </c>
    </row>
    <row r="189" spans="3:29" x14ac:dyDescent="0.25">
      <c r="AC189">
        <f>"1. Evolução Clínica"&amp;CHAR(10)&amp;TEXTJOIN(" ",TRUE,"Paciente "&amp;F189&amp;", "&amp;IF(G189="","sem DVA","em uso de "&amp;G189)&amp;".",IF(H189&lt;&gt;"","Em "&amp;H189&amp;IF(AND(H189="VMI",I189&lt;&gt;"")," por "&amp;I189,"")&amp;IF(J189&lt;&gt;""," ("&amp;J189&amp;")","")&amp;IF(K189&lt;&gt;"", ", "&amp;K189,"")&amp;IF(L189&lt;&gt;"", ", sob analgosedação com "&amp;L189,"")&amp;".",""),IF(M189&lt;&gt;"","Dieta "&amp;M189&amp;IF(N189&lt;&gt;"", ", com "&amp;LOWER(N189),"")&amp;IF(O189&lt;&gt;"", " — "&amp;O189,"")&amp;".",""),IF(P189="Febre","Apresentou episódio febril nas últimas 24h"&amp;IF(Q189&lt;&gt;""," ("&amp;Q189&amp;")","")&amp;".",IF(P189="Afebril","Encontra-se afebril.","")),IF(R189&lt;&gt;"",IF(S189="Sim","Apresenta disfunção renal aguda ","Função renal preservada ")&amp;"("&amp;R189&amp;").",""),IF(T189&lt;&gt;"","Em uso do esquema antimicrobiano com "&amp;T189&amp;".",""),IF(U189&lt;&gt;"","Em uso de profilaxia: "&amp;U189&amp;".",""))&amp;CHAR(10)&amp;CHAR(10)&amp;"2. Farmacoterapia"&amp;CHAR(10)&amp;IF(V189&lt;&gt;"","Corticoide/DART: "&amp;V189,"Sem corticoide/DART registrado.")&amp;CHAR(10)&amp;CHAR(10)&amp;"3. Conduta Farmacêutica"&amp;CHAR(10)&amp;IF(X189&lt;&gt;"","["&amp;W189&amp;"] "&amp;X189&amp;IF(Y189&lt;&gt;"", " ("&amp;Y189&amp;")",""),"Nenhuma intervenção registrada hoje.")&amp;CHAR(10)&amp;CHAR(10)&amp;"4. Plano Terapêutico"&amp;CHAR(10)&amp;IF(AB189&lt;&gt;"",AB189,"Não definido.")</f>
      </c>
    </row>
    <row r="190" spans="3:29" x14ac:dyDescent="0.25">
      <c r="AC190">
        <f>"1. Evolução Clínica"&amp;CHAR(10)&amp;TEXTJOIN(" ",TRUE,"Paciente "&amp;F190&amp;", "&amp;IF(G190="","sem DVA","em uso de "&amp;G190)&amp;".",IF(H190&lt;&gt;"","Em "&amp;H190&amp;IF(AND(H190="VMI",I190&lt;&gt;"")," por "&amp;I190,"")&amp;IF(J190&lt;&gt;""," ("&amp;J190&amp;")","")&amp;IF(K190&lt;&gt;"", ", "&amp;K190,"")&amp;IF(L190&lt;&gt;"", ", sob analgosedação com "&amp;L190,"")&amp;".",""),IF(M190&lt;&gt;"","Dieta "&amp;M190&amp;IF(N190&lt;&gt;"", ", com "&amp;LOWER(N190),"")&amp;IF(O190&lt;&gt;"", " — "&amp;O190,"")&amp;".",""),IF(P190="Febre","Apresentou episódio febril nas últimas 24h"&amp;IF(Q190&lt;&gt;""," ("&amp;Q190&amp;")","")&amp;".",IF(P190="Afebril","Encontra-se afebril.","")),IF(R190&lt;&gt;"",IF(S190="Sim","Apresenta disfunção renal aguda ","Função renal preservada ")&amp;"("&amp;R190&amp;").",""),IF(T190&lt;&gt;"","Em uso do esquema antimicrobiano com "&amp;T190&amp;".",""),IF(U190&lt;&gt;"","Em uso de profilaxia: "&amp;U190&amp;".",""))&amp;CHAR(10)&amp;CHAR(10)&amp;"2. Farmacoterapia"&amp;CHAR(10)&amp;IF(V190&lt;&gt;"","Corticoide/DART: "&amp;V190,"Sem corticoide/DART registrado.")&amp;CHAR(10)&amp;CHAR(10)&amp;"3. Conduta Farmacêutica"&amp;CHAR(10)&amp;IF(X190&lt;&gt;"","["&amp;W190&amp;"] "&amp;X190&amp;IF(Y190&lt;&gt;"", " ("&amp;Y190&amp;")",""),"Nenhuma intervenção registrada hoje.")&amp;CHAR(10)&amp;CHAR(10)&amp;"4. Plano Terapêutico"&amp;CHAR(10)&amp;IF(AB190&lt;&gt;"",AB190,"Não definido.")</f>
      </c>
    </row>
    <row r="191" spans="3:29" x14ac:dyDescent="0.25">
      <c r="AC191">
        <f>"1. Evolução Clínica"&amp;CHAR(10)&amp;TEXTJOIN(" ",TRUE,"Paciente "&amp;F191&amp;", "&amp;IF(G191="","sem DVA","em uso de "&amp;G191)&amp;".",IF(H191&lt;&gt;"","Em "&amp;H191&amp;IF(AND(H191="VMI",I191&lt;&gt;"")," por "&amp;I191,"")&amp;IF(J191&lt;&gt;""," ("&amp;J191&amp;")","")&amp;IF(K191&lt;&gt;"", ", "&amp;K191,"")&amp;IF(L191&lt;&gt;"", ", sob analgosedação com "&amp;L191,"")&amp;".",""),IF(M191&lt;&gt;"","Dieta "&amp;M191&amp;IF(N191&lt;&gt;"", ", com "&amp;LOWER(N191),"")&amp;IF(O191&lt;&gt;"", " — "&amp;O191,"")&amp;".",""),IF(P191="Febre","Apresentou episódio febril nas últimas 24h"&amp;IF(Q191&lt;&gt;""," ("&amp;Q191&amp;")","")&amp;".",IF(P191="Afebril","Encontra-se afebril.","")),IF(R191&lt;&gt;"",IF(S191="Sim","Apresenta disfunção renal aguda ","Função renal preservada ")&amp;"("&amp;R191&amp;").",""),IF(T191&lt;&gt;"","Em uso do esquema antimicrobiano com "&amp;T191&amp;".",""),IF(U191&lt;&gt;"","Em uso de profilaxia: "&amp;U191&amp;".",""))&amp;CHAR(10)&amp;CHAR(10)&amp;"2. Farmacoterapia"&amp;CHAR(10)&amp;IF(V191&lt;&gt;"","Corticoide/DART: "&amp;V191,"Sem corticoide/DART registrado.")&amp;CHAR(10)&amp;CHAR(10)&amp;"3. Conduta Farmacêutica"&amp;CHAR(10)&amp;IF(X191&lt;&gt;"","["&amp;W191&amp;"] "&amp;X191&amp;IF(Y191&lt;&gt;"", " ("&amp;Y191&amp;")",""),"Nenhuma intervenção registrada hoje.")&amp;CHAR(10)&amp;CHAR(10)&amp;"4. Plano Terapêutico"&amp;CHAR(10)&amp;IF(AB191&lt;&gt;"",AB191,"Não definido.")</f>
      </c>
    </row>
    <row r="192" spans="3:29" x14ac:dyDescent="0.25">
      <c r="AC192">
        <f>"1. Evolução Clínica"&amp;CHAR(10)&amp;TEXTJOIN(" ",TRUE,"Paciente "&amp;F192&amp;", "&amp;IF(G192="","sem DVA","em uso de "&amp;G192)&amp;".",IF(H192&lt;&gt;"","Em "&amp;H192&amp;IF(AND(H192="VMI",I192&lt;&gt;"")," por "&amp;I192,"")&amp;IF(J192&lt;&gt;""," ("&amp;J192&amp;")","")&amp;IF(K192&lt;&gt;"", ", "&amp;K192,"")&amp;IF(L192&lt;&gt;"", ", sob analgosedação com "&amp;L192,"")&amp;".",""),IF(M192&lt;&gt;"","Dieta "&amp;M192&amp;IF(N192&lt;&gt;"", ", com "&amp;LOWER(N192),"")&amp;IF(O192&lt;&gt;"", " — "&amp;O192,"")&amp;".",""),IF(P192="Febre","Apresentou episódio febril nas últimas 24h"&amp;IF(Q192&lt;&gt;""," ("&amp;Q192&amp;")","")&amp;".",IF(P192="Afebril","Encontra-se afebril.","")),IF(R192&lt;&gt;"",IF(S192="Sim","Apresenta disfunção renal aguda ","Função renal preservada ")&amp;"("&amp;R192&amp;").",""),IF(T192&lt;&gt;"","Em uso do esquema antimicrobiano com "&amp;T192&amp;".",""),IF(U192&lt;&gt;"","Em uso de profilaxia: "&amp;U192&amp;".",""))&amp;CHAR(10)&amp;CHAR(10)&amp;"2. Farmacoterapia"&amp;CHAR(10)&amp;IF(V192&lt;&gt;"","Corticoide/DART: "&amp;V192,"Sem corticoide/DART registrado.")&amp;CHAR(10)&amp;CHAR(10)&amp;"3. Conduta Farmacêutica"&amp;CHAR(10)&amp;IF(X192&lt;&gt;"","["&amp;W192&amp;"] "&amp;X192&amp;IF(Y192&lt;&gt;"", " ("&amp;Y192&amp;")",""),"Nenhuma intervenção registrada hoje.")&amp;CHAR(10)&amp;CHAR(10)&amp;"4. Plano Terapêutico"&amp;CHAR(10)&amp;IF(AB192&lt;&gt;"",AB192,"Não definido.")</f>
      </c>
    </row>
    <row r="193" spans="3:29" x14ac:dyDescent="0.25">
      <c r="AC193">
        <f>"1. Evolução Clínica"&amp;CHAR(10)&amp;TEXTJOIN(" ",TRUE,"Paciente "&amp;F193&amp;", "&amp;IF(G193="","sem DVA","em uso de "&amp;G193)&amp;".",IF(H193&lt;&gt;"","Em "&amp;H193&amp;IF(AND(H193="VMI",I193&lt;&gt;"")," por "&amp;I193,"")&amp;IF(J193&lt;&gt;""," ("&amp;J193&amp;")","")&amp;IF(K193&lt;&gt;"", ", "&amp;K193,"")&amp;IF(L193&lt;&gt;"", ", sob analgosedação com "&amp;L193,"")&amp;".",""),IF(M193&lt;&gt;"","Dieta "&amp;M193&amp;IF(N193&lt;&gt;"", ", com "&amp;LOWER(N193),"")&amp;IF(O193&lt;&gt;"", " — "&amp;O193,"")&amp;".",""),IF(P193="Febre","Apresentou episódio febril nas últimas 24h"&amp;IF(Q193&lt;&gt;""," ("&amp;Q193&amp;")","")&amp;".",IF(P193="Afebril","Encontra-se afebril.","")),IF(R193&lt;&gt;"",IF(S193="Sim","Apresenta disfunção renal aguda ","Função renal preservada ")&amp;"("&amp;R193&amp;").",""),IF(T193&lt;&gt;"","Em uso do esquema antimicrobiano com "&amp;T193&amp;".",""),IF(U193&lt;&gt;"","Em uso de profilaxia: "&amp;U193&amp;".",""))&amp;CHAR(10)&amp;CHAR(10)&amp;"2. Farmacoterapia"&amp;CHAR(10)&amp;IF(V193&lt;&gt;"","Corticoide/DART: "&amp;V193,"Sem corticoide/DART registrado.")&amp;CHAR(10)&amp;CHAR(10)&amp;"3. Conduta Farmacêutica"&amp;CHAR(10)&amp;IF(X193&lt;&gt;"","["&amp;W193&amp;"] "&amp;X193&amp;IF(Y193&lt;&gt;"", " ("&amp;Y193&amp;")",""),"Nenhuma intervenção registrada hoje.")&amp;CHAR(10)&amp;CHAR(10)&amp;"4. Plano Terapêutico"&amp;CHAR(10)&amp;IF(AB193&lt;&gt;"",AB193,"Não definido.")</f>
      </c>
    </row>
    <row r="194" spans="3:29" x14ac:dyDescent="0.25">
      <c r="AC194">
        <f>"1. Evolução Clínica"&amp;CHAR(10)&amp;TEXTJOIN(" ",TRUE,"Paciente "&amp;F194&amp;", "&amp;IF(G194="","sem DVA","em uso de "&amp;G194)&amp;".",IF(H194&lt;&gt;"","Em "&amp;H194&amp;IF(AND(H194="VMI",I194&lt;&gt;"")," por "&amp;I194,"")&amp;IF(J194&lt;&gt;""," ("&amp;J194&amp;")","")&amp;IF(K194&lt;&gt;"", ", "&amp;K194,"")&amp;IF(L194&lt;&gt;"", ", sob analgosedação com "&amp;L194,"")&amp;".",""),IF(M194&lt;&gt;"","Dieta "&amp;M194&amp;IF(N194&lt;&gt;"", ", com "&amp;LOWER(N194),"")&amp;IF(O194&lt;&gt;"", " — "&amp;O194,"")&amp;".",""),IF(P194="Febre","Apresentou episódio febril nas últimas 24h"&amp;IF(Q194&lt;&gt;""," ("&amp;Q194&amp;")","")&amp;".",IF(P194="Afebril","Encontra-se afebril.","")),IF(R194&lt;&gt;"",IF(S194="Sim","Apresenta disfunção renal aguda ","Função renal preservada ")&amp;"("&amp;R194&amp;").",""),IF(T194&lt;&gt;"","Em uso do esquema antimicrobiano com "&amp;T194&amp;".",""),IF(U194&lt;&gt;"","Em uso de profilaxia: "&amp;U194&amp;".",""))&amp;CHAR(10)&amp;CHAR(10)&amp;"2. Farmacoterapia"&amp;CHAR(10)&amp;IF(V194&lt;&gt;"","Corticoide/DART: "&amp;V194,"Sem corticoide/DART registrado.")&amp;CHAR(10)&amp;CHAR(10)&amp;"3. Conduta Farmacêutica"&amp;CHAR(10)&amp;IF(X194&lt;&gt;"","["&amp;W194&amp;"] "&amp;X194&amp;IF(Y194&lt;&gt;"", " ("&amp;Y194&amp;")",""),"Nenhuma intervenção registrada hoje.")&amp;CHAR(10)&amp;CHAR(10)&amp;"4. Plano Terapêutico"&amp;CHAR(10)&amp;IF(AB194&lt;&gt;"",AB194,"Não definido.")</f>
      </c>
    </row>
    <row r="195" spans="3:29" x14ac:dyDescent="0.25">
      <c r="AC195">
        <f>"1. Evolução Clínica"&amp;CHAR(10)&amp;TEXTJOIN(" ",TRUE,"Paciente "&amp;F195&amp;", "&amp;IF(G195="","sem DVA","em uso de "&amp;G195)&amp;".",IF(H195&lt;&gt;"","Em "&amp;H195&amp;IF(AND(H195="VMI",I195&lt;&gt;"")," por "&amp;I195,"")&amp;IF(J195&lt;&gt;""," ("&amp;J195&amp;")","")&amp;IF(K195&lt;&gt;"", ", "&amp;K195,"")&amp;IF(L195&lt;&gt;"", ", sob analgosedação com "&amp;L195,"")&amp;".",""),IF(M195&lt;&gt;"","Dieta "&amp;M195&amp;IF(N195&lt;&gt;"", ", com "&amp;LOWER(N195),"")&amp;IF(O195&lt;&gt;"", " — "&amp;O195,"")&amp;".",""),IF(P195="Febre","Apresentou episódio febril nas últimas 24h"&amp;IF(Q195&lt;&gt;""," ("&amp;Q195&amp;")","")&amp;".",IF(P195="Afebril","Encontra-se afebril.","")),IF(R195&lt;&gt;"",IF(S195="Sim","Apresenta disfunção renal aguda ","Função renal preservada ")&amp;"("&amp;R195&amp;").",""),IF(T195&lt;&gt;"","Em uso do esquema antimicrobiano com "&amp;T195&amp;".",""),IF(U195&lt;&gt;"","Em uso de profilaxia: "&amp;U195&amp;".",""))&amp;CHAR(10)&amp;CHAR(10)&amp;"2. Farmacoterapia"&amp;CHAR(10)&amp;IF(V195&lt;&gt;"","Corticoide/DART: "&amp;V195,"Sem corticoide/DART registrado.")&amp;CHAR(10)&amp;CHAR(10)&amp;"3. Conduta Farmacêutica"&amp;CHAR(10)&amp;IF(X195&lt;&gt;"","["&amp;W195&amp;"] "&amp;X195&amp;IF(Y195&lt;&gt;"", " ("&amp;Y195&amp;")",""),"Nenhuma intervenção registrada hoje.")&amp;CHAR(10)&amp;CHAR(10)&amp;"4. Plano Terapêutico"&amp;CHAR(10)&amp;IF(AB195&lt;&gt;"",AB195,"Não definido.")</f>
      </c>
    </row>
    <row r="196" spans="3:29" x14ac:dyDescent="0.25">
      <c r="AC196">
        <f>"1. Evolução Clínica"&amp;CHAR(10)&amp;TEXTJOIN(" ",TRUE,"Paciente "&amp;F196&amp;", "&amp;IF(G196="","sem DVA","em uso de "&amp;G196)&amp;".",IF(H196&lt;&gt;"","Em "&amp;H196&amp;IF(AND(H196="VMI",I196&lt;&gt;"")," por "&amp;I196,"")&amp;IF(J196&lt;&gt;""," ("&amp;J196&amp;")","")&amp;IF(K196&lt;&gt;"", ", "&amp;K196,"")&amp;IF(L196&lt;&gt;"", ", sob analgosedação com "&amp;L196,"")&amp;".",""),IF(M196&lt;&gt;"","Dieta "&amp;M196&amp;IF(N196&lt;&gt;"", ", com "&amp;LOWER(N196),"")&amp;IF(O196&lt;&gt;"", " — "&amp;O196,"")&amp;".",""),IF(P196="Febre","Apresentou episódio febril nas últimas 24h"&amp;IF(Q196&lt;&gt;""," ("&amp;Q196&amp;")","")&amp;".",IF(P196="Afebril","Encontra-se afebril.","")),IF(R196&lt;&gt;"",IF(S196="Sim","Apresenta disfunção renal aguda ","Função renal preservada ")&amp;"("&amp;R196&amp;").",""),IF(T196&lt;&gt;"","Em uso do esquema antimicrobiano com "&amp;T196&amp;".",""),IF(U196&lt;&gt;"","Em uso de profilaxia: "&amp;U196&amp;".",""))&amp;CHAR(10)&amp;CHAR(10)&amp;"2. Farmacoterapia"&amp;CHAR(10)&amp;IF(V196&lt;&gt;"","Corticoide/DART: "&amp;V196,"Sem corticoide/DART registrado.")&amp;CHAR(10)&amp;CHAR(10)&amp;"3. Conduta Farmacêutica"&amp;CHAR(10)&amp;IF(X196&lt;&gt;"","["&amp;W196&amp;"] "&amp;X196&amp;IF(Y196&lt;&gt;"", " ("&amp;Y196&amp;")",""),"Nenhuma intervenção registrada hoje.")&amp;CHAR(10)&amp;CHAR(10)&amp;"4. Plano Terapêutico"&amp;CHAR(10)&amp;IF(AB196&lt;&gt;"",AB196,"Não definido.")</f>
      </c>
    </row>
    <row r="197" spans="3:29" x14ac:dyDescent="0.25">
      <c r="AC197">
        <f>"1. Evolução Clínica"&amp;CHAR(10)&amp;TEXTJOIN(" ",TRUE,"Paciente "&amp;F197&amp;", "&amp;IF(G197="","sem DVA","em uso de "&amp;G197)&amp;".",IF(H197&lt;&gt;"","Em "&amp;H197&amp;IF(AND(H197="VMI",I197&lt;&gt;"")," por "&amp;I197,"")&amp;IF(J197&lt;&gt;""," ("&amp;J197&amp;")","")&amp;IF(K197&lt;&gt;"", ", "&amp;K197,"")&amp;IF(L197&lt;&gt;"", ", sob analgosedação com "&amp;L197,"")&amp;".",""),IF(M197&lt;&gt;"","Dieta "&amp;M197&amp;IF(N197&lt;&gt;"", ", com "&amp;LOWER(N197),"")&amp;IF(O197&lt;&gt;"", " — "&amp;O197,"")&amp;".",""),IF(P197="Febre","Apresentou episódio febril nas últimas 24h"&amp;IF(Q197&lt;&gt;""," ("&amp;Q197&amp;")","")&amp;".",IF(P197="Afebril","Encontra-se afebril.","")),IF(R197&lt;&gt;"",IF(S197="Sim","Apresenta disfunção renal aguda ","Função renal preservada ")&amp;"("&amp;R197&amp;").",""),IF(T197&lt;&gt;"","Em uso do esquema antimicrobiano com "&amp;T197&amp;".",""),IF(U197&lt;&gt;"","Em uso de profilaxia: "&amp;U197&amp;".",""))&amp;CHAR(10)&amp;CHAR(10)&amp;"2. Farmacoterapia"&amp;CHAR(10)&amp;IF(V197&lt;&gt;"","Corticoide/DART: "&amp;V197,"Sem corticoide/DART registrado.")&amp;CHAR(10)&amp;CHAR(10)&amp;"3. Conduta Farmacêutica"&amp;CHAR(10)&amp;IF(X197&lt;&gt;"","["&amp;W197&amp;"] "&amp;X197&amp;IF(Y197&lt;&gt;"", " ("&amp;Y197&amp;")",""),"Nenhuma intervenção registrada hoje.")&amp;CHAR(10)&amp;CHAR(10)&amp;"4. Plano Terapêutico"&amp;CHAR(10)&amp;IF(AB197&lt;&gt;"",AB197,"Não definido.")</f>
      </c>
    </row>
    <row r="198" spans="3:29" x14ac:dyDescent="0.25">
      <c r="AC198">
        <f>"1. Evolução Clínica"&amp;CHAR(10)&amp;TEXTJOIN(" ",TRUE,"Paciente "&amp;F198&amp;", "&amp;IF(G198="","sem DVA","em uso de "&amp;G198)&amp;".",IF(H198&lt;&gt;"","Em "&amp;H198&amp;IF(AND(H198="VMI",I198&lt;&gt;"")," por "&amp;I198,"")&amp;IF(J198&lt;&gt;""," ("&amp;J198&amp;")","")&amp;IF(K198&lt;&gt;"", ", "&amp;K198,"")&amp;IF(L198&lt;&gt;"", ", sob analgosedação com "&amp;L198,"")&amp;".",""),IF(M198&lt;&gt;"","Dieta "&amp;M198&amp;IF(N198&lt;&gt;"", ", com "&amp;LOWER(N198),"")&amp;IF(O198&lt;&gt;"", " — "&amp;O198,"")&amp;".",""),IF(P198="Febre","Apresentou episódio febril nas últimas 24h"&amp;IF(Q198&lt;&gt;""," ("&amp;Q198&amp;")","")&amp;".",IF(P198="Afebril","Encontra-se afebril.","")),IF(R198&lt;&gt;"",IF(S198="Sim","Apresenta disfunção renal aguda ","Função renal preservada ")&amp;"("&amp;R198&amp;").",""),IF(T198&lt;&gt;"","Em uso do esquema antimicrobiano com "&amp;T198&amp;".",""),IF(U198&lt;&gt;"","Em uso de profilaxia: "&amp;U198&amp;".",""))&amp;CHAR(10)&amp;CHAR(10)&amp;"2. Farmacoterapia"&amp;CHAR(10)&amp;IF(V198&lt;&gt;"","Corticoide/DART: "&amp;V198,"Sem corticoide/DART registrado.")&amp;CHAR(10)&amp;CHAR(10)&amp;"3. Conduta Farmacêutica"&amp;CHAR(10)&amp;IF(X198&lt;&gt;"","["&amp;W198&amp;"] "&amp;X198&amp;IF(Y198&lt;&gt;"", " ("&amp;Y198&amp;")",""),"Nenhuma intervenção registrada hoje.")&amp;CHAR(10)&amp;CHAR(10)&amp;"4. Plano Terapêutico"&amp;CHAR(10)&amp;IF(AB198&lt;&gt;"",AB198,"Não definido.")</f>
      </c>
    </row>
    <row r="199" spans="3:29" x14ac:dyDescent="0.25">
      <c r="AC199">
        <f>"1. Evolução Clínica"&amp;CHAR(10)&amp;TEXTJOIN(" ",TRUE,"Paciente "&amp;F199&amp;", "&amp;IF(G199="","sem DVA","em uso de "&amp;G199)&amp;".",IF(H199&lt;&gt;"","Em "&amp;H199&amp;IF(AND(H199="VMI",I199&lt;&gt;"")," por "&amp;I199,"")&amp;IF(J199&lt;&gt;""," ("&amp;J199&amp;")","")&amp;IF(K199&lt;&gt;"", ", "&amp;K199,"")&amp;IF(L199&lt;&gt;"", ", sob analgosedação com "&amp;L199,"")&amp;".",""),IF(M199&lt;&gt;"","Dieta "&amp;M199&amp;IF(N199&lt;&gt;"", ", com "&amp;LOWER(N199),"")&amp;IF(O199&lt;&gt;"", " — "&amp;O199,"")&amp;".",""),IF(P199="Febre","Apresentou episódio febril nas últimas 24h"&amp;IF(Q199&lt;&gt;""," ("&amp;Q199&amp;")","")&amp;".",IF(P199="Afebril","Encontra-se afebril.","")),IF(R199&lt;&gt;"",IF(S199="Sim","Apresenta disfunção renal aguda ","Função renal preservada ")&amp;"("&amp;R199&amp;").",""),IF(T199&lt;&gt;"","Em uso do esquema antimicrobiano com "&amp;T199&amp;".",""),IF(U199&lt;&gt;"","Em uso de profilaxia: "&amp;U199&amp;".",""))&amp;CHAR(10)&amp;CHAR(10)&amp;"2. Farmacoterapia"&amp;CHAR(10)&amp;IF(V199&lt;&gt;"","Corticoide/DART: "&amp;V199,"Sem corticoide/DART registrado.")&amp;CHAR(10)&amp;CHAR(10)&amp;"3. Conduta Farmacêutica"&amp;CHAR(10)&amp;IF(X199&lt;&gt;"","["&amp;W199&amp;"] "&amp;X199&amp;IF(Y199&lt;&gt;"", " ("&amp;Y199&amp;")",""),"Nenhuma intervenção registrada hoje.")&amp;CHAR(10)&amp;CHAR(10)&amp;"4. Plano Terapêutico"&amp;CHAR(10)&amp;IF(AB199&lt;&gt;"",AB199,"Não definido.")</f>
      </c>
    </row>
    <row r="200" spans="3:29" x14ac:dyDescent="0.25">
      <c r="AC200">
        <f>"1. Evolução Clínica"&amp;CHAR(10)&amp;TEXTJOIN(" ",TRUE,"Paciente "&amp;F200&amp;", "&amp;IF(G200="","sem DVA","em uso de "&amp;G200)&amp;".",IF(H200&lt;&gt;"","Em "&amp;H200&amp;IF(AND(H200="VMI",I200&lt;&gt;"")," por "&amp;I200,"")&amp;IF(J200&lt;&gt;""," ("&amp;J200&amp;")","")&amp;IF(K200&lt;&gt;"", ", "&amp;K200,"")&amp;IF(L200&lt;&gt;"", ", sob analgosedação com "&amp;L200,"")&amp;".",""),IF(M200&lt;&gt;"","Dieta "&amp;M200&amp;IF(N200&lt;&gt;"", ", com "&amp;LOWER(N200),"")&amp;IF(O200&lt;&gt;"", " — "&amp;O200,"")&amp;".",""),IF(P200="Febre","Apresentou episódio febril nas últimas 24h"&amp;IF(Q200&lt;&gt;""," ("&amp;Q200&amp;")","")&amp;".",IF(P200="Afebril","Encontra-se afebril.","")),IF(R200&lt;&gt;"",IF(S200="Sim","Apresenta disfunção renal aguda ","Função renal preservada ")&amp;"("&amp;R200&amp;").",""),IF(T200&lt;&gt;"","Em uso do esquema antimicrobiano com "&amp;T200&amp;".",""),IF(U200&lt;&gt;"","Em uso de profilaxia: "&amp;U200&amp;".",""))&amp;CHAR(10)&amp;CHAR(10)&amp;"2. Farmacoterapia"&amp;CHAR(10)&amp;IF(V200&lt;&gt;"","Corticoide/DART: "&amp;V200,"Sem corticoide/DART registrado.")&amp;CHAR(10)&amp;CHAR(10)&amp;"3. Conduta Farmacêutica"&amp;CHAR(10)&amp;IF(X200&lt;&gt;"","["&amp;W200&amp;"] "&amp;X200&amp;IF(Y200&lt;&gt;"", " ("&amp;Y200&amp;")",""),"Nenhuma intervenção registrada hoje.")&amp;CHAR(10)&amp;CHAR(10)&amp;"4. Plano Terapêutico"&amp;CHAR(10)&amp;IF(AB200&lt;&gt;"",AB200,"Não definido.")</f>
      </c>
    </row>
    <row r="201" spans="3:29" x14ac:dyDescent="0.25">
      <c r="AC201">
        <f>"1. Evolução Clínica"&amp;CHAR(10)&amp;TEXTJOIN(" ",TRUE,"Paciente "&amp;F201&amp;", "&amp;IF(G201="","sem DVA","em uso de "&amp;G201)&amp;".",IF(H201&lt;&gt;"","Em "&amp;H201&amp;IF(AND(H201="VMI",I201&lt;&gt;"")," por "&amp;I201,"")&amp;IF(J201&lt;&gt;""," ("&amp;J201&amp;")","")&amp;IF(K201&lt;&gt;"", ", "&amp;K201,"")&amp;IF(L201&lt;&gt;"", ", sob analgosedação com "&amp;L201,"")&amp;".",""),IF(M201&lt;&gt;"","Dieta "&amp;M201&amp;IF(N201&lt;&gt;"", ", com "&amp;LOWER(N201),"")&amp;IF(O201&lt;&gt;"", " — "&amp;O201,"")&amp;".",""),IF(P201="Febre","Apresentou episódio febril nas últimas 24h"&amp;IF(Q201&lt;&gt;""," ("&amp;Q201&amp;")","")&amp;".",IF(P201="Afebril","Encontra-se afebril.","")),IF(R201&lt;&gt;"",IF(S201="Sim","Apresenta disfunção renal aguda ","Função renal preservada ")&amp;"("&amp;R201&amp;").",""),IF(T201&lt;&gt;"","Em uso do esquema antimicrobiano com "&amp;T201&amp;".",""),IF(U201&lt;&gt;"","Em uso de profilaxia: "&amp;U201&amp;".",""))&amp;CHAR(10)&amp;CHAR(10)&amp;"2. Farmacoterapia"&amp;CHAR(10)&amp;IF(V201&lt;&gt;"","Corticoide/DART: "&amp;V201,"Sem corticoide/DART registrado.")&amp;CHAR(10)&amp;CHAR(10)&amp;"3. Conduta Farmacêutica"&amp;CHAR(10)&amp;IF(X201&lt;&gt;"","["&amp;W201&amp;"] "&amp;X201&amp;IF(Y201&lt;&gt;"", " ("&amp;Y201&amp;")",""),"Nenhuma intervenção registrada hoje.")&amp;CHAR(10)&amp;CHAR(10)&amp;"4. Plano Terapêutico"&amp;CHAR(10)&amp;IF(AB201&lt;&gt;"",AB201,"Não definido.")</f>
      </c>
    </row>
    <row r="202" spans="3:29" x14ac:dyDescent="0.25">
      <c r="AC202">
        <f>"1. Evolução Clínica"&amp;CHAR(10)&amp;TEXTJOIN(" ",TRUE,"Paciente "&amp;F202&amp;", "&amp;IF(G202="","sem DVA","em uso de "&amp;G202)&amp;".",IF(H202&lt;&gt;"","Em "&amp;H202&amp;IF(AND(H202="VMI",I202&lt;&gt;"")," por "&amp;I202,"")&amp;IF(J202&lt;&gt;""," ("&amp;J202&amp;")","")&amp;IF(K202&lt;&gt;"", ", "&amp;K202,"")&amp;IF(L202&lt;&gt;"", ", sob analgosedação com "&amp;L202,"")&amp;".",""),IF(M202&lt;&gt;"","Dieta "&amp;M202&amp;IF(N202&lt;&gt;"", ", com "&amp;LOWER(N202),"")&amp;IF(O202&lt;&gt;"", " — "&amp;O202,"")&amp;".",""),IF(P202="Febre","Apresentou episódio febril nas últimas 24h"&amp;IF(Q202&lt;&gt;""," ("&amp;Q202&amp;")","")&amp;".",IF(P202="Afebril","Encontra-se afebril.","")),IF(R202&lt;&gt;"",IF(S202="Sim","Apresenta disfunção renal aguda ","Função renal preservada ")&amp;"("&amp;R202&amp;").",""),IF(T202&lt;&gt;"","Em uso do esquema antimicrobiano com "&amp;T202&amp;".",""),IF(U202&lt;&gt;"","Em uso de profilaxia: "&amp;U202&amp;".",""))&amp;CHAR(10)&amp;CHAR(10)&amp;"2. Farmacoterapia"&amp;CHAR(10)&amp;IF(V202&lt;&gt;"","Corticoide/DART: "&amp;V202,"Sem corticoide/DART registrado.")&amp;CHAR(10)&amp;CHAR(10)&amp;"3. Conduta Farmacêutica"&amp;CHAR(10)&amp;IF(X202&lt;&gt;"","["&amp;W202&amp;"] "&amp;X202&amp;IF(Y202&lt;&gt;"", " ("&amp;Y202&amp;")",""),"Nenhuma intervenção registrada hoje.")&amp;CHAR(10)&amp;CHAR(10)&amp;"4. Plano Terapêutico"&amp;CHAR(10)&amp;IF(AB202&lt;&gt;"",AB202,"Não definido.")</f>
      </c>
    </row>
    <row r="203" spans="3:29" x14ac:dyDescent="0.25">
      <c r="AC203">
        <f>"1. Evolução Clínica"&amp;CHAR(10)&amp;TEXTJOIN(" ",TRUE,"Paciente "&amp;F203&amp;", "&amp;IF(G203="","sem DVA","em uso de "&amp;G203)&amp;".",IF(H203&lt;&gt;"","Em "&amp;H203&amp;IF(AND(H203="VMI",I203&lt;&gt;"")," por "&amp;I203,"")&amp;IF(J203&lt;&gt;""," ("&amp;J203&amp;")","")&amp;IF(K203&lt;&gt;"", ", "&amp;K203,"")&amp;IF(L203&lt;&gt;"", ", sob analgosedação com "&amp;L203,"")&amp;".",""),IF(M203&lt;&gt;"","Dieta "&amp;M203&amp;IF(N203&lt;&gt;"", ", com "&amp;LOWER(N203),"")&amp;IF(O203&lt;&gt;"", " — "&amp;O203,"")&amp;".",""),IF(P203="Febre","Apresentou episódio febril nas últimas 24h"&amp;IF(Q203&lt;&gt;""," ("&amp;Q203&amp;")","")&amp;".",IF(P203="Afebril","Encontra-se afebril.","")),IF(R203&lt;&gt;"",IF(S203="Sim","Apresenta disfunção renal aguda ","Função renal preservada ")&amp;"("&amp;R203&amp;").",""),IF(T203&lt;&gt;"","Em uso do esquema antimicrobiano com "&amp;T203&amp;".",""),IF(U203&lt;&gt;"","Em uso de profilaxia: "&amp;U203&amp;".",""))&amp;CHAR(10)&amp;CHAR(10)&amp;"2. Farmacoterapia"&amp;CHAR(10)&amp;IF(V203&lt;&gt;"","Corticoide/DART: "&amp;V203,"Sem corticoide/DART registrado.")&amp;CHAR(10)&amp;CHAR(10)&amp;"3. Conduta Farmacêutica"&amp;CHAR(10)&amp;IF(X203&lt;&gt;"","["&amp;W203&amp;"] "&amp;X203&amp;IF(Y203&lt;&gt;"", " ("&amp;Y203&amp;")",""),"Nenhuma intervenção registrada hoje.")&amp;CHAR(10)&amp;CHAR(10)&amp;"4. Plano Terapêutico"&amp;CHAR(10)&amp;IF(AB203&lt;&gt;"",AB203,"Não definido.")</f>
      </c>
    </row>
    <row r="204" spans="3:29" x14ac:dyDescent="0.25">
      <c r="AC204">
        <f>"1. Evolução Clínica"&amp;CHAR(10)&amp;TEXTJOIN(" ",TRUE,"Paciente "&amp;F204&amp;", "&amp;IF(G204="","sem DVA","em uso de "&amp;G204)&amp;".",IF(H204&lt;&gt;"","Em "&amp;H204&amp;IF(AND(H204="VMI",I204&lt;&gt;"")," por "&amp;I204,"")&amp;IF(J204&lt;&gt;""," ("&amp;J204&amp;")","")&amp;IF(K204&lt;&gt;"", ", "&amp;K204,"")&amp;IF(L204&lt;&gt;"", ", sob analgosedação com "&amp;L204,"")&amp;".",""),IF(M204&lt;&gt;"","Dieta "&amp;M204&amp;IF(N204&lt;&gt;"", ", com "&amp;LOWER(N204),"")&amp;IF(O204&lt;&gt;"", " — "&amp;O204,"")&amp;".",""),IF(P204="Febre","Apresentou episódio febril nas últimas 24h"&amp;IF(Q204&lt;&gt;""," ("&amp;Q204&amp;")","")&amp;".",IF(P204="Afebril","Encontra-se afebril.","")),IF(R204&lt;&gt;"",IF(S204="Sim","Apresenta disfunção renal aguda ","Função renal preservada ")&amp;"("&amp;R204&amp;").",""),IF(T204&lt;&gt;"","Em uso do esquema antimicrobiano com "&amp;T204&amp;".",""),IF(U204&lt;&gt;"","Em uso de profilaxia: "&amp;U204&amp;".",""))&amp;CHAR(10)&amp;CHAR(10)&amp;"2. Farmacoterapia"&amp;CHAR(10)&amp;IF(V204&lt;&gt;"","Corticoide/DART: "&amp;V204,"Sem corticoide/DART registrado.")&amp;CHAR(10)&amp;CHAR(10)&amp;"3. Conduta Farmacêutica"&amp;CHAR(10)&amp;IF(X204&lt;&gt;"","["&amp;W204&amp;"] "&amp;X204&amp;IF(Y204&lt;&gt;"", " ("&amp;Y204&amp;")",""),"Nenhuma intervenção registrada hoje.")&amp;CHAR(10)&amp;CHAR(10)&amp;"4. Plano Terapêutico"&amp;CHAR(10)&amp;IF(AB204&lt;&gt;"",AB204,"Não definido.")</f>
      </c>
    </row>
    <row r="205" spans="3:29" x14ac:dyDescent="0.25">
      <c r="AC205">
        <f>"1. Evolução Clínica"&amp;CHAR(10)&amp;TEXTJOIN(" ",TRUE,"Paciente "&amp;F205&amp;", "&amp;IF(G205="","sem DVA","em uso de "&amp;G205)&amp;".",IF(H205&lt;&gt;"","Em "&amp;H205&amp;IF(AND(H205="VMI",I205&lt;&gt;"")," por "&amp;I205,"")&amp;IF(J205&lt;&gt;""," ("&amp;J205&amp;")","")&amp;IF(K205&lt;&gt;"", ", "&amp;K205,"")&amp;IF(L205&lt;&gt;"", ", sob analgosedação com "&amp;L205,"")&amp;".",""),IF(M205&lt;&gt;"","Dieta "&amp;M205&amp;IF(N205&lt;&gt;"", ", com "&amp;LOWER(N205),"")&amp;IF(O205&lt;&gt;"", " — "&amp;O205,"")&amp;".",""),IF(P205="Febre","Apresentou episódio febril nas últimas 24h"&amp;IF(Q205&lt;&gt;""," ("&amp;Q205&amp;")","")&amp;".",IF(P205="Afebril","Encontra-se afebril.","")),IF(R205&lt;&gt;"",IF(S205="Sim","Apresenta disfunção renal aguda ","Função renal preservada ")&amp;"("&amp;R205&amp;").",""),IF(T205&lt;&gt;"","Em uso do esquema antimicrobiano com "&amp;T205&amp;".",""),IF(U205&lt;&gt;"","Em uso de profilaxia: "&amp;U205&amp;".",""))&amp;CHAR(10)&amp;CHAR(10)&amp;"2. Farmacoterapia"&amp;CHAR(10)&amp;IF(V205&lt;&gt;"","Corticoide/DART: "&amp;V205,"Sem corticoide/DART registrado.")&amp;CHAR(10)&amp;CHAR(10)&amp;"3. Conduta Farmacêutica"&amp;CHAR(10)&amp;IF(X205&lt;&gt;"","["&amp;W205&amp;"] "&amp;X205&amp;IF(Y205&lt;&gt;"", " ("&amp;Y205&amp;")",""),"Nenhuma intervenção registrada hoje.")&amp;CHAR(10)&amp;CHAR(10)&amp;"4. Plano Terapêutico"&amp;CHAR(10)&amp;IF(AB205&lt;&gt;"",AB205,"Não definido.")</f>
      </c>
    </row>
    <row r="206" spans="3:29" x14ac:dyDescent="0.25">
      <c r="AC206">
        <f>"1. Evolução Clínica"&amp;CHAR(10)&amp;TEXTJOIN(" ",TRUE,"Paciente "&amp;F206&amp;", "&amp;IF(G206="","sem DVA","em uso de "&amp;G206)&amp;".",IF(H206&lt;&gt;"","Em "&amp;H206&amp;IF(AND(H206="VMI",I206&lt;&gt;"")," por "&amp;I206,"")&amp;IF(J206&lt;&gt;""," ("&amp;J206&amp;")","")&amp;IF(K206&lt;&gt;"", ", "&amp;K206,"")&amp;IF(L206&lt;&gt;"", ", sob analgosedação com "&amp;L206,"")&amp;".",""),IF(M206&lt;&gt;"","Dieta "&amp;M206&amp;IF(N206&lt;&gt;"", ", com "&amp;LOWER(N206),"")&amp;IF(O206&lt;&gt;"", " — "&amp;O206,"")&amp;".",""),IF(P206="Febre","Apresentou episódio febril nas últimas 24h"&amp;IF(Q206&lt;&gt;""," ("&amp;Q206&amp;")","")&amp;".",IF(P206="Afebril","Encontra-se afebril.","")),IF(R206&lt;&gt;"",IF(S206="Sim","Apresenta disfunção renal aguda ","Função renal preservada ")&amp;"("&amp;R206&amp;").",""),IF(T206&lt;&gt;"","Em uso do esquema antimicrobiano com "&amp;T206&amp;".",""),IF(U206&lt;&gt;"","Em uso de profilaxia: "&amp;U206&amp;".",""))&amp;CHAR(10)&amp;CHAR(10)&amp;"2. Farmacoterapia"&amp;CHAR(10)&amp;IF(V206&lt;&gt;"","Corticoide/DART: "&amp;V206,"Sem corticoide/DART registrado.")&amp;CHAR(10)&amp;CHAR(10)&amp;"3. Conduta Farmacêutica"&amp;CHAR(10)&amp;IF(X206&lt;&gt;"","["&amp;W206&amp;"] "&amp;X206&amp;IF(Y206&lt;&gt;"", " ("&amp;Y206&amp;")",""),"Nenhuma intervenção registrada hoje.")&amp;CHAR(10)&amp;CHAR(10)&amp;"4. Plano Terapêutico"&amp;CHAR(10)&amp;IF(AB206&lt;&gt;"",AB206,"Não definido.")</f>
      </c>
    </row>
    <row r="207" spans="3:29" x14ac:dyDescent="0.25">
      <c r="AC207">
        <f>"1. Evolução Clínica"&amp;CHAR(10)&amp;TEXTJOIN(" ",TRUE,"Paciente "&amp;F207&amp;", "&amp;IF(G207="","sem DVA","em uso de "&amp;G207)&amp;".",IF(H207&lt;&gt;"","Em "&amp;H207&amp;IF(AND(H207="VMI",I207&lt;&gt;"")," por "&amp;I207,"")&amp;IF(J207&lt;&gt;""," ("&amp;J207&amp;")","")&amp;IF(K207&lt;&gt;"", ", "&amp;K207,"")&amp;IF(L207&lt;&gt;"", ", sob analgosedação com "&amp;L207,"")&amp;".",""),IF(M207&lt;&gt;"","Dieta "&amp;M207&amp;IF(N207&lt;&gt;"", ", com "&amp;LOWER(N207),"")&amp;IF(O207&lt;&gt;"", " — "&amp;O207,"")&amp;".",""),IF(P207="Febre","Apresentou episódio febril nas últimas 24h"&amp;IF(Q207&lt;&gt;""," ("&amp;Q207&amp;")","")&amp;".",IF(P207="Afebril","Encontra-se afebril.","")),IF(R207&lt;&gt;"",IF(S207="Sim","Apresenta disfunção renal aguda ","Função renal preservada ")&amp;"("&amp;R207&amp;").",""),IF(T207&lt;&gt;"","Em uso do esquema antimicrobiano com "&amp;T207&amp;".",""),IF(U207&lt;&gt;"","Em uso de profilaxia: "&amp;U207&amp;".",""))&amp;CHAR(10)&amp;CHAR(10)&amp;"2. Farmacoterapia"&amp;CHAR(10)&amp;IF(V207&lt;&gt;"","Corticoide/DART: "&amp;V207,"Sem corticoide/DART registrado.")&amp;CHAR(10)&amp;CHAR(10)&amp;"3. Conduta Farmacêutica"&amp;CHAR(10)&amp;IF(X207&lt;&gt;"","["&amp;W207&amp;"] "&amp;X207&amp;IF(Y207&lt;&gt;"", " ("&amp;Y207&amp;")",""),"Nenhuma intervenção registrada hoje.")&amp;CHAR(10)&amp;CHAR(10)&amp;"4. Plano Terapêutico"&amp;CHAR(10)&amp;IF(AB207&lt;&gt;"",AB207,"Não definido.")</f>
      </c>
    </row>
    <row r="208" spans="3:29" x14ac:dyDescent="0.25">
      <c r="AC208">
        <f>"1. Evolução Clínica"&amp;CHAR(10)&amp;TEXTJOIN(" ",TRUE,"Paciente "&amp;F208&amp;", "&amp;IF(G208="","sem DVA","em uso de "&amp;G208)&amp;".",IF(H208&lt;&gt;"","Em "&amp;H208&amp;IF(AND(H208="VMI",I208&lt;&gt;"")," por "&amp;I208,"")&amp;IF(J208&lt;&gt;""," ("&amp;J208&amp;")","")&amp;IF(K208&lt;&gt;"", ", "&amp;K208,"")&amp;IF(L208&lt;&gt;"", ", sob analgosedação com "&amp;L208,"")&amp;".",""),IF(M208&lt;&gt;"","Dieta "&amp;M208&amp;IF(N208&lt;&gt;"", ", com "&amp;LOWER(N208),"")&amp;IF(O208&lt;&gt;"", " — "&amp;O208,"")&amp;".",""),IF(P208="Febre","Apresentou episódio febril nas últimas 24h"&amp;IF(Q208&lt;&gt;""," ("&amp;Q208&amp;")","")&amp;".",IF(P208="Afebril","Encontra-se afebril.","")),IF(R208&lt;&gt;"",IF(S208="Sim","Apresenta disfunção renal aguda ","Função renal preservada ")&amp;"("&amp;R208&amp;").",""),IF(T208&lt;&gt;"","Em uso do esquema antimicrobiano com "&amp;T208&amp;".",""),IF(U208&lt;&gt;"","Em uso de profilaxia: "&amp;U208&amp;".",""))&amp;CHAR(10)&amp;CHAR(10)&amp;"2. Farmacoterapia"&amp;CHAR(10)&amp;IF(V208&lt;&gt;"","Corticoide/DART: "&amp;V208,"Sem corticoide/DART registrado.")&amp;CHAR(10)&amp;CHAR(10)&amp;"3. Conduta Farmacêutica"&amp;CHAR(10)&amp;IF(X208&lt;&gt;"","["&amp;W208&amp;"] "&amp;X208&amp;IF(Y208&lt;&gt;"", " ("&amp;Y208&amp;")",""),"Nenhuma intervenção registrada hoje.")&amp;CHAR(10)&amp;CHAR(10)&amp;"4. Plano Terapêutico"&amp;CHAR(10)&amp;IF(AB208&lt;&gt;"",AB208,"Não definido.")</f>
      </c>
    </row>
    <row r="209" spans="3:29" x14ac:dyDescent="0.25">
      <c r="AC209">
        <f>"1. Evolução Clínica"&amp;CHAR(10)&amp;TEXTJOIN(" ",TRUE,"Paciente "&amp;F209&amp;", "&amp;IF(G209="","sem DVA","em uso de "&amp;G209)&amp;".",IF(H209&lt;&gt;"","Em "&amp;H209&amp;IF(AND(H209="VMI",I209&lt;&gt;"")," por "&amp;I209,"")&amp;IF(J209&lt;&gt;""," ("&amp;J209&amp;")","")&amp;IF(K209&lt;&gt;"", ", "&amp;K209,"")&amp;IF(L209&lt;&gt;"", ", sob analgosedação com "&amp;L209,"")&amp;".",""),IF(M209&lt;&gt;"","Dieta "&amp;M209&amp;IF(N209&lt;&gt;"", ", com "&amp;LOWER(N209),"")&amp;IF(O209&lt;&gt;"", " — "&amp;O209,"")&amp;".",""),IF(P209="Febre","Apresentou episódio febril nas últimas 24h"&amp;IF(Q209&lt;&gt;""," ("&amp;Q209&amp;")","")&amp;".",IF(P209="Afebril","Encontra-se afebril.","")),IF(R209&lt;&gt;"",IF(S209="Sim","Apresenta disfunção renal aguda ","Função renal preservada ")&amp;"("&amp;R209&amp;").",""),IF(T209&lt;&gt;"","Em uso do esquema antimicrobiano com "&amp;T209&amp;".",""),IF(U209&lt;&gt;"","Em uso de profilaxia: "&amp;U209&amp;".",""))&amp;CHAR(10)&amp;CHAR(10)&amp;"2. Farmacoterapia"&amp;CHAR(10)&amp;IF(V209&lt;&gt;"","Corticoide/DART: "&amp;V209,"Sem corticoide/DART registrado.")&amp;CHAR(10)&amp;CHAR(10)&amp;"3. Conduta Farmacêutica"&amp;CHAR(10)&amp;IF(X209&lt;&gt;"","["&amp;W209&amp;"] "&amp;X209&amp;IF(Y209&lt;&gt;"", " ("&amp;Y209&amp;")",""),"Nenhuma intervenção registrada hoje.")&amp;CHAR(10)&amp;CHAR(10)&amp;"4. Plano Terapêutico"&amp;CHAR(10)&amp;IF(AB209&lt;&gt;"",AB209,"Não definido.")</f>
      </c>
    </row>
    <row r="210" spans="3:29" x14ac:dyDescent="0.25">
      <c r="AC210">
        <f>"1. Evolução Clínica"&amp;CHAR(10)&amp;TEXTJOIN(" ",TRUE,"Paciente "&amp;F210&amp;", "&amp;IF(G210="","sem DVA","em uso de "&amp;G210)&amp;".",IF(H210&lt;&gt;"","Em "&amp;H210&amp;IF(AND(H210="VMI",I210&lt;&gt;"")," por "&amp;I210,"")&amp;IF(J210&lt;&gt;""," ("&amp;J210&amp;")","")&amp;IF(K210&lt;&gt;"", ", "&amp;K210,"")&amp;IF(L210&lt;&gt;"", ", sob analgosedação com "&amp;L210,"")&amp;".",""),IF(M210&lt;&gt;"","Dieta "&amp;M210&amp;IF(N210&lt;&gt;"", ", com "&amp;LOWER(N210),"")&amp;IF(O210&lt;&gt;"", " — "&amp;O210,"")&amp;".",""),IF(P210="Febre","Apresentou episódio febril nas últimas 24h"&amp;IF(Q210&lt;&gt;""," ("&amp;Q210&amp;")","")&amp;".",IF(P210="Afebril","Encontra-se afebril.","")),IF(R210&lt;&gt;"",IF(S210="Sim","Apresenta disfunção renal aguda ","Função renal preservada ")&amp;"("&amp;R210&amp;").",""),IF(T210&lt;&gt;"","Em uso do esquema antimicrobiano com "&amp;T210&amp;".",""),IF(U210&lt;&gt;"","Em uso de profilaxia: "&amp;U210&amp;".",""))&amp;CHAR(10)&amp;CHAR(10)&amp;"2. Farmacoterapia"&amp;CHAR(10)&amp;IF(V210&lt;&gt;"","Corticoide/DART: "&amp;V210,"Sem corticoide/DART registrado.")&amp;CHAR(10)&amp;CHAR(10)&amp;"3. Conduta Farmacêutica"&amp;CHAR(10)&amp;IF(X210&lt;&gt;"","["&amp;W210&amp;"] "&amp;X210&amp;IF(Y210&lt;&gt;"", " ("&amp;Y210&amp;")",""),"Nenhuma intervenção registrada hoje.")&amp;CHAR(10)&amp;CHAR(10)&amp;"4. Plano Terapêutico"&amp;CHAR(10)&amp;IF(AB210&lt;&gt;"",AB210,"Não definido.")</f>
      </c>
    </row>
    <row r="211" spans="3:29" x14ac:dyDescent="0.25">
      <c r="AC211">
        <f>"1. Evolução Clínica"&amp;CHAR(10)&amp;TEXTJOIN(" ",TRUE,"Paciente "&amp;F211&amp;", "&amp;IF(G211="","sem DVA","em uso de "&amp;G211)&amp;".",IF(H211&lt;&gt;"","Em "&amp;H211&amp;IF(AND(H211="VMI",I211&lt;&gt;"")," por "&amp;I211,"")&amp;IF(J211&lt;&gt;""," ("&amp;J211&amp;")","")&amp;IF(K211&lt;&gt;"", ", "&amp;K211,"")&amp;IF(L211&lt;&gt;"", ", sob analgosedação com "&amp;L211,"")&amp;".",""),IF(M211&lt;&gt;"","Dieta "&amp;M211&amp;IF(N211&lt;&gt;"", ", com "&amp;LOWER(N211),"")&amp;IF(O211&lt;&gt;"", " — "&amp;O211,"")&amp;".",""),IF(P211="Febre","Apresentou episódio febril nas últimas 24h"&amp;IF(Q211&lt;&gt;""," ("&amp;Q211&amp;")","")&amp;".",IF(P211="Afebril","Encontra-se afebril.","")),IF(R211&lt;&gt;"",IF(S211="Sim","Apresenta disfunção renal aguda ","Função renal preservada ")&amp;"("&amp;R211&amp;").",""),IF(T211&lt;&gt;"","Em uso do esquema antimicrobiano com "&amp;T211&amp;".",""),IF(U211&lt;&gt;"","Em uso de profilaxia: "&amp;U211&amp;".",""))&amp;CHAR(10)&amp;CHAR(10)&amp;"2. Farmacoterapia"&amp;CHAR(10)&amp;IF(V211&lt;&gt;"","Corticoide/DART: "&amp;V211,"Sem corticoide/DART registrado.")&amp;CHAR(10)&amp;CHAR(10)&amp;"3. Conduta Farmacêutica"&amp;CHAR(10)&amp;IF(X211&lt;&gt;"","["&amp;W211&amp;"] "&amp;X211&amp;IF(Y211&lt;&gt;"", " ("&amp;Y211&amp;")",""),"Nenhuma intervenção registrada hoje.")&amp;CHAR(10)&amp;CHAR(10)&amp;"4. Plano Terapêutico"&amp;CHAR(10)&amp;IF(AB211&lt;&gt;"",AB211,"Não definido.")</f>
      </c>
    </row>
    <row r="212" spans="3:29" x14ac:dyDescent="0.25">
      <c r="AC212">
        <f>"1. Evolução Clínica"&amp;CHAR(10)&amp;TEXTJOIN(" ",TRUE,"Paciente "&amp;F212&amp;", "&amp;IF(G212="","sem DVA","em uso de "&amp;G212)&amp;".",IF(H212&lt;&gt;"","Em "&amp;H212&amp;IF(AND(H212="VMI",I212&lt;&gt;"")," por "&amp;I212,"")&amp;IF(J212&lt;&gt;""," ("&amp;J212&amp;")","")&amp;IF(K212&lt;&gt;"", ", "&amp;K212,"")&amp;IF(L212&lt;&gt;"", ", sob analgosedação com "&amp;L212,"")&amp;".",""),IF(M212&lt;&gt;"","Dieta "&amp;M212&amp;IF(N212&lt;&gt;"", ", com "&amp;LOWER(N212),"")&amp;IF(O212&lt;&gt;"", " — "&amp;O212,"")&amp;".",""),IF(P212="Febre","Apresentou episódio febril nas últimas 24h"&amp;IF(Q212&lt;&gt;""," ("&amp;Q212&amp;")","")&amp;".",IF(P212="Afebril","Encontra-se afebril.","")),IF(R212&lt;&gt;"",IF(S212="Sim","Apresenta disfunção renal aguda ","Função renal preservada ")&amp;"("&amp;R212&amp;").",""),IF(T212&lt;&gt;"","Em uso do esquema antimicrobiano com "&amp;T212&amp;".",""),IF(U212&lt;&gt;"","Em uso de profilaxia: "&amp;U212&amp;".",""))&amp;CHAR(10)&amp;CHAR(10)&amp;"2. Farmacoterapia"&amp;CHAR(10)&amp;IF(V212&lt;&gt;"","Corticoide/DART: "&amp;V212,"Sem corticoide/DART registrado.")&amp;CHAR(10)&amp;CHAR(10)&amp;"3. Conduta Farmacêutica"&amp;CHAR(10)&amp;IF(X212&lt;&gt;"","["&amp;W212&amp;"] "&amp;X212&amp;IF(Y212&lt;&gt;"", " ("&amp;Y212&amp;")",""),"Nenhuma intervenção registrada hoje.")&amp;CHAR(10)&amp;CHAR(10)&amp;"4. Plano Terapêutico"&amp;CHAR(10)&amp;IF(AB212&lt;&gt;"",AB212,"Não definido.")</f>
      </c>
    </row>
    <row r="213" spans="3:29" x14ac:dyDescent="0.25">
      <c r="AC213">
        <f>"1. Evolução Clínica"&amp;CHAR(10)&amp;TEXTJOIN(" ",TRUE,"Paciente "&amp;F213&amp;", "&amp;IF(G213="","sem DVA","em uso de "&amp;G213)&amp;".",IF(H213&lt;&gt;"","Em "&amp;H213&amp;IF(AND(H213="VMI",I213&lt;&gt;"")," por "&amp;I213,"")&amp;IF(J213&lt;&gt;""," ("&amp;J213&amp;")","")&amp;IF(K213&lt;&gt;"", ", "&amp;K213,"")&amp;IF(L213&lt;&gt;"", ", sob analgosedação com "&amp;L213,"")&amp;".",""),IF(M213&lt;&gt;"","Dieta "&amp;M213&amp;IF(N213&lt;&gt;"", ", com "&amp;LOWER(N213),"")&amp;IF(O213&lt;&gt;"", " — "&amp;O213,"")&amp;".",""),IF(P213="Febre","Apresentou episódio febril nas últimas 24h"&amp;IF(Q213&lt;&gt;""," ("&amp;Q213&amp;")","")&amp;".",IF(P213="Afebril","Encontra-se afebril.","")),IF(R213&lt;&gt;"",IF(S213="Sim","Apresenta disfunção renal aguda ","Função renal preservada ")&amp;"("&amp;R213&amp;").",""),IF(T213&lt;&gt;"","Em uso do esquema antimicrobiano com "&amp;T213&amp;".",""),IF(U213&lt;&gt;"","Em uso de profilaxia: "&amp;U213&amp;".",""))&amp;CHAR(10)&amp;CHAR(10)&amp;"2. Farmacoterapia"&amp;CHAR(10)&amp;IF(V213&lt;&gt;"","Corticoide/DART: "&amp;V213,"Sem corticoide/DART registrado.")&amp;CHAR(10)&amp;CHAR(10)&amp;"3. Conduta Farmacêutica"&amp;CHAR(10)&amp;IF(X213&lt;&gt;"","["&amp;W213&amp;"] "&amp;X213&amp;IF(Y213&lt;&gt;"", " ("&amp;Y213&amp;")",""),"Nenhuma intervenção registrada hoje.")&amp;CHAR(10)&amp;CHAR(10)&amp;"4. Plano Terapêutico"&amp;CHAR(10)&amp;IF(AB213&lt;&gt;"",AB213,"Não definido.")</f>
      </c>
    </row>
    <row r="214" spans="3:29" x14ac:dyDescent="0.25">
      <c r="AC214">
        <f>"1. Evolução Clínica"&amp;CHAR(10)&amp;TEXTJOIN(" ",TRUE,"Paciente "&amp;F214&amp;", "&amp;IF(G214="","sem DVA","em uso de "&amp;G214)&amp;".",IF(H214&lt;&gt;"","Em "&amp;H214&amp;IF(AND(H214="VMI",I214&lt;&gt;"")," por "&amp;I214,"")&amp;IF(J214&lt;&gt;""," ("&amp;J214&amp;")","")&amp;IF(K214&lt;&gt;"", ", "&amp;K214,"")&amp;IF(L214&lt;&gt;"", ", sob analgosedação com "&amp;L214,"")&amp;".",""),IF(M214&lt;&gt;"","Dieta "&amp;M214&amp;IF(N214&lt;&gt;"", ", com "&amp;LOWER(N214),"")&amp;IF(O214&lt;&gt;"", " — "&amp;O214,"")&amp;".",""),IF(P214="Febre","Apresentou episódio febril nas últimas 24h"&amp;IF(Q214&lt;&gt;""," ("&amp;Q214&amp;")","")&amp;".",IF(P214="Afebril","Encontra-se afebril.","")),IF(R214&lt;&gt;"",IF(S214="Sim","Apresenta disfunção renal aguda ","Função renal preservada ")&amp;"("&amp;R214&amp;").",""),IF(T214&lt;&gt;"","Em uso do esquema antimicrobiano com "&amp;T214&amp;".",""),IF(U214&lt;&gt;"","Em uso de profilaxia: "&amp;U214&amp;".",""))&amp;CHAR(10)&amp;CHAR(10)&amp;"2. Farmacoterapia"&amp;CHAR(10)&amp;IF(V214&lt;&gt;"","Corticoide/DART: "&amp;V214,"Sem corticoide/DART registrado.")&amp;CHAR(10)&amp;CHAR(10)&amp;"3. Conduta Farmacêutica"&amp;CHAR(10)&amp;IF(X214&lt;&gt;"","["&amp;W214&amp;"] "&amp;X214&amp;IF(Y214&lt;&gt;"", " ("&amp;Y214&amp;")",""),"Nenhuma intervenção registrada hoje.")&amp;CHAR(10)&amp;CHAR(10)&amp;"4. Plano Terapêutico"&amp;CHAR(10)&amp;IF(AB214&lt;&gt;"",AB214,"Não definido.")</f>
      </c>
    </row>
    <row r="215" spans="3:29" x14ac:dyDescent="0.25">
      <c r="AC215">
        <f>"1. Evolução Clínica"&amp;CHAR(10)&amp;TEXTJOIN(" ",TRUE,"Paciente "&amp;F215&amp;", "&amp;IF(G215="","sem DVA","em uso de "&amp;G215)&amp;".",IF(H215&lt;&gt;"","Em "&amp;H215&amp;IF(AND(H215="VMI",I215&lt;&gt;"")," por "&amp;I215,"")&amp;IF(J215&lt;&gt;""," ("&amp;J215&amp;")","")&amp;IF(K215&lt;&gt;"", ", "&amp;K215,"")&amp;IF(L215&lt;&gt;"", ", sob analgosedação com "&amp;L215,"")&amp;".",""),IF(M215&lt;&gt;"","Dieta "&amp;M215&amp;IF(N215&lt;&gt;"", ", com "&amp;LOWER(N215),"")&amp;IF(O215&lt;&gt;"", " — "&amp;O215,"")&amp;".",""),IF(P215="Febre","Apresentou episódio febril nas últimas 24h"&amp;IF(Q215&lt;&gt;""," ("&amp;Q215&amp;")","")&amp;".",IF(P215="Afebril","Encontra-se afebril.","")),IF(R215&lt;&gt;"",IF(S215="Sim","Apresenta disfunção renal aguda ","Função renal preservada ")&amp;"("&amp;R215&amp;").",""),IF(T215&lt;&gt;"","Em uso do esquema antimicrobiano com "&amp;T215&amp;".",""),IF(U215&lt;&gt;"","Em uso de profilaxia: "&amp;U215&amp;".",""))&amp;CHAR(10)&amp;CHAR(10)&amp;"2. Farmacoterapia"&amp;CHAR(10)&amp;IF(V215&lt;&gt;"","Corticoide/DART: "&amp;V215,"Sem corticoide/DART registrado.")&amp;CHAR(10)&amp;CHAR(10)&amp;"3. Conduta Farmacêutica"&amp;CHAR(10)&amp;IF(X215&lt;&gt;"","["&amp;W215&amp;"] "&amp;X215&amp;IF(Y215&lt;&gt;"", " ("&amp;Y215&amp;")",""),"Nenhuma intervenção registrada hoje.")&amp;CHAR(10)&amp;CHAR(10)&amp;"4. Plano Terapêutico"&amp;CHAR(10)&amp;IF(AB215&lt;&gt;"",AB215,"Não definido.")</f>
      </c>
    </row>
    <row r="216" spans="3:29" x14ac:dyDescent="0.25">
      <c r="AC216">
        <f>"1. Evolução Clínica"&amp;CHAR(10)&amp;TEXTJOIN(" ",TRUE,"Paciente "&amp;F216&amp;", "&amp;IF(G216="","sem DVA","em uso de "&amp;G216)&amp;".",IF(H216&lt;&gt;"","Em "&amp;H216&amp;IF(AND(H216="VMI",I216&lt;&gt;"")," por "&amp;I216,"")&amp;IF(J216&lt;&gt;""," ("&amp;J216&amp;")","")&amp;IF(K216&lt;&gt;"", ", "&amp;K216,"")&amp;IF(L216&lt;&gt;"", ", sob analgosedação com "&amp;L216,"")&amp;".",""),IF(M216&lt;&gt;"","Dieta "&amp;M216&amp;IF(N216&lt;&gt;"", ", com "&amp;LOWER(N216),"")&amp;IF(O216&lt;&gt;"", " — "&amp;O216,"")&amp;".",""),IF(P216="Febre","Apresentou episódio febril nas últimas 24h"&amp;IF(Q216&lt;&gt;""," ("&amp;Q216&amp;")","")&amp;".",IF(P216="Afebril","Encontra-se afebril.","")),IF(R216&lt;&gt;"",IF(S216="Sim","Apresenta disfunção renal aguda ","Função renal preservada ")&amp;"("&amp;R216&amp;").",""),IF(T216&lt;&gt;"","Em uso do esquema antimicrobiano com "&amp;T216&amp;".",""),IF(U216&lt;&gt;"","Em uso de profilaxia: "&amp;U216&amp;".",""))&amp;CHAR(10)&amp;CHAR(10)&amp;"2. Farmacoterapia"&amp;CHAR(10)&amp;IF(V216&lt;&gt;"","Corticoide/DART: "&amp;V216,"Sem corticoide/DART registrado.")&amp;CHAR(10)&amp;CHAR(10)&amp;"3. Conduta Farmacêutica"&amp;CHAR(10)&amp;IF(X216&lt;&gt;"","["&amp;W216&amp;"] "&amp;X216&amp;IF(Y216&lt;&gt;"", " ("&amp;Y216&amp;")",""),"Nenhuma intervenção registrada hoje.")&amp;CHAR(10)&amp;CHAR(10)&amp;"4. Plano Terapêutico"&amp;CHAR(10)&amp;IF(AB216&lt;&gt;"",AB216,"Não definido.")</f>
      </c>
    </row>
    <row r="217" spans="3:29" x14ac:dyDescent="0.25">
      <c r="AC217">
        <f>"1. Evolução Clínica"&amp;CHAR(10)&amp;TEXTJOIN(" ",TRUE,"Paciente "&amp;F217&amp;", "&amp;IF(G217="","sem DVA","em uso de "&amp;G217)&amp;".",IF(H217&lt;&gt;"","Em "&amp;H217&amp;IF(AND(H217="VMI",I217&lt;&gt;"")," por "&amp;I217,"")&amp;IF(J217&lt;&gt;""," ("&amp;J217&amp;")","")&amp;IF(K217&lt;&gt;"", ", "&amp;K217,"")&amp;IF(L217&lt;&gt;"", ", sob analgosedação com "&amp;L217,"")&amp;".",""),IF(M217&lt;&gt;"","Dieta "&amp;M217&amp;IF(N217&lt;&gt;"", ", com "&amp;LOWER(N217),"")&amp;IF(O217&lt;&gt;"", " — "&amp;O217,"")&amp;".",""),IF(P217="Febre","Apresentou episódio febril nas últimas 24h"&amp;IF(Q217&lt;&gt;""," ("&amp;Q217&amp;")","")&amp;".",IF(P217="Afebril","Encontra-se afebril.","")),IF(R217&lt;&gt;"",IF(S217="Sim","Apresenta disfunção renal aguda ","Função renal preservada ")&amp;"("&amp;R217&amp;").",""),IF(T217&lt;&gt;"","Em uso do esquema antimicrobiano com "&amp;T217&amp;".",""),IF(U217&lt;&gt;"","Em uso de profilaxia: "&amp;U217&amp;".",""))&amp;CHAR(10)&amp;CHAR(10)&amp;"2. Farmacoterapia"&amp;CHAR(10)&amp;IF(V217&lt;&gt;"","Corticoide/DART: "&amp;V217,"Sem corticoide/DART registrado.")&amp;CHAR(10)&amp;CHAR(10)&amp;"3. Conduta Farmacêutica"&amp;CHAR(10)&amp;IF(X217&lt;&gt;"","["&amp;W217&amp;"] "&amp;X217&amp;IF(Y217&lt;&gt;"", " ("&amp;Y217&amp;")",""),"Nenhuma intervenção registrada hoje.")&amp;CHAR(10)&amp;CHAR(10)&amp;"4. Plano Terapêutico"&amp;CHAR(10)&amp;IF(AB217&lt;&gt;"",AB217,"Não definido.")</f>
      </c>
    </row>
    <row r="218" spans="3:29" x14ac:dyDescent="0.25">
      <c r="AC218">
        <f>"1. Evolução Clínica"&amp;CHAR(10)&amp;TEXTJOIN(" ",TRUE,"Paciente "&amp;F218&amp;", "&amp;IF(G218="","sem DVA","em uso de "&amp;G218)&amp;".",IF(H218&lt;&gt;"","Em "&amp;H218&amp;IF(AND(H218="VMI",I218&lt;&gt;"")," por "&amp;I218,"")&amp;IF(J218&lt;&gt;""," ("&amp;J218&amp;")","")&amp;IF(K218&lt;&gt;"", ", "&amp;K218,"")&amp;IF(L218&lt;&gt;"", ", sob analgosedação com "&amp;L218,"")&amp;".",""),IF(M218&lt;&gt;"","Dieta "&amp;M218&amp;IF(N218&lt;&gt;"", ", com "&amp;LOWER(N218),"")&amp;IF(O218&lt;&gt;"", " — "&amp;O218,"")&amp;".",""),IF(P218="Febre","Apresentou episódio febril nas últimas 24h"&amp;IF(Q218&lt;&gt;""," ("&amp;Q218&amp;")","")&amp;".",IF(P218="Afebril","Encontra-se afebril.","")),IF(R218&lt;&gt;"",IF(S218="Sim","Apresenta disfunção renal aguda ","Função renal preservada ")&amp;"("&amp;R218&amp;").",""),IF(T218&lt;&gt;"","Em uso do esquema antimicrobiano com "&amp;T218&amp;".",""),IF(U218&lt;&gt;"","Em uso de profilaxia: "&amp;U218&amp;".",""))&amp;CHAR(10)&amp;CHAR(10)&amp;"2. Farmacoterapia"&amp;CHAR(10)&amp;IF(V218&lt;&gt;"","Corticoide/DART: "&amp;V218,"Sem corticoide/DART registrado.")&amp;CHAR(10)&amp;CHAR(10)&amp;"3. Conduta Farmacêutica"&amp;CHAR(10)&amp;IF(X218&lt;&gt;"","["&amp;W218&amp;"] "&amp;X218&amp;IF(Y218&lt;&gt;"", " ("&amp;Y218&amp;")",""),"Nenhuma intervenção registrada hoje.")&amp;CHAR(10)&amp;CHAR(10)&amp;"4. Plano Terapêutico"&amp;CHAR(10)&amp;IF(AB218&lt;&gt;"",AB218,"Não definido.")</f>
      </c>
    </row>
    <row r="219" spans="3:29" x14ac:dyDescent="0.25">
      <c r="AC219">
        <f>"1. Evolução Clínica"&amp;CHAR(10)&amp;TEXTJOIN(" ",TRUE,"Paciente "&amp;F219&amp;", "&amp;IF(G219="","sem DVA","em uso de "&amp;G219)&amp;".",IF(H219&lt;&gt;"","Em "&amp;H219&amp;IF(AND(H219="VMI",I219&lt;&gt;"")," por "&amp;I219,"")&amp;IF(J219&lt;&gt;""," ("&amp;J219&amp;")","")&amp;IF(K219&lt;&gt;"", ", "&amp;K219,"")&amp;IF(L219&lt;&gt;"", ", sob analgosedação com "&amp;L219,"")&amp;".",""),IF(M219&lt;&gt;"","Dieta "&amp;M219&amp;IF(N219&lt;&gt;"", ", com "&amp;LOWER(N219),"")&amp;IF(O219&lt;&gt;"", " — "&amp;O219,"")&amp;".",""),IF(P219="Febre","Apresentou episódio febril nas últimas 24h"&amp;IF(Q219&lt;&gt;""," ("&amp;Q219&amp;")","")&amp;".",IF(P219="Afebril","Encontra-se afebril.","")),IF(R219&lt;&gt;"",IF(S219="Sim","Apresenta disfunção renal aguda ","Função renal preservada ")&amp;"("&amp;R219&amp;").",""),IF(T219&lt;&gt;"","Em uso do esquema antimicrobiano com "&amp;T219&amp;".",""),IF(U219&lt;&gt;"","Em uso de profilaxia: "&amp;U219&amp;".",""))&amp;CHAR(10)&amp;CHAR(10)&amp;"2. Farmacoterapia"&amp;CHAR(10)&amp;IF(V219&lt;&gt;"","Corticoide/DART: "&amp;V219,"Sem corticoide/DART registrado.")&amp;CHAR(10)&amp;CHAR(10)&amp;"3. Conduta Farmacêutica"&amp;CHAR(10)&amp;IF(X219&lt;&gt;"","["&amp;W219&amp;"] "&amp;X219&amp;IF(Y219&lt;&gt;"", " ("&amp;Y219&amp;")",""),"Nenhuma intervenção registrada hoje.")&amp;CHAR(10)&amp;CHAR(10)&amp;"4. Plano Terapêutico"&amp;CHAR(10)&amp;IF(AB219&lt;&gt;"",AB219,"Não definido.")</f>
      </c>
    </row>
    <row r="220" spans="3:29" x14ac:dyDescent="0.25">
      <c r="AC220">
        <f>"1. Evolução Clínica"&amp;CHAR(10)&amp;TEXTJOIN(" ",TRUE,"Paciente "&amp;F220&amp;", "&amp;IF(G220="","sem DVA","em uso de "&amp;G220)&amp;".",IF(H220&lt;&gt;"","Em "&amp;H220&amp;IF(AND(H220="VMI",I220&lt;&gt;"")," por "&amp;I220,"")&amp;IF(J220&lt;&gt;""," ("&amp;J220&amp;")","")&amp;IF(K220&lt;&gt;"", ", "&amp;K220,"")&amp;IF(L220&lt;&gt;"", ", sob analgosedação com "&amp;L220,"")&amp;".",""),IF(M220&lt;&gt;"","Dieta "&amp;M220&amp;IF(N220&lt;&gt;"", ", com "&amp;LOWER(N220),"")&amp;IF(O220&lt;&gt;"", " — "&amp;O220,"")&amp;".",""),IF(P220="Febre","Apresentou episódio febril nas últimas 24h"&amp;IF(Q220&lt;&gt;""," ("&amp;Q220&amp;")","")&amp;".",IF(P220="Afebril","Encontra-se afebril.","")),IF(R220&lt;&gt;"",IF(S220="Sim","Apresenta disfunção renal aguda ","Função renal preservada ")&amp;"("&amp;R220&amp;").",""),IF(T220&lt;&gt;"","Em uso do esquema antimicrobiano com "&amp;T220&amp;".",""),IF(U220&lt;&gt;"","Em uso de profilaxia: "&amp;U220&amp;".",""))&amp;CHAR(10)&amp;CHAR(10)&amp;"2. Farmacoterapia"&amp;CHAR(10)&amp;IF(V220&lt;&gt;"","Corticoide/DART: "&amp;V220,"Sem corticoide/DART registrado.")&amp;CHAR(10)&amp;CHAR(10)&amp;"3. Conduta Farmacêutica"&amp;CHAR(10)&amp;IF(X220&lt;&gt;"","["&amp;W220&amp;"] "&amp;X220&amp;IF(Y220&lt;&gt;"", " ("&amp;Y220&amp;")",""),"Nenhuma intervenção registrada hoje.")&amp;CHAR(10)&amp;CHAR(10)&amp;"4. Plano Terapêutico"&amp;CHAR(10)&amp;IF(AB220&lt;&gt;"",AB220,"Não definido.")</f>
      </c>
    </row>
    <row r="221" spans="3:29" x14ac:dyDescent="0.25">
      <c r="AC221">
        <f>"1. Evolução Clínica"&amp;CHAR(10)&amp;TEXTJOIN(" ",TRUE,"Paciente "&amp;F221&amp;", "&amp;IF(G221="","sem DVA","em uso de "&amp;G221)&amp;".",IF(H221&lt;&gt;"","Em "&amp;H221&amp;IF(AND(H221="VMI",I221&lt;&gt;"")," por "&amp;I221,"")&amp;IF(J221&lt;&gt;""," ("&amp;J221&amp;")","")&amp;IF(K221&lt;&gt;"", ", "&amp;K221,"")&amp;IF(L221&lt;&gt;"", ", sob analgosedação com "&amp;L221,"")&amp;".",""),IF(M221&lt;&gt;"","Dieta "&amp;M221&amp;IF(N221&lt;&gt;"", ", com "&amp;LOWER(N221),"")&amp;IF(O221&lt;&gt;"", " — "&amp;O221,"")&amp;".",""),IF(P221="Febre","Apresentou episódio febril nas últimas 24h"&amp;IF(Q221&lt;&gt;""," ("&amp;Q221&amp;")","")&amp;".",IF(P221="Afebril","Encontra-se afebril.","")),IF(R221&lt;&gt;"",IF(S221="Sim","Apresenta disfunção renal aguda ","Função renal preservada ")&amp;"("&amp;R221&amp;").",""),IF(T221&lt;&gt;"","Em uso do esquema antimicrobiano com "&amp;T221&amp;".",""),IF(U221&lt;&gt;"","Em uso de profilaxia: "&amp;U221&amp;".",""))&amp;CHAR(10)&amp;CHAR(10)&amp;"2. Farmacoterapia"&amp;CHAR(10)&amp;IF(V221&lt;&gt;"","Corticoide/DART: "&amp;V221,"Sem corticoide/DART registrado.")&amp;CHAR(10)&amp;CHAR(10)&amp;"3. Conduta Farmacêutica"&amp;CHAR(10)&amp;IF(X221&lt;&gt;"","["&amp;W221&amp;"] "&amp;X221&amp;IF(Y221&lt;&gt;"", " ("&amp;Y221&amp;")",""),"Nenhuma intervenção registrada hoje.")&amp;CHAR(10)&amp;CHAR(10)&amp;"4. Plano Terapêutico"&amp;CHAR(10)&amp;IF(AB221&lt;&gt;"",AB221,"Não definido.")</f>
      </c>
    </row>
    <row r="222" spans="3:29" x14ac:dyDescent="0.25">
      <c r="AC222">
        <f>"1. Evolução Clínica"&amp;CHAR(10)&amp;TEXTJOIN(" ",TRUE,"Paciente "&amp;F222&amp;", "&amp;IF(G222="","sem DVA","em uso de "&amp;G222)&amp;".",IF(H222&lt;&gt;"","Em "&amp;H222&amp;IF(AND(H222="VMI",I222&lt;&gt;"")," por "&amp;I222,"")&amp;IF(J222&lt;&gt;""," ("&amp;J222&amp;")","")&amp;IF(K222&lt;&gt;"", ", "&amp;K222,"")&amp;IF(L222&lt;&gt;"", ", sob analgosedação com "&amp;L222,"")&amp;".",""),IF(M222&lt;&gt;"","Dieta "&amp;M222&amp;IF(N222&lt;&gt;"", ", com "&amp;LOWER(N222),"")&amp;IF(O222&lt;&gt;"", " — "&amp;O222,"")&amp;".",""),IF(P222="Febre","Apresentou episódio febril nas últimas 24h"&amp;IF(Q222&lt;&gt;""," ("&amp;Q222&amp;")","")&amp;".",IF(P222="Afebril","Encontra-se afebril.","")),IF(R222&lt;&gt;"",IF(S222="Sim","Apresenta disfunção renal aguda ","Função renal preservada ")&amp;"("&amp;R222&amp;").",""),IF(T222&lt;&gt;"","Em uso do esquema antimicrobiano com "&amp;T222&amp;".",""),IF(U222&lt;&gt;"","Em uso de profilaxia: "&amp;U222&amp;".",""))&amp;CHAR(10)&amp;CHAR(10)&amp;"2. Farmacoterapia"&amp;CHAR(10)&amp;IF(V222&lt;&gt;"","Corticoide/DART: "&amp;V222,"Sem corticoide/DART registrado.")&amp;CHAR(10)&amp;CHAR(10)&amp;"3. Conduta Farmacêutica"&amp;CHAR(10)&amp;IF(X222&lt;&gt;"","["&amp;W222&amp;"] "&amp;X222&amp;IF(Y222&lt;&gt;"", " ("&amp;Y222&amp;")",""),"Nenhuma intervenção registrada hoje.")&amp;CHAR(10)&amp;CHAR(10)&amp;"4. Plano Terapêutico"&amp;CHAR(10)&amp;IF(AB222&lt;&gt;"",AB222,"Não definido.")</f>
      </c>
    </row>
    <row r="223" spans="3:29" x14ac:dyDescent="0.25">
      <c r="AC223">
        <f>"1. Evolução Clínica"&amp;CHAR(10)&amp;TEXTJOIN(" ",TRUE,"Paciente "&amp;F223&amp;", "&amp;IF(G223="","sem DVA","em uso de "&amp;G223)&amp;".",IF(H223&lt;&gt;"","Em "&amp;H223&amp;IF(AND(H223="VMI",I223&lt;&gt;"")," por "&amp;I223,"")&amp;IF(J223&lt;&gt;""," ("&amp;J223&amp;")","")&amp;IF(K223&lt;&gt;"", ", "&amp;K223,"")&amp;IF(L223&lt;&gt;"", ", sob analgosedação com "&amp;L223,"")&amp;".",""),IF(M223&lt;&gt;"","Dieta "&amp;M223&amp;IF(N223&lt;&gt;"", ", com "&amp;LOWER(N223),"")&amp;IF(O223&lt;&gt;"", " — "&amp;O223,"")&amp;".",""),IF(P223="Febre","Apresentou episódio febril nas últimas 24h"&amp;IF(Q223&lt;&gt;""," ("&amp;Q223&amp;")","")&amp;".",IF(P223="Afebril","Encontra-se afebril.","")),IF(R223&lt;&gt;"",IF(S223="Sim","Apresenta disfunção renal aguda ","Função renal preservada ")&amp;"("&amp;R223&amp;").",""),IF(T223&lt;&gt;"","Em uso do esquema antimicrobiano com "&amp;T223&amp;".",""),IF(U223&lt;&gt;"","Em uso de profilaxia: "&amp;U223&amp;".",""))&amp;CHAR(10)&amp;CHAR(10)&amp;"2. Farmacoterapia"&amp;CHAR(10)&amp;IF(V223&lt;&gt;"","Corticoide/DART: "&amp;V223,"Sem corticoide/DART registrado.")&amp;CHAR(10)&amp;CHAR(10)&amp;"3. Conduta Farmacêutica"&amp;CHAR(10)&amp;IF(X223&lt;&gt;"","["&amp;W223&amp;"] "&amp;X223&amp;IF(Y223&lt;&gt;"", " ("&amp;Y223&amp;")",""),"Nenhuma intervenção registrada hoje.")&amp;CHAR(10)&amp;CHAR(10)&amp;"4. Plano Terapêutico"&amp;CHAR(10)&amp;IF(AB223&lt;&gt;"",AB223,"Não definido.")</f>
      </c>
    </row>
    <row r="224" spans="3:29" x14ac:dyDescent="0.25">
      <c r="AC224">
        <f>"1. Evolução Clínica"&amp;CHAR(10)&amp;TEXTJOIN(" ",TRUE,"Paciente "&amp;F224&amp;", "&amp;IF(G224="","sem DVA","em uso de "&amp;G224)&amp;".",IF(H224&lt;&gt;"","Em "&amp;H224&amp;IF(AND(H224="VMI",I224&lt;&gt;"")," por "&amp;I224,"")&amp;IF(J224&lt;&gt;""," ("&amp;J224&amp;")","")&amp;IF(K224&lt;&gt;"", ", "&amp;K224,"")&amp;IF(L224&lt;&gt;"", ", sob analgosedação com "&amp;L224,"")&amp;".",""),IF(M224&lt;&gt;"","Dieta "&amp;M224&amp;IF(N224&lt;&gt;"", ", com "&amp;LOWER(N224),"")&amp;IF(O224&lt;&gt;"", " — "&amp;O224,"")&amp;".",""),IF(P224="Febre","Apresentou episódio febril nas últimas 24h"&amp;IF(Q224&lt;&gt;""," ("&amp;Q224&amp;")","")&amp;".",IF(P224="Afebril","Encontra-se afebril.","")),IF(R224&lt;&gt;"",IF(S224="Sim","Apresenta disfunção renal aguda ","Função renal preservada ")&amp;"("&amp;R224&amp;").",""),IF(T224&lt;&gt;"","Em uso do esquema antimicrobiano com "&amp;T224&amp;".",""),IF(U224&lt;&gt;"","Em uso de profilaxia: "&amp;U224&amp;".",""))&amp;CHAR(10)&amp;CHAR(10)&amp;"2. Farmacoterapia"&amp;CHAR(10)&amp;IF(V224&lt;&gt;"","Corticoide/DART: "&amp;V224,"Sem corticoide/DART registrado.")&amp;CHAR(10)&amp;CHAR(10)&amp;"3. Conduta Farmacêutica"&amp;CHAR(10)&amp;IF(X224&lt;&gt;"","["&amp;W224&amp;"] "&amp;X224&amp;IF(Y224&lt;&gt;"", " ("&amp;Y224&amp;")",""),"Nenhuma intervenção registrada hoje.")&amp;CHAR(10)&amp;CHAR(10)&amp;"4. Plano Terapêutico"&amp;CHAR(10)&amp;IF(AB224&lt;&gt;"",AB224,"Não definido.")</f>
      </c>
    </row>
    <row r="225" spans="3:29" x14ac:dyDescent="0.25">
      <c r="AC225">
        <f>"1. Evolução Clínica"&amp;CHAR(10)&amp;TEXTJOIN(" ",TRUE,"Paciente "&amp;F225&amp;", "&amp;IF(G225="","sem DVA","em uso de "&amp;G225)&amp;".",IF(H225&lt;&gt;"","Em "&amp;H225&amp;IF(AND(H225="VMI",I225&lt;&gt;"")," por "&amp;I225,"")&amp;IF(J225&lt;&gt;""," ("&amp;J225&amp;")","")&amp;IF(K225&lt;&gt;"", ", "&amp;K225,"")&amp;IF(L225&lt;&gt;"", ", sob analgosedação com "&amp;L225,"")&amp;".",""),IF(M225&lt;&gt;"","Dieta "&amp;M225&amp;IF(N225&lt;&gt;"", ", com "&amp;LOWER(N225),"")&amp;IF(O225&lt;&gt;"", " — "&amp;O225,"")&amp;".",""),IF(P225="Febre","Apresentou episódio febril nas últimas 24h"&amp;IF(Q225&lt;&gt;""," ("&amp;Q225&amp;")","")&amp;".",IF(P225="Afebril","Encontra-se afebril.","")),IF(R225&lt;&gt;"",IF(S225="Sim","Apresenta disfunção renal aguda ","Função renal preservada ")&amp;"("&amp;R225&amp;").",""),IF(T225&lt;&gt;"","Em uso do esquema antimicrobiano com "&amp;T225&amp;".",""),IF(U225&lt;&gt;"","Em uso de profilaxia: "&amp;U225&amp;".",""))&amp;CHAR(10)&amp;CHAR(10)&amp;"2. Farmacoterapia"&amp;CHAR(10)&amp;IF(V225&lt;&gt;"","Corticoide/DART: "&amp;V225,"Sem corticoide/DART registrado.")&amp;CHAR(10)&amp;CHAR(10)&amp;"3. Conduta Farmacêutica"&amp;CHAR(10)&amp;IF(X225&lt;&gt;"","["&amp;W225&amp;"] "&amp;X225&amp;IF(Y225&lt;&gt;"", " ("&amp;Y225&amp;")",""),"Nenhuma intervenção registrada hoje.")&amp;CHAR(10)&amp;CHAR(10)&amp;"4. Plano Terapêutico"&amp;CHAR(10)&amp;IF(AB225&lt;&gt;"",AB225,"Não definido.")</f>
      </c>
    </row>
    <row r="226" spans="3:29" x14ac:dyDescent="0.25">
      <c r="AC226">
        <f>"1. Evolução Clínica"&amp;CHAR(10)&amp;TEXTJOIN(" ",TRUE,"Paciente "&amp;F226&amp;", "&amp;IF(G226="","sem DVA","em uso de "&amp;G226)&amp;".",IF(H226&lt;&gt;"","Em "&amp;H226&amp;IF(AND(H226="VMI",I226&lt;&gt;"")," por "&amp;I226,"")&amp;IF(J226&lt;&gt;""," ("&amp;J226&amp;")","")&amp;IF(K226&lt;&gt;"", ", "&amp;K226,"")&amp;IF(L226&lt;&gt;"", ", sob analgosedação com "&amp;L226,"")&amp;".",""),IF(M226&lt;&gt;"","Dieta "&amp;M226&amp;IF(N226&lt;&gt;"", ", com "&amp;LOWER(N226),"")&amp;IF(O226&lt;&gt;"", " — "&amp;O226,"")&amp;".",""),IF(P226="Febre","Apresentou episódio febril nas últimas 24h"&amp;IF(Q226&lt;&gt;""," ("&amp;Q226&amp;")","")&amp;".",IF(P226="Afebril","Encontra-se afebril.","")),IF(R226&lt;&gt;"",IF(S226="Sim","Apresenta disfunção renal aguda ","Função renal preservada ")&amp;"("&amp;R226&amp;").",""),IF(T226&lt;&gt;"","Em uso do esquema antimicrobiano com "&amp;T226&amp;".",""),IF(U226&lt;&gt;"","Em uso de profilaxia: "&amp;U226&amp;".",""))&amp;CHAR(10)&amp;CHAR(10)&amp;"2. Farmacoterapia"&amp;CHAR(10)&amp;IF(V226&lt;&gt;"","Corticoide/DART: "&amp;V226,"Sem corticoide/DART registrado.")&amp;CHAR(10)&amp;CHAR(10)&amp;"3. Conduta Farmacêutica"&amp;CHAR(10)&amp;IF(X226&lt;&gt;"","["&amp;W226&amp;"] "&amp;X226&amp;IF(Y226&lt;&gt;"", " ("&amp;Y226&amp;")",""),"Nenhuma intervenção registrada hoje.")&amp;CHAR(10)&amp;CHAR(10)&amp;"4. Plano Terapêutico"&amp;CHAR(10)&amp;IF(AB226&lt;&gt;"",AB226,"Não definido.")</f>
      </c>
    </row>
    <row r="227" spans="3:29" x14ac:dyDescent="0.25">
      <c r="AC227">
        <f>"1. Evolução Clínica"&amp;CHAR(10)&amp;TEXTJOIN(" ",TRUE,"Paciente "&amp;F227&amp;", "&amp;IF(G227="","sem DVA","em uso de "&amp;G227)&amp;".",IF(H227&lt;&gt;"","Em "&amp;H227&amp;IF(AND(H227="VMI",I227&lt;&gt;"")," por "&amp;I227,"")&amp;IF(J227&lt;&gt;""," ("&amp;J227&amp;")","")&amp;IF(K227&lt;&gt;"", ", "&amp;K227,"")&amp;IF(L227&lt;&gt;"", ", sob analgosedação com "&amp;L227,"")&amp;".",""),IF(M227&lt;&gt;"","Dieta "&amp;M227&amp;IF(N227&lt;&gt;"", ", com "&amp;LOWER(N227),"")&amp;IF(O227&lt;&gt;"", " — "&amp;O227,"")&amp;".",""),IF(P227="Febre","Apresentou episódio febril nas últimas 24h"&amp;IF(Q227&lt;&gt;""," ("&amp;Q227&amp;")","")&amp;".",IF(P227="Afebril","Encontra-se afebril.","")),IF(R227&lt;&gt;"",IF(S227="Sim","Apresenta disfunção renal aguda ","Função renal preservada ")&amp;"("&amp;R227&amp;").",""),IF(T227&lt;&gt;"","Em uso do esquema antimicrobiano com "&amp;T227&amp;".",""),IF(U227&lt;&gt;"","Em uso de profilaxia: "&amp;U227&amp;".",""))&amp;CHAR(10)&amp;CHAR(10)&amp;"2. Farmacoterapia"&amp;CHAR(10)&amp;IF(V227&lt;&gt;"","Corticoide/DART: "&amp;V227,"Sem corticoide/DART registrado.")&amp;CHAR(10)&amp;CHAR(10)&amp;"3. Conduta Farmacêutica"&amp;CHAR(10)&amp;IF(X227&lt;&gt;"","["&amp;W227&amp;"] "&amp;X227&amp;IF(Y227&lt;&gt;"", " ("&amp;Y227&amp;")",""),"Nenhuma intervenção registrada hoje.")&amp;CHAR(10)&amp;CHAR(10)&amp;"4. Plano Terapêutico"&amp;CHAR(10)&amp;IF(AB227&lt;&gt;"",AB227,"Não definido.")</f>
      </c>
    </row>
    <row r="228" spans="3:29" x14ac:dyDescent="0.25">
      <c r="AC228">
        <f>"1. Evolução Clínica"&amp;CHAR(10)&amp;TEXTJOIN(" ",TRUE,"Paciente "&amp;F228&amp;", "&amp;IF(G228="","sem DVA","em uso de "&amp;G228)&amp;".",IF(H228&lt;&gt;"","Em "&amp;H228&amp;IF(AND(H228="VMI",I228&lt;&gt;"")," por "&amp;I228,"")&amp;IF(J228&lt;&gt;""," ("&amp;J228&amp;")","")&amp;IF(K228&lt;&gt;"", ", "&amp;K228,"")&amp;IF(L228&lt;&gt;"", ", sob analgosedação com "&amp;L228,"")&amp;".",""),IF(M228&lt;&gt;"","Dieta "&amp;M228&amp;IF(N228&lt;&gt;"", ", com "&amp;LOWER(N228),"")&amp;IF(O228&lt;&gt;"", " — "&amp;O228,"")&amp;".",""),IF(P228="Febre","Apresentou episódio febril nas últimas 24h"&amp;IF(Q228&lt;&gt;""," ("&amp;Q228&amp;")","")&amp;".",IF(P228="Afebril","Encontra-se afebril.","")),IF(R228&lt;&gt;"",IF(S228="Sim","Apresenta disfunção renal aguda ","Função renal preservada ")&amp;"("&amp;R228&amp;").",""),IF(T228&lt;&gt;"","Em uso do esquema antimicrobiano com "&amp;T228&amp;".",""),IF(U228&lt;&gt;"","Em uso de profilaxia: "&amp;U228&amp;".",""))&amp;CHAR(10)&amp;CHAR(10)&amp;"2. Farmacoterapia"&amp;CHAR(10)&amp;IF(V228&lt;&gt;"","Corticoide/DART: "&amp;V228,"Sem corticoide/DART registrado.")&amp;CHAR(10)&amp;CHAR(10)&amp;"3. Conduta Farmacêutica"&amp;CHAR(10)&amp;IF(X228&lt;&gt;"","["&amp;W228&amp;"] "&amp;X228&amp;IF(Y228&lt;&gt;"", " ("&amp;Y228&amp;")",""),"Nenhuma intervenção registrada hoje.")&amp;CHAR(10)&amp;CHAR(10)&amp;"4. Plano Terapêutico"&amp;CHAR(10)&amp;IF(AB228&lt;&gt;"",AB228,"Não definido.")</f>
      </c>
    </row>
    <row r="229" spans="3:29" x14ac:dyDescent="0.25">
      <c r="AC229">
        <f>"1. Evolução Clínica"&amp;CHAR(10)&amp;TEXTJOIN(" ",TRUE,"Paciente "&amp;F229&amp;", "&amp;IF(G229="","sem DVA","em uso de "&amp;G229)&amp;".",IF(H229&lt;&gt;"","Em "&amp;H229&amp;IF(AND(H229="VMI",I229&lt;&gt;"")," por "&amp;I229,"")&amp;IF(J229&lt;&gt;""," ("&amp;J229&amp;")","")&amp;IF(K229&lt;&gt;"", ", "&amp;K229,"")&amp;IF(L229&lt;&gt;"", ", sob analgosedação com "&amp;L229,"")&amp;".",""),IF(M229&lt;&gt;"","Dieta "&amp;M229&amp;IF(N229&lt;&gt;"", ", com "&amp;LOWER(N229),"")&amp;IF(O229&lt;&gt;"", " — "&amp;O229,"")&amp;".",""),IF(P229="Febre","Apresentou episódio febril nas últimas 24h"&amp;IF(Q229&lt;&gt;""," ("&amp;Q229&amp;")","")&amp;".",IF(P229="Afebril","Encontra-se afebril.","")),IF(R229&lt;&gt;"",IF(S229="Sim","Apresenta disfunção renal aguda ","Função renal preservada ")&amp;"("&amp;R229&amp;").",""),IF(T229&lt;&gt;"","Em uso do esquema antimicrobiano com "&amp;T229&amp;".",""),IF(U229&lt;&gt;"","Em uso de profilaxia: "&amp;U229&amp;".",""))&amp;CHAR(10)&amp;CHAR(10)&amp;"2. Farmacoterapia"&amp;CHAR(10)&amp;IF(V229&lt;&gt;"","Corticoide/DART: "&amp;V229,"Sem corticoide/DART registrado.")&amp;CHAR(10)&amp;CHAR(10)&amp;"3. Conduta Farmacêutica"&amp;CHAR(10)&amp;IF(X229&lt;&gt;"","["&amp;W229&amp;"] "&amp;X229&amp;IF(Y229&lt;&gt;"", " ("&amp;Y229&amp;")",""),"Nenhuma intervenção registrada hoje.")&amp;CHAR(10)&amp;CHAR(10)&amp;"4. Plano Terapêutico"&amp;CHAR(10)&amp;IF(AB229&lt;&gt;"",AB229,"Não definido.")</f>
      </c>
    </row>
    <row r="230" spans="3:29" x14ac:dyDescent="0.25">
      <c r="AC230">
        <f>"1. Evolução Clínica"&amp;CHAR(10)&amp;TEXTJOIN(" ",TRUE,"Paciente "&amp;F230&amp;", "&amp;IF(G230="","sem DVA","em uso de "&amp;G230)&amp;".",IF(H230&lt;&gt;"","Em "&amp;H230&amp;IF(AND(H230="VMI",I230&lt;&gt;"")," por "&amp;I230,"")&amp;IF(J230&lt;&gt;""," ("&amp;J230&amp;")","")&amp;IF(K230&lt;&gt;"", ", "&amp;K230,"")&amp;IF(L230&lt;&gt;"", ", sob analgosedação com "&amp;L230,"")&amp;".",""),IF(M230&lt;&gt;"","Dieta "&amp;M230&amp;IF(N230&lt;&gt;"", ", com "&amp;LOWER(N230),"")&amp;IF(O230&lt;&gt;"", " — "&amp;O230,"")&amp;".",""),IF(P230="Febre","Apresentou episódio febril nas últimas 24h"&amp;IF(Q230&lt;&gt;""," ("&amp;Q230&amp;")","")&amp;".",IF(P230="Afebril","Encontra-se afebril.","")),IF(R230&lt;&gt;"",IF(S230="Sim","Apresenta disfunção renal aguda ","Função renal preservada ")&amp;"("&amp;R230&amp;").",""),IF(T230&lt;&gt;"","Em uso do esquema antimicrobiano com "&amp;T230&amp;".",""),IF(U230&lt;&gt;"","Em uso de profilaxia: "&amp;U230&amp;".",""))&amp;CHAR(10)&amp;CHAR(10)&amp;"2. Farmacoterapia"&amp;CHAR(10)&amp;IF(V230&lt;&gt;"","Corticoide/DART: "&amp;V230,"Sem corticoide/DART registrado.")&amp;CHAR(10)&amp;CHAR(10)&amp;"3. Conduta Farmacêutica"&amp;CHAR(10)&amp;IF(X230&lt;&gt;"","["&amp;W230&amp;"] "&amp;X230&amp;IF(Y230&lt;&gt;"", " ("&amp;Y230&amp;")",""),"Nenhuma intervenção registrada hoje.")&amp;CHAR(10)&amp;CHAR(10)&amp;"4. Plano Terapêutico"&amp;CHAR(10)&amp;IF(AB230&lt;&gt;"",AB230,"Não definido.")</f>
      </c>
    </row>
    <row r="231" spans="3:29" x14ac:dyDescent="0.25">
      <c r="AC231">
        <f>"1. Evolução Clínica"&amp;CHAR(10)&amp;TEXTJOIN(" ",TRUE,"Paciente "&amp;F231&amp;", "&amp;IF(G231="","sem DVA","em uso de "&amp;G231)&amp;".",IF(H231&lt;&gt;"","Em "&amp;H231&amp;IF(AND(H231="VMI",I231&lt;&gt;"")," por "&amp;I231,"")&amp;IF(J231&lt;&gt;""," ("&amp;J231&amp;")","")&amp;IF(K231&lt;&gt;"", ", "&amp;K231,"")&amp;IF(L231&lt;&gt;"", ", sob analgosedação com "&amp;L231,"")&amp;".",""),IF(M231&lt;&gt;"","Dieta "&amp;M231&amp;IF(N231&lt;&gt;"", ", com "&amp;LOWER(N231),"")&amp;IF(O231&lt;&gt;"", " — "&amp;O231,"")&amp;".",""),IF(P231="Febre","Apresentou episódio febril nas últimas 24h"&amp;IF(Q231&lt;&gt;""," ("&amp;Q231&amp;")","")&amp;".",IF(P231="Afebril","Encontra-se afebril.","")),IF(R231&lt;&gt;"",IF(S231="Sim","Apresenta disfunção renal aguda ","Função renal preservada ")&amp;"("&amp;R231&amp;").",""),IF(T231&lt;&gt;"","Em uso do esquema antimicrobiano com "&amp;T231&amp;".",""),IF(U231&lt;&gt;"","Em uso de profilaxia: "&amp;U231&amp;".",""))&amp;CHAR(10)&amp;CHAR(10)&amp;"2. Farmacoterapia"&amp;CHAR(10)&amp;IF(V231&lt;&gt;"","Corticoide/DART: "&amp;V231,"Sem corticoide/DART registrado.")&amp;CHAR(10)&amp;CHAR(10)&amp;"3. Conduta Farmacêutica"&amp;CHAR(10)&amp;IF(X231&lt;&gt;"","["&amp;W231&amp;"] "&amp;X231&amp;IF(Y231&lt;&gt;"", " ("&amp;Y231&amp;")",""),"Nenhuma intervenção registrada hoje.")&amp;CHAR(10)&amp;CHAR(10)&amp;"4. Plano Terapêutico"&amp;CHAR(10)&amp;IF(AB231&lt;&gt;"",AB231,"Não definido.")</f>
      </c>
    </row>
    <row r="232" spans="3:29" x14ac:dyDescent="0.25">
      <c r="AC232">
        <f>"1. Evolução Clínica"&amp;CHAR(10)&amp;TEXTJOIN(" ",TRUE,"Paciente "&amp;F232&amp;", "&amp;IF(G232="","sem DVA","em uso de "&amp;G232)&amp;".",IF(H232&lt;&gt;"","Em "&amp;H232&amp;IF(AND(H232="VMI",I232&lt;&gt;"")," por "&amp;I232,"")&amp;IF(J232&lt;&gt;""," ("&amp;J232&amp;")","")&amp;IF(K232&lt;&gt;"", ", "&amp;K232,"")&amp;IF(L232&lt;&gt;"", ", sob analgosedação com "&amp;L232,"")&amp;".",""),IF(M232&lt;&gt;"","Dieta "&amp;M232&amp;IF(N232&lt;&gt;"", ", com "&amp;LOWER(N232),"")&amp;IF(O232&lt;&gt;"", " — "&amp;O232,"")&amp;".",""),IF(P232="Febre","Apresentou episódio febril nas últimas 24h"&amp;IF(Q232&lt;&gt;""," ("&amp;Q232&amp;")","")&amp;".",IF(P232="Afebril","Encontra-se afebril.","")),IF(R232&lt;&gt;"",IF(S232="Sim","Apresenta disfunção renal aguda ","Função renal preservada ")&amp;"("&amp;R232&amp;").",""),IF(T232&lt;&gt;"","Em uso do esquema antimicrobiano com "&amp;T232&amp;".",""),IF(U232&lt;&gt;"","Em uso de profilaxia: "&amp;U232&amp;".",""))&amp;CHAR(10)&amp;CHAR(10)&amp;"2. Farmacoterapia"&amp;CHAR(10)&amp;IF(V232&lt;&gt;"","Corticoide/DART: "&amp;V232,"Sem corticoide/DART registrado.")&amp;CHAR(10)&amp;CHAR(10)&amp;"3. Conduta Farmacêutica"&amp;CHAR(10)&amp;IF(X232&lt;&gt;"","["&amp;W232&amp;"] "&amp;X232&amp;IF(Y232&lt;&gt;"", " ("&amp;Y232&amp;")",""),"Nenhuma intervenção registrada hoje.")&amp;CHAR(10)&amp;CHAR(10)&amp;"4. Plano Terapêutico"&amp;CHAR(10)&amp;IF(AB232&lt;&gt;"",AB232,"Não definido.")</f>
      </c>
    </row>
    <row r="233" spans="3:29" x14ac:dyDescent="0.25">
      <c r="AC233">
        <f>"1. Evolução Clínica"&amp;CHAR(10)&amp;TEXTJOIN(" ",TRUE,"Paciente "&amp;F233&amp;", "&amp;IF(G233="","sem DVA","em uso de "&amp;G233)&amp;".",IF(H233&lt;&gt;"","Em "&amp;H233&amp;IF(AND(H233="VMI",I233&lt;&gt;"")," por "&amp;I233,"")&amp;IF(J233&lt;&gt;""," ("&amp;J233&amp;")","")&amp;IF(K233&lt;&gt;"", ", "&amp;K233,"")&amp;IF(L233&lt;&gt;"", ", sob analgosedação com "&amp;L233,"")&amp;".",""),IF(M233&lt;&gt;"","Dieta "&amp;M233&amp;IF(N233&lt;&gt;"", ", com "&amp;LOWER(N233),"")&amp;IF(O233&lt;&gt;"", " — "&amp;O233,"")&amp;".",""),IF(P233="Febre","Apresentou episódio febril nas últimas 24h"&amp;IF(Q233&lt;&gt;""," ("&amp;Q233&amp;")","")&amp;".",IF(P233="Afebril","Encontra-se afebril.","")),IF(R233&lt;&gt;"",IF(S233="Sim","Apresenta disfunção renal aguda ","Função renal preservada ")&amp;"("&amp;R233&amp;").",""),IF(T233&lt;&gt;"","Em uso do esquema antimicrobiano com "&amp;T233&amp;".",""),IF(U233&lt;&gt;"","Em uso de profilaxia: "&amp;U233&amp;".",""))&amp;CHAR(10)&amp;CHAR(10)&amp;"2. Farmacoterapia"&amp;CHAR(10)&amp;IF(V233&lt;&gt;"","Corticoide/DART: "&amp;V233,"Sem corticoide/DART registrado.")&amp;CHAR(10)&amp;CHAR(10)&amp;"3. Conduta Farmacêutica"&amp;CHAR(10)&amp;IF(X233&lt;&gt;"","["&amp;W233&amp;"] "&amp;X233&amp;IF(Y233&lt;&gt;"", " ("&amp;Y233&amp;")",""),"Nenhuma intervenção registrada hoje.")&amp;CHAR(10)&amp;CHAR(10)&amp;"4. Plano Terapêutico"&amp;CHAR(10)&amp;IF(AB233&lt;&gt;"",AB233,"Não definido.")</f>
      </c>
    </row>
    <row r="234" spans="3:29" x14ac:dyDescent="0.25">
      <c r="AC234">
        <f>"1. Evolução Clínica"&amp;CHAR(10)&amp;TEXTJOIN(" ",TRUE,"Paciente "&amp;F234&amp;", "&amp;IF(G234="","sem DVA","em uso de "&amp;G234)&amp;".",IF(H234&lt;&gt;"","Em "&amp;H234&amp;IF(AND(H234="VMI",I234&lt;&gt;"")," por "&amp;I234,"")&amp;IF(J234&lt;&gt;""," ("&amp;J234&amp;")","")&amp;IF(K234&lt;&gt;"", ", "&amp;K234,"")&amp;IF(L234&lt;&gt;"", ", sob analgosedação com "&amp;L234,"")&amp;".",""),IF(M234&lt;&gt;"","Dieta "&amp;M234&amp;IF(N234&lt;&gt;"", ", com "&amp;LOWER(N234),"")&amp;IF(O234&lt;&gt;"", " — "&amp;O234,"")&amp;".",""),IF(P234="Febre","Apresentou episódio febril nas últimas 24h"&amp;IF(Q234&lt;&gt;""," ("&amp;Q234&amp;")","")&amp;".",IF(P234="Afebril","Encontra-se afebril.","")),IF(R234&lt;&gt;"",IF(S234="Sim","Apresenta disfunção renal aguda ","Função renal preservada ")&amp;"("&amp;R234&amp;").",""),IF(T234&lt;&gt;"","Em uso do esquema antimicrobiano com "&amp;T234&amp;".",""),IF(U234&lt;&gt;"","Em uso de profilaxia: "&amp;U234&amp;".",""))&amp;CHAR(10)&amp;CHAR(10)&amp;"2. Farmacoterapia"&amp;CHAR(10)&amp;IF(V234&lt;&gt;"","Corticoide/DART: "&amp;V234,"Sem corticoide/DART registrado.")&amp;CHAR(10)&amp;CHAR(10)&amp;"3. Conduta Farmacêutica"&amp;CHAR(10)&amp;IF(X234&lt;&gt;"","["&amp;W234&amp;"] "&amp;X234&amp;IF(Y234&lt;&gt;"", " ("&amp;Y234&amp;")",""),"Nenhuma intervenção registrada hoje.")&amp;CHAR(10)&amp;CHAR(10)&amp;"4. Plano Terapêutico"&amp;CHAR(10)&amp;IF(AB234&lt;&gt;"",AB234,"Não definido.")</f>
      </c>
    </row>
    <row r="235" spans="3:29" x14ac:dyDescent="0.25">
      <c r="AC235">
        <f>"1. Evolução Clínica"&amp;CHAR(10)&amp;TEXTJOIN(" ",TRUE,"Paciente "&amp;F235&amp;", "&amp;IF(G235="","sem DVA","em uso de "&amp;G235)&amp;".",IF(H235&lt;&gt;"","Em "&amp;H235&amp;IF(AND(H235="VMI",I235&lt;&gt;"")," por "&amp;I235,"")&amp;IF(J235&lt;&gt;""," ("&amp;J235&amp;")","")&amp;IF(K235&lt;&gt;"", ", "&amp;K235,"")&amp;IF(L235&lt;&gt;"", ", sob analgosedação com "&amp;L235,"")&amp;".",""),IF(M235&lt;&gt;"","Dieta "&amp;M235&amp;IF(N235&lt;&gt;"", ", com "&amp;LOWER(N235),"")&amp;IF(O235&lt;&gt;"", " — "&amp;O235,"")&amp;".",""),IF(P235="Febre","Apresentou episódio febril nas últimas 24h"&amp;IF(Q235&lt;&gt;""," ("&amp;Q235&amp;")","")&amp;".",IF(P235="Afebril","Encontra-se afebril.","")),IF(R235&lt;&gt;"",IF(S235="Sim","Apresenta disfunção renal aguda ","Função renal preservada ")&amp;"("&amp;R235&amp;").",""),IF(T235&lt;&gt;"","Em uso do esquema antimicrobiano com "&amp;T235&amp;".",""),IF(U235&lt;&gt;"","Em uso de profilaxia: "&amp;U235&amp;".",""))&amp;CHAR(10)&amp;CHAR(10)&amp;"2. Farmacoterapia"&amp;CHAR(10)&amp;IF(V235&lt;&gt;"","Corticoide/DART: "&amp;V235,"Sem corticoide/DART registrado.")&amp;CHAR(10)&amp;CHAR(10)&amp;"3. Conduta Farmacêutica"&amp;CHAR(10)&amp;IF(X235&lt;&gt;"","["&amp;W235&amp;"] "&amp;X235&amp;IF(Y235&lt;&gt;"", " ("&amp;Y235&amp;")",""),"Nenhuma intervenção registrada hoje.")&amp;CHAR(10)&amp;CHAR(10)&amp;"4. Plano Terapêutico"&amp;CHAR(10)&amp;IF(AB235&lt;&gt;"",AB235,"Não definido.")</f>
      </c>
    </row>
    <row r="236" spans="3:29" x14ac:dyDescent="0.25">
      <c r="AC236">
        <f>"1. Evolução Clínica"&amp;CHAR(10)&amp;TEXTJOIN(" ",TRUE,"Paciente "&amp;F236&amp;", "&amp;IF(G236="","sem DVA","em uso de "&amp;G236)&amp;".",IF(H236&lt;&gt;"","Em "&amp;H236&amp;IF(AND(H236="VMI",I236&lt;&gt;"")," por "&amp;I236,"")&amp;IF(J236&lt;&gt;""," ("&amp;J236&amp;")","")&amp;IF(K236&lt;&gt;"", ", "&amp;K236,"")&amp;IF(L236&lt;&gt;"", ", sob analgosedação com "&amp;L236,"")&amp;".",""),IF(M236&lt;&gt;"","Dieta "&amp;M236&amp;IF(N236&lt;&gt;"", ", com "&amp;LOWER(N236),"")&amp;IF(O236&lt;&gt;"", " — "&amp;O236,"")&amp;".",""),IF(P236="Febre","Apresentou episódio febril nas últimas 24h"&amp;IF(Q236&lt;&gt;""," ("&amp;Q236&amp;")","")&amp;".",IF(P236="Afebril","Encontra-se afebril.","")),IF(R236&lt;&gt;"",IF(S236="Sim","Apresenta disfunção renal aguda ","Função renal preservada ")&amp;"("&amp;R236&amp;").",""),IF(T236&lt;&gt;"","Em uso do esquema antimicrobiano com "&amp;T236&amp;".",""),IF(U236&lt;&gt;"","Em uso de profilaxia: "&amp;U236&amp;".",""))&amp;CHAR(10)&amp;CHAR(10)&amp;"2. Farmacoterapia"&amp;CHAR(10)&amp;IF(V236&lt;&gt;"","Corticoide/DART: "&amp;V236,"Sem corticoide/DART registrado.")&amp;CHAR(10)&amp;CHAR(10)&amp;"3. Conduta Farmacêutica"&amp;CHAR(10)&amp;IF(X236&lt;&gt;"","["&amp;W236&amp;"] "&amp;X236&amp;IF(Y236&lt;&gt;"", " ("&amp;Y236&amp;")",""),"Nenhuma intervenção registrada hoje.")&amp;CHAR(10)&amp;CHAR(10)&amp;"4. Plano Terapêutico"&amp;CHAR(10)&amp;IF(AB236&lt;&gt;"",AB236,"Não definido.")</f>
      </c>
    </row>
    <row r="237" spans="3:29" x14ac:dyDescent="0.25">
      <c r="AC237">
        <f>"1. Evolução Clínica"&amp;CHAR(10)&amp;TEXTJOIN(" ",TRUE,"Paciente "&amp;F237&amp;", "&amp;IF(G237="","sem DVA","em uso de "&amp;G237)&amp;".",IF(H237&lt;&gt;"","Em "&amp;H237&amp;IF(AND(H237="VMI",I237&lt;&gt;"")," por "&amp;I237,"")&amp;IF(J237&lt;&gt;""," ("&amp;J237&amp;")","")&amp;IF(K237&lt;&gt;"", ", "&amp;K237,"")&amp;IF(L237&lt;&gt;"", ", sob analgosedação com "&amp;L237,"")&amp;".",""),IF(M237&lt;&gt;"","Dieta "&amp;M237&amp;IF(N237&lt;&gt;"", ", com "&amp;LOWER(N237),"")&amp;IF(O237&lt;&gt;"", " — "&amp;O237,"")&amp;".",""),IF(P237="Febre","Apresentou episódio febril nas últimas 24h"&amp;IF(Q237&lt;&gt;""," ("&amp;Q237&amp;")","")&amp;".",IF(P237="Afebril","Encontra-se afebril.","")),IF(R237&lt;&gt;"",IF(S237="Sim","Apresenta disfunção renal aguda ","Função renal preservada ")&amp;"("&amp;R237&amp;").",""),IF(T237&lt;&gt;"","Em uso do esquema antimicrobiano com "&amp;T237&amp;".",""),IF(U237&lt;&gt;"","Em uso de profilaxia: "&amp;U237&amp;".",""))&amp;CHAR(10)&amp;CHAR(10)&amp;"2. Farmacoterapia"&amp;CHAR(10)&amp;IF(V237&lt;&gt;"","Corticoide/DART: "&amp;V237,"Sem corticoide/DART registrado.")&amp;CHAR(10)&amp;CHAR(10)&amp;"3. Conduta Farmacêutica"&amp;CHAR(10)&amp;IF(X237&lt;&gt;"","["&amp;W237&amp;"] "&amp;X237&amp;IF(Y237&lt;&gt;"", " ("&amp;Y237&amp;")",""),"Nenhuma intervenção registrada hoje.")&amp;CHAR(10)&amp;CHAR(10)&amp;"4. Plano Terapêutico"&amp;CHAR(10)&amp;IF(AB237&lt;&gt;"",AB237,"Não definido.")</f>
      </c>
    </row>
    <row r="238" spans="3:29" x14ac:dyDescent="0.25">
      <c r="AC238">
        <f>"1. Evolução Clínica"&amp;CHAR(10)&amp;TEXTJOIN(" ",TRUE,"Paciente "&amp;F238&amp;", "&amp;IF(G238="","sem DVA","em uso de "&amp;G238)&amp;".",IF(H238&lt;&gt;"","Em "&amp;H238&amp;IF(AND(H238="VMI",I238&lt;&gt;"")," por "&amp;I238,"")&amp;IF(J238&lt;&gt;""," ("&amp;J238&amp;")","")&amp;IF(K238&lt;&gt;"", ", "&amp;K238,"")&amp;IF(L238&lt;&gt;"", ", sob analgosedação com "&amp;L238,"")&amp;".",""),IF(M238&lt;&gt;"","Dieta "&amp;M238&amp;IF(N238&lt;&gt;"", ", com "&amp;LOWER(N238),"")&amp;IF(O238&lt;&gt;"", " — "&amp;O238,"")&amp;".",""),IF(P238="Febre","Apresentou episódio febril nas últimas 24h"&amp;IF(Q238&lt;&gt;""," ("&amp;Q238&amp;")","")&amp;".",IF(P238="Afebril","Encontra-se afebril.","")),IF(R238&lt;&gt;"",IF(S238="Sim","Apresenta disfunção renal aguda ","Função renal preservada ")&amp;"("&amp;R238&amp;").",""),IF(T238&lt;&gt;"","Em uso do esquema antimicrobiano com "&amp;T238&amp;".",""),IF(U238&lt;&gt;"","Em uso de profilaxia: "&amp;U238&amp;".",""))&amp;CHAR(10)&amp;CHAR(10)&amp;"2. Farmacoterapia"&amp;CHAR(10)&amp;IF(V238&lt;&gt;"","Corticoide/DART: "&amp;V238,"Sem corticoide/DART registrado.")&amp;CHAR(10)&amp;CHAR(10)&amp;"3. Conduta Farmacêutica"&amp;CHAR(10)&amp;IF(X238&lt;&gt;"","["&amp;W238&amp;"] "&amp;X238&amp;IF(Y238&lt;&gt;"", " ("&amp;Y238&amp;")",""),"Nenhuma intervenção registrada hoje.")&amp;CHAR(10)&amp;CHAR(10)&amp;"4. Plano Terapêutico"&amp;CHAR(10)&amp;IF(AB238&lt;&gt;"",AB238,"Não definido.")</f>
      </c>
    </row>
    <row r="239" spans="3:29" x14ac:dyDescent="0.25">
      <c r="AC239">
        <f>"1. Evolução Clínica"&amp;CHAR(10)&amp;TEXTJOIN(" ",TRUE,"Paciente "&amp;F239&amp;", "&amp;IF(G239="","sem DVA","em uso de "&amp;G239)&amp;".",IF(H239&lt;&gt;"","Em "&amp;H239&amp;IF(AND(H239="VMI",I239&lt;&gt;"")," por "&amp;I239,"")&amp;IF(J239&lt;&gt;""," ("&amp;J239&amp;")","")&amp;IF(K239&lt;&gt;"", ", "&amp;K239,"")&amp;IF(L239&lt;&gt;"", ", sob analgosedação com "&amp;L239,"")&amp;".",""),IF(M239&lt;&gt;"","Dieta "&amp;M239&amp;IF(N239&lt;&gt;"", ", com "&amp;LOWER(N239),"")&amp;IF(O239&lt;&gt;"", " — "&amp;O239,"")&amp;".",""),IF(P239="Febre","Apresentou episódio febril nas últimas 24h"&amp;IF(Q239&lt;&gt;""," ("&amp;Q239&amp;")","")&amp;".",IF(P239="Afebril","Encontra-se afebril.","")),IF(R239&lt;&gt;"",IF(S239="Sim","Apresenta disfunção renal aguda ","Função renal preservada ")&amp;"("&amp;R239&amp;").",""),IF(T239&lt;&gt;"","Em uso do esquema antimicrobiano com "&amp;T239&amp;".",""),IF(U239&lt;&gt;"","Em uso de profilaxia: "&amp;U239&amp;".",""))&amp;CHAR(10)&amp;CHAR(10)&amp;"2. Farmacoterapia"&amp;CHAR(10)&amp;IF(V239&lt;&gt;"","Corticoide/DART: "&amp;V239,"Sem corticoide/DART registrado.")&amp;CHAR(10)&amp;CHAR(10)&amp;"3. Conduta Farmacêutica"&amp;CHAR(10)&amp;IF(X239&lt;&gt;"","["&amp;W239&amp;"] "&amp;X239&amp;IF(Y239&lt;&gt;"", " ("&amp;Y239&amp;")",""),"Nenhuma intervenção registrada hoje.")&amp;CHAR(10)&amp;CHAR(10)&amp;"4. Plano Terapêutico"&amp;CHAR(10)&amp;IF(AB239&lt;&gt;"",AB239,"Não definido.")</f>
      </c>
    </row>
    <row r="240" spans="3:29" x14ac:dyDescent="0.25">
      <c r="AC240">
        <f>"1. Evolução Clínica"&amp;CHAR(10)&amp;TEXTJOIN(" ",TRUE,"Paciente "&amp;F240&amp;", "&amp;IF(G240="","sem DVA","em uso de "&amp;G240)&amp;".",IF(H240&lt;&gt;"","Em "&amp;H240&amp;IF(AND(H240="VMI",I240&lt;&gt;"")," por "&amp;I240,"")&amp;IF(J240&lt;&gt;""," ("&amp;J240&amp;")","")&amp;IF(K240&lt;&gt;"", ", "&amp;K240,"")&amp;IF(L240&lt;&gt;"", ", sob analgosedação com "&amp;L240,"")&amp;".",""),IF(M240&lt;&gt;"","Dieta "&amp;M240&amp;IF(N240&lt;&gt;"", ", com "&amp;LOWER(N240),"")&amp;IF(O240&lt;&gt;"", " — "&amp;O240,"")&amp;".",""),IF(P240="Febre","Apresentou episódio febril nas últimas 24h"&amp;IF(Q240&lt;&gt;""," ("&amp;Q240&amp;")","")&amp;".",IF(P240="Afebril","Encontra-se afebril.","")),IF(R240&lt;&gt;"",IF(S240="Sim","Apresenta disfunção renal aguda ","Função renal preservada ")&amp;"("&amp;R240&amp;").",""),IF(T240&lt;&gt;"","Em uso do esquema antimicrobiano com "&amp;T240&amp;".",""),IF(U240&lt;&gt;"","Em uso de profilaxia: "&amp;U240&amp;".",""))&amp;CHAR(10)&amp;CHAR(10)&amp;"2. Farmacoterapia"&amp;CHAR(10)&amp;IF(V240&lt;&gt;"","Corticoide/DART: "&amp;V240,"Sem corticoide/DART registrado.")&amp;CHAR(10)&amp;CHAR(10)&amp;"3. Conduta Farmacêutica"&amp;CHAR(10)&amp;IF(X240&lt;&gt;"","["&amp;W240&amp;"] "&amp;X240&amp;IF(Y240&lt;&gt;"", " ("&amp;Y240&amp;")",""),"Nenhuma intervenção registrada hoje.")&amp;CHAR(10)&amp;CHAR(10)&amp;"4. Plano Terapêutico"&amp;CHAR(10)&amp;IF(AB240&lt;&gt;"",AB240,"Não definido.")</f>
      </c>
    </row>
    <row r="241" spans="3:29" x14ac:dyDescent="0.25">
      <c r="AC241">
        <f>"1. Evolução Clínica"&amp;CHAR(10)&amp;TEXTJOIN(" ",TRUE,"Paciente "&amp;F241&amp;", "&amp;IF(G241="","sem DVA","em uso de "&amp;G241)&amp;".",IF(H241&lt;&gt;"","Em "&amp;H241&amp;IF(AND(H241="VMI",I241&lt;&gt;"")," por "&amp;I241,"")&amp;IF(J241&lt;&gt;""," ("&amp;J241&amp;")","")&amp;IF(K241&lt;&gt;"", ", "&amp;K241,"")&amp;IF(L241&lt;&gt;"", ", sob analgosedação com "&amp;L241,"")&amp;".",""),IF(M241&lt;&gt;"","Dieta "&amp;M241&amp;IF(N241&lt;&gt;"", ", com "&amp;LOWER(N241),"")&amp;IF(O241&lt;&gt;"", " — "&amp;O241,"")&amp;".",""),IF(P241="Febre","Apresentou episódio febril nas últimas 24h"&amp;IF(Q241&lt;&gt;""," ("&amp;Q241&amp;")","")&amp;".",IF(P241="Afebril","Encontra-se afebril.","")),IF(R241&lt;&gt;"",IF(S241="Sim","Apresenta disfunção renal aguda ","Função renal preservada ")&amp;"("&amp;R241&amp;").",""),IF(T241&lt;&gt;"","Em uso do esquema antimicrobiano com "&amp;T241&amp;".",""),IF(U241&lt;&gt;"","Em uso de profilaxia: "&amp;U241&amp;".",""))&amp;CHAR(10)&amp;CHAR(10)&amp;"2. Farmacoterapia"&amp;CHAR(10)&amp;IF(V241&lt;&gt;"","Corticoide/DART: "&amp;V241,"Sem corticoide/DART registrado.")&amp;CHAR(10)&amp;CHAR(10)&amp;"3. Conduta Farmacêutica"&amp;CHAR(10)&amp;IF(X241&lt;&gt;"","["&amp;W241&amp;"] "&amp;X241&amp;IF(Y241&lt;&gt;"", " ("&amp;Y241&amp;")",""),"Nenhuma intervenção registrada hoje.")&amp;CHAR(10)&amp;CHAR(10)&amp;"4. Plano Terapêutico"&amp;CHAR(10)&amp;IF(AB241&lt;&gt;"",AB241,"Não definido.")</f>
      </c>
    </row>
    <row r="242" spans="3:29" x14ac:dyDescent="0.25">
      <c r="AC242">
        <f>"1. Evolução Clínica"&amp;CHAR(10)&amp;TEXTJOIN(" ",TRUE,"Paciente "&amp;F242&amp;", "&amp;IF(G242="","sem DVA","em uso de "&amp;G242)&amp;".",IF(H242&lt;&gt;"","Em "&amp;H242&amp;IF(AND(H242="VMI",I242&lt;&gt;"")," por "&amp;I242,"")&amp;IF(J242&lt;&gt;""," ("&amp;J242&amp;")","")&amp;IF(K242&lt;&gt;"", ", "&amp;K242,"")&amp;IF(L242&lt;&gt;"", ", sob analgosedação com "&amp;L242,"")&amp;".",""),IF(M242&lt;&gt;"","Dieta "&amp;M242&amp;IF(N242&lt;&gt;"", ", com "&amp;LOWER(N242),"")&amp;IF(O242&lt;&gt;"", " — "&amp;O242,"")&amp;".",""),IF(P242="Febre","Apresentou episódio febril nas últimas 24h"&amp;IF(Q242&lt;&gt;""," ("&amp;Q242&amp;")","")&amp;".",IF(P242="Afebril","Encontra-se afebril.","")),IF(R242&lt;&gt;"",IF(S242="Sim","Apresenta disfunção renal aguda ","Função renal preservada ")&amp;"("&amp;R242&amp;").",""),IF(T242&lt;&gt;"","Em uso do esquema antimicrobiano com "&amp;T242&amp;".",""),IF(U242&lt;&gt;"","Em uso de profilaxia: "&amp;U242&amp;".",""))&amp;CHAR(10)&amp;CHAR(10)&amp;"2. Farmacoterapia"&amp;CHAR(10)&amp;IF(V242&lt;&gt;"","Corticoide/DART: "&amp;V242,"Sem corticoide/DART registrado.")&amp;CHAR(10)&amp;CHAR(10)&amp;"3. Conduta Farmacêutica"&amp;CHAR(10)&amp;IF(X242&lt;&gt;"","["&amp;W242&amp;"] "&amp;X242&amp;IF(Y242&lt;&gt;"", " ("&amp;Y242&amp;")",""),"Nenhuma intervenção registrada hoje.")&amp;CHAR(10)&amp;CHAR(10)&amp;"4. Plano Terapêutico"&amp;CHAR(10)&amp;IF(AB242&lt;&gt;"",AB242,"Não definido.")</f>
      </c>
    </row>
    <row r="243" spans="3:29" x14ac:dyDescent="0.25">
      <c r="AC243">
        <f>"1. Evolução Clínica"&amp;CHAR(10)&amp;TEXTJOIN(" ",TRUE,"Paciente "&amp;F243&amp;", "&amp;IF(G243="","sem DVA","em uso de "&amp;G243)&amp;".",IF(H243&lt;&gt;"","Em "&amp;H243&amp;IF(AND(H243="VMI",I243&lt;&gt;"")," por "&amp;I243,"")&amp;IF(J243&lt;&gt;""," ("&amp;J243&amp;")","")&amp;IF(K243&lt;&gt;"", ", "&amp;K243,"")&amp;IF(L243&lt;&gt;"", ", sob analgosedação com "&amp;L243,"")&amp;".",""),IF(M243&lt;&gt;"","Dieta "&amp;M243&amp;IF(N243&lt;&gt;"", ", com "&amp;LOWER(N243),"")&amp;IF(O243&lt;&gt;"", " — "&amp;O243,"")&amp;".",""),IF(P243="Febre","Apresentou episódio febril nas últimas 24h"&amp;IF(Q243&lt;&gt;""," ("&amp;Q243&amp;")","")&amp;".",IF(P243="Afebril","Encontra-se afebril.","")),IF(R243&lt;&gt;"",IF(S243="Sim","Apresenta disfunção renal aguda ","Função renal preservada ")&amp;"("&amp;R243&amp;").",""),IF(T243&lt;&gt;"","Em uso do esquema antimicrobiano com "&amp;T243&amp;".",""),IF(U243&lt;&gt;"","Em uso de profilaxia: "&amp;U243&amp;".",""))&amp;CHAR(10)&amp;CHAR(10)&amp;"2. Farmacoterapia"&amp;CHAR(10)&amp;IF(V243&lt;&gt;"","Corticoide/DART: "&amp;V243,"Sem corticoide/DART registrado.")&amp;CHAR(10)&amp;CHAR(10)&amp;"3. Conduta Farmacêutica"&amp;CHAR(10)&amp;IF(X243&lt;&gt;"","["&amp;W243&amp;"] "&amp;X243&amp;IF(Y243&lt;&gt;"", " ("&amp;Y243&amp;")",""),"Nenhuma intervenção registrada hoje.")&amp;CHAR(10)&amp;CHAR(10)&amp;"4. Plano Terapêutico"&amp;CHAR(10)&amp;IF(AB243&lt;&gt;"",AB243,"Não definido.")</f>
      </c>
    </row>
    <row r="244" spans="3:29" x14ac:dyDescent="0.25">
      <c r="AC244">
        <f>"1. Evolução Clínica"&amp;CHAR(10)&amp;TEXTJOIN(" ",TRUE,"Paciente "&amp;F244&amp;", "&amp;IF(G244="","sem DVA","em uso de "&amp;G244)&amp;".",IF(H244&lt;&gt;"","Em "&amp;H244&amp;IF(AND(H244="VMI",I244&lt;&gt;"")," por "&amp;I244,"")&amp;IF(J244&lt;&gt;""," ("&amp;J244&amp;")","")&amp;IF(K244&lt;&gt;"", ", "&amp;K244,"")&amp;IF(L244&lt;&gt;"", ", sob analgosedação com "&amp;L244,"")&amp;".",""),IF(M244&lt;&gt;"","Dieta "&amp;M244&amp;IF(N244&lt;&gt;"", ", com "&amp;LOWER(N244),"")&amp;IF(O244&lt;&gt;"", " — "&amp;O244,"")&amp;".",""),IF(P244="Febre","Apresentou episódio febril nas últimas 24h"&amp;IF(Q244&lt;&gt;""," ("&amp;Q244&amp;")","")&amp;".",IF(P244="Afebril","Encontra-se afebril.","")),IF(R244&lt;&gt;"",IF(S244="Sim","Apresenta disfunção renal aguda ","Função renal preservada ")&amp;"("&amp;R244&amp;").",""),IF(T244&lt;&gt;"","Em uso do esquema antimicrobiano com "&amp;T244&amp;".",""),IF(U244&lt;&gt;"","Em uso de profilaxia: "&amp;U244&amp;".",""))&amp;CHAR(10)&amp;CHAR(10)&amp;"2. Farmacoterapia"&amp;CHAR(10)&amp;IF(V244&lt;&gt;"","Corticoide/DART: "&amp;V244,"Sem corticoide/DART registrado.")&amp;CHAR(10)&amp;CHAR(10)&amp;"3. Conduta Farmacêutica"&amp;CHAR(10)&amp;IF(X244&lt;&gt;"","["&amp;W244&amp;"] "&amp;X244&amp;IF(Y244&lt;&gt;"", " ("&amp;Y244&amp;")",""),"Nenhuma intervenção registrada hoje.")&amp;CHAR(10)&amp;CHAR(10)&amp;"4. Plano Terapêutico"&amp;CHAR(10)&amp;IF(AB244&lt;&gt;"",AB244,"Não definido.")</f>
      </c>
    </row>
    <row r="245" spans="3:29" x14ac:dyDescent="0.25">
      <c r="AC245">
        <f>"1. Evolução Clínica"&amp;CHAR(10)&amp;TEXTJOIN(" ",TRUE,"Paciente "&amp;F245&amp;", "&amp;IF(G245="","sem DVA","em uso de "&amp;G245)&amp;".",IF(H245&lt;&gt;"","Em "&amp;H245&amp;IF(AND(H245="VMI",I245&lt;&gt;"")," por "&amp;I245,"")&amp;IF(J245&lt;&gt;""," ("&amp;J245&amp;")","")&amp;IF(K245&lt;&gt;"", ", "&amp;K245,"")&amp;IF(L245&lt;&gt;"", ", sob analgosedação com "&amp;L245,"")&amp;".",""),IF(M245&lt;&gt;"","Dieta "&amp;M245&amp;IF(N245&lt;&gt;"", ", com "&amp;LOWER(N245),"")&amp;IF(O245&lt;&gt;"", " — "&amp;O245,"")&amp;".",""),IF(P245="Febre","Apresentou episódio febril nas últimas 24h"&amp;IF(Q245&lt;&gt;""," ("&amp;Q245&amp;")","")&amp;".",IF(P245="Afebril","Encontra-se afebril.","")),IF(R245&lt;&gt;"",IF(S245="Sim","Apresenta disfunção renal aguda ","Função renal preservada ")&amp;"("&amp;R245&amp;").",""),IF(T245&lt;&gt;"","Em uso do esquema antimicrobiano com "&amp;T245&amp;".",""),IF(U245&lt;&gt;"","Em uso de profilaxia: "&amp;U245&amp;".",""))&amp;CHAR(10)&amp;CHAR(10)&amp;"2. Farmacoterapia"&amp;CHAR(10)&amp;IF(V245&lt;&gt;"","Corticoide/DART: "&amp;V245,"Sem corticoide/DART registrado.")&amp;CHAR(10)&amp;CHAR(10)&amp;"3. Conduta Farmacêutica"&amp;CHAR(10)&amp;IF(X245&lt;&gt;"","["&amp;W245&amp;"] "&amp;X245&amp;IF(Y245&lt;&gt;"", " ("&amp;Y245&amp;")",""),"Nenhuma intervenção registrada hoje.")&amp;CHAR(10)&amp;CHAR(10)&amp;"4. Plano Terapêutico"&amp;CHAR(10)&amp;IF(AB245&lt;&gt;"",AB245,"Não definido.")</f>
      </c>
    </row>
    <row r="246" spans="3:29" x14ac:dyDescent="0.25">
      <c r="AC246">
        <f>"1. Evolução Clínica"&amp;CHAR(10)&amp;TEXTJOIN(" ",TRUE,"Paciente "&amp;F246&amp;", "&amp;IF(G246="","sem DVA","em uso de "&amp;G246)&amp;".",IF(H246&lt;&gt;"","Em "&amp;H246&amp;IF(AND(H246="VMI",I246&lt;&gt;"")," por "&amp;I246,"")&amp;IF(J246&lt;&gt;""," ("&amp;J246&amp;")","")&amp;IF(K246&lt;&gt;"", ", "&amp;K246,"")&amp;IF(L246&lt;&gt;"", ", sob analgosedação com "&amp;L246,"")&amp;".",""),IF(M246&lt;&gt;"","Dieta "&amp;M246&amp;IF(N246&lt;&gt;"", ", com "&amp;LOWER(N246),"")&amp;IF(O246&lt;&gt;"", " — "&amp;O246,"")&amp;".",""),IF(P246="Febre","Apresentou episódio febril nas últimas 24h"&amp;IF(Q246&lt;&gt;""," ("&amp;Q246&amp;")","")&amp;".",IF(P246="Afebril","Encontra-se afebril.","")),IF(R246&lt;&gt;"",IF(S246="Sim","Apresenta disfunção renal aguda ","Função renal preservada ")&amp;"("&amp;R246&amp;").",""),IF(T246&lt;&gt;"","Em uso do esquema antimicrobiano com "&amp;T246&amp;".",""),IF(U246&lt;&gt;"","Em uso de profilaxia: "&amp;U246&amp;".",""))&amp;CHAR(10)&amp;CHAR(10)&amp;"2. Farmacoterapia"&amp;CHAR(10)&amp;IF(V246&lt;&gt;"","Corticoide/DART: "&amp;V246,"Sem corticoide/DART registrado.")&amp;CHAR(10)&amp;CHAR(10)&amp;"3. Conduta Farmacêutica"&amp;CHAR(10)&amp;IF(X246&lt;&gt;"","["&amp;W246&amp;"] "&amp;X246&amp;IF(Y246&lt;&gt;"", " ("&amp;Y246&amp;")",""),"Nenhuma intervenção registrada hoje.")&amp;CHAR(10)&amp;CHAR(10)&amp;"4. Plano Terapêutico"&amp;CHAR(10)&amp;IF(AB246&lt;&gt;"",AB246,"Não definido.")</f>
      </c>
    </row>
    <row r="247" spans="3:29" x14ac:dyDescent="0.25">
      <c r="AC247">
        <f>"1. Evolução Clínica"&amp;CHAR(10)&amp;TEXTJOIN(" ",TRUE,"Paciente "&amp;F247&amp;", "&amp;IF(G247="","sem DVA","em uso de "&amp;G247)&amp;".",IF(H247&lt;&gt;"","Em "&amp;H247&amp;IF(AND(H247="VMI",I247&lt;&gt;"")," por "&amp;I247,"")&amp;IF(J247&lt;&gt;""," ("&amp;J247&amp;")","")&amp;IF(K247&lt;&gt;"", ", "&amp;K247,"")&amp;IF(L247&lt;&gt;"", ", sob analgosedação com "&amp;L247,"")&amp;".",""),IF(M247&lt;&gt;"","Dieta "&amp;M247&amp;IF(N247&lt;&gt;"", ", com "&amp;LOWER(N247),"")&amp;IF(O247&lt;&gt;"", " — "&amp;O247,"")&amp;".",""),IF(P247="Febre","Apresentou episódio febril nas últimas 24h"&amp;IF(Q247&lt;&gt;""," ("&amp;Q247&amp;")","")&amp;".",IF(P247="Afebril","Encontra-se afebril.","")),IF(R247&lt;&gt;"",IF(S247="Sim","Apresenta disfunção renal aguda ","Função renal preservada ")&amp;"("&amp;R247&amp;").",""),IF(T247&lt;&gt;"","Em uso do esquema antimicrobiano com "&amp;T247&amp;".",""),IF(U247&lt;&gt;"","Em uso de profilaxia: "&amp;U247&amp;".",""))&amp;CHAR(10)&amp;CHAR(10)&amp;"2. Farmacoterapia"&amp;CHAR(10)&amp;IF(V247&lt;&gt;"","Corticoide/DART: "&amp;V247,"Sem corticoide/DART registrado.")&amp;CHAR(10)&amp;CHAR(10)&amp;"3. Conduta Farmacêutica"&amp;CHAR(10)&amp;IF(X247&lt;&gt;"","["&amp;W247&amp;"] "&amp;X247&amp;IF(Y247&lt;&gt;"", " ("&amp;Y247&amp;")",""),"Nenhuma intervenção registrada hoje.")&amp;CHAR(10)&amp;CHAR(10)&amp;"4. Plano Terapêutico"&amp;CHAR(10)&amp;IF(AB247&lt;&gt;"",AB247,"Não definido.")</f>
      </c>
    </row>
    <row r="248" spans="3:29" x14ac:dyDescent="0.25">
      <c r="AC248">
        <f>"1. Evolução Clínica"&amp;CHAR(10)&amp;TEXTJOIN(" ",TRUE,"Paciente "&amp;F248&amp;", "&amp;IF(G248="","sem DVA","em uso de "&amp;G248)&amp;".",IF(H248&lt;&gt;"","Em "&amp;H248&amp;IF(AND(H248="VMI",I248&lt;&gt;"")," por "&amp;I248,"")&amp;IF(J248&lt;&gt;""," ("&amp;J248&amp;")","")&amp;IF(K248&lt;&gt;"", ", "&amp;K248,"")&amp;IF(L248&lt;&gt;"", ", sob analgosedação com "&amp;L248,"")&amp;".",""),IF(M248&lt;&gt;"","Dieta "&amp;M248&amp;IF(N248&lt;&gt;"", ", com "&amp;LOWER(N248),"")&amp;IF(O248&lt;&gt;"", " — "&amp;O248,"")&amp;".",""),IF(P248="Febre","Apresentou episódio febril nas últimas 24h"&amp;IF(Q248&lt;&gt;""," ("&amp;Q248&amp;")","")&amp;".",IF(P248="Afebril","Encontra-se afebril.","")),IF(R248&lt;&gt;"",IF(S248="Sim","Apresenta disfunção renal aguda ","Função renal preservada ")&amp;"("&amp;R248&amp;").",""),IF(T248&lt;&gt;"","Em uso do esquema antimicrobiano com "&amp;T248&amp;".",""),IF(U248&lt;&gt;"","Em uso de profilaxia: "&amp;U248&amp;".",""))&amp;CHAR(10)&amp;CHAR(10)&amp;"2. Farmacoterapia"&amp;CHAR(10)&amp;IF(V248&lt;&gt;"","Corticoide/DART: "&amp;V248,"Sem corticoide/DART registrado.")&amp;CHAR(10)&amp;CHAR(10)&amp;"3. Conduta Farmacêutica"&amp;CHAR(10)&amp;IF(X248&lt;&gt;"","["&amp;W248&amp;"] "&amp;X248&amp;IF(Y248&lt;&gt;"", " ("&amp;Y248&amp;")",""),"Nenhuma intervenção registrada hoje.")&amp;CHAR(10)&amp;CHAR(10)&amp;"4. Plano Terapêutico"&amp;CHAR(10)&amp;IF(AB248&lt;&gt;"",AB248,"Não definido.")</f>
      </c>
    </row>
    <row r="249" spans="3:29" x14ac:dyDescent="0.25">
      <c r="AC249">
        <f>"1. Evolução Clínica"&amp;CHAR(10)&amp;TEXTJOIN(" ",TRUE,"Paciente "&amp;F249&amp;", "&amp;IF(G249="","sem DVA","em uso de "&amp;G249)&amp;".",IF(H249&lt;&gt;"","Em "&amp;H249&amp;IF(AND(H249="VMI",I249&lt;&gt;"")," por "&amp;I249,"")&amp;IF(J249&lt;&gt;""," ("&amp;J249&amp;")","")&amp;IF(K249&lt;&gt;"", ", "&amp;K249,"")&amp;IF(L249&lt;&gt;"", ", sob analgosedação com "&amp;L249,"")&amp;".",""),IF(M249&lt;&gt;"","Dieta "&amp;M249&amp;IF(N249&lt;&gt;"", ", com "&amp;LOWER(N249),"")&amp;IF(O249&lt;&gt;"", " — "&amp;O249,"")&amp;".",""),IF(P249="Febre","Apresentou episódio febril nas últimas 24h"&amp;IF(Q249&lt;&gt;""," ("&amp;Q249&amp;")","")&amp;".",IF(P249="Afebril","Encontra-se afebril.","")),IF(R249&lt;&gt;"",IF(S249="Sim","Apresenta disfunção renal aguda ","Função renal preservada ")&amp;"("&amp;R249&amp;").",""),IF(T249&lt;&gt;"","Em uso do esquema antimicrobiano com "&amp;T249&amp;".",""),IF(U249&lt;&gt;"","Em uso de profilaxia: "&amp;U249&amp;".",""))&amp;CHAR(10)&amp;CHAR(10)&amp;"2. Farmacoterapia"&amp;CHAR(10)&amp;IF(V249&lt;&gt;"","Corticoide/DART: "&amp;V249,"Sem corticoide/DART registrado.")&amp;CHAR(10)&amp;CHAR(10)&amp;"3. Conduta Farmacêutica"&amp;CHAR(10)&amp;IF(X249&lt;&gt;"","["&amp;W249&amp;"] "&amp;X249&amp;IF(Y249&lt;&gt;"", " ("&amp;Y249&amp;")",""),"Nenhuma intervenção registrada hoje.")&amp;CHAR(10)&amp;CHAR(10)&amp;"4. Plano Terapêutico"&amp;CHAR(10)&amp;IF(AB249&lt;&gt;"",AB249,"Não definido.")</f>
      </c>
    </row>
    <row r="250" spans="3:29" x14ac:dyDescent="0.25">
      <c r="AC250">
        <f>"1. Evolução Clínica"&amp;CHAR(10)&amp;TEXTJOIN(" ",TRUE,"Paciente "&amp;F250&amp;", "&amp;IF(G250="","sem DVA","em uso de "&amp;G250)&amp;".",IF(H250&lt;&gt;"","Em "&amp;H250&amp;IF(AND(H250="VMI",I250&lt;&gt;"")," por "&amp;I250,"")&amp;IF(J250&lt;&gt;""," ("&amp;J250&amp;")","")&amp;IF(K250&lt;&gt;"", ", "&amp;K250,"")&amp;IF(L250&lt;&gt;"", ", sob analgosedação com "&amp;L250,"")&amp;".",""),IF(M250&lt;&gt;"","Dieta "&amp;M250&amp;IF(N250&lt;&gt;"", ", com "&amp;LOWER(N250),"")&amp;IF(O250&lt;&gt;"", " — "&amp;O250,"")&amp;".",""),IF(P250="Febre","Apresentou episódio febril nas últimas 24h"&amp;IF(Q250&lt;&gt;""," ("&amp;Q250&amp;")","")&amp;".",IF(P250="Afebril","Encontra-se afebril.","")),IF(R250&lt;&gt;"",IF(S250="Sim","Apresenta disfunção renal aguda ","Função renal preservada ")&amp;"("&amp;R250&amp;").",""),IF(T250&lt;&gt;"","Em uso do esquema antimicrobiano com "&amp;T250&amp;".",""),IF(U250&lt;&gt;"","Em uso de profilaxia: "&amp;U250&amp;".",""))&amp;CHAR(10)&amp;CHAR(10)&amp;"2. Farmacoterapia"&amp;CHAR(10)&amp;IF(V250&lt;&gt;"","Corticoide/DART: "&amp;V250,"Sem corticoide/DART registrado.")&amp;CHAR(10)&amp;CHAR(10)&amp;"3. Conduta Farmacêutica"&amp;CHAR(10)&amp;IF(X250&lt;&gt;"","["&amp;W250&amp;"] "&amp;X250&amp;IF(Y250&lt;&gt;"", " ("&amp;Y250&amp;")",""),"Nenhuma intervenção registrada hoje.")&amp;CHAR(10)&amp;CHAR(10)&amp;"4. Plano Terapêutico"&amp;CHAR(10)&amp;IF(AB250&lt;&gt;"",AB250,"Não definido.")</f>
      </c>
    </row>
    <row r="251" spans="3:29" x14ac:dyDescent="0.25">
      <c r="AC251">
        <f>"1. Evolução Clínica"&amp;CHAR(10)&amp;TEXTJOIN(" ",TRUE,"Paciente "&amp;F251&amp;", "&amp;IF(G251="","sem DVA","em uso de "&amp;G251)&amp;".",IF(H251&lt;&gt;"","Em "&amp;H251&amp;IF(AND(H251="VMI",I251&lt;&gt;"")," por "&amp;I251,"")&amp;IF(J251&lt;&gt;""," ("&amp;J251&amp;")","")&amp;IF(K251&lt;&gt;"", ", "&amp;K251,"")&amp;IF(L251&lt;&gt;"", ", sob analgosedação com "&amp;L251,"")&amp;".",""),IF(M251&lt;&gt;"","Dieta "&amp;M251&amp;IF(N251&lt;&gt;"", ", com "&amp;LOWER(N251),"")&amp;IF(O251&lt;&gt;"", " — "&amp;O251,"")&amp;".",""),IF(P251="Febre","Apresentou episódio febril nas últimas 24h"&amp;IF(Q251&lt;&gt;""," ("&amp;Q251&amp;")","")&amp;".",IF(P251="Afebril","Encontra-se afebril.","")),IF(R251&lt;&gt;"",IF(S251="Sim","Apresenta disfunção renal aguda ","Função renal preservada ")&amp;"("&amp;R251&amp;").",""),IF(T251&lt;&gt;"","Em uso do esquema antimicrobiano com "&amp;T251&amp;".",""),IF(U251&lt;&gt;"","Em uso de profilaxia: "&amp;U251&amp;".",""))&amp;CHAR(10)&amp;CHAR(10)&amp;"2. Farmacoterapia"&amp;CHAR(10)&amp;IF(V251&lt;&gt;"","Corticoide/DART: "&amp;V251,"Sem corticoide/DART registrado.")&amp;CHAR(10)&amp;CHAR(10)&amp;"3. Conduta Farmacêutica"&amp;CHAR(10)&amp;IF(X251&lt;&gt;"","["&amp;W251&amp;"] "&amp;X251&amp;IF(Y251&lt;&gt;"", " ("&amp;Y251&amp;")",""),"Nenhuma intervenção registrada hoje.")&amp;CHAR(10)&amp;CHAR(10)&amp;"4. Plano Terapêutico"&amp;CHAR(10)&amp;IF(AB251&lt;&gt;"",AB251,"Não definido.")</f>
      </c>
    </row>
    <row r="252" spans="3:29" x14ac:dyDescent="0.25">
      <c r="AC252">
        <f>"1. Evolução Clínica"&amp;CHAR(10)&amp;TEXTJOIN(" ",TRUE,"Paciente "&amp;F252&amp;", "&amp;IF(G252="","sem DVA","em uso de "&amp;G252)&amp;".",IF(H252&lt;&gt;"","Em "&amp;H252&amp;IF(AND(H252="VMI",I252&lt;&gt;"")," por "&amp;I252,"")&amp;IF(J252&lt;&gt;""," ("&amp;J252&amp;")","")&amp;IF(K252&lt;&gt;"", ", "&amp;K252,"")&amp;IF(L252&lt;&gt;"", ", sob analgosedação com "&amp;L252,"")&amp;".",""),IF(M252&lt;&gt;"","Dieta "&amp;M252&amp;IF(N252&lt;&gt;"", ", com "&amp;LOWER(N252),"")&amp;IF(O252&lt;&gt;"", " — "&amp;O252,"")&amp;".",""),IF(P252="Febre","Apresentou episódio febril nas últimas 24h"&amp;IF(Q252&lt;&gt;""," ("&amp;Q252&amp;")","")&amp;".",IF(P252="Afebril","Encontra-se afebril.","")),IF(R252&lt;&gt;"",IF(S252="Sim","Apresenta disfunção renal aguda ","Função renal preservada ")&amp;"("&amp;R252&amp;").",""),IF(T252&lt;&gt;"","Em uso do esquema antimicrobiano com "&amp;T252&amp;".",""),IF(U252&lt;&gt;"","Em uso de profilaxia: "&amp;U252&amp;".",""))&amp;CHAR(10)&amp;CHAR(10)&amp;"2. Farmacoterapia"&amp;CHAR(10)&amp;IF(V252&lt;&gt;"","Corticoide/DART: "&amp;V252,"Sem corticoide/DART registrado.")&amp;CHAR(10)&amp;CHAR(10)&amp;"3. Conduta Farmacêutica"&amp;CHAR(10)&amp;IF(X252&lt;&gt;"","["&amp;W252&amp;"] "&amp;X252&amp;IF(Y252&lt;&gt;"", " ("&amp;Y252&amp;")",""),"Nenhuma intervenção registrada hoje.")&amp;CHAR(10)&amp;CHAR(10)&amp;"4. Plano Terapêutico"&amp;CHAR(10)&amp;IF(AB252&lt;&gt;"",AB252,"Não definido.")</f>
      </c>
    </row>
    <row r="253" spans="3:29" x14ac:dyDescent="0.25">
      <c r="AC253">
        <f>"1. Evolução Clínica"&amp;CHAR(10)&amp;TEXTJOIN(" ",TRUE,"Paciente "&amp;F253&amp;", "&amp;IF(G253="","sem DVA","em uso de "&amp;G253)&amp;".",IF(H253&lt;&gt;"","Em "&amp;H253&amp;IF(AND(H253="VMI",I253&lt;&gt;"")," por "&amp;I253,"")&amp;IF(J253&lt;&gt;""," ("&amp;J253&amp;")","")&amp;IF(K253&lt;&gt;"", ", "&amp;K253,"")&amp;IF(L253&lt;&gt;"", ", sob analgosedação com "&amp;L253,"")&amp;".",""),IF(M253&lt;&gt;"","Dieta "&amp;M253&amp;IF(N253&lt;&gt;"", ", com "&amp;LOWER(N253),"")&amp;IF(O253&lt;&gt;"", " — "&amp;O253,"")&amp;".",""),IF(P253="Febre","Apresentou episódio febril nas últimas 24h"&amp;IF(Q253&lt;&gt;""," ("&amp;Q253&amp;")","")&amp;".",IF(P253="Afebril","Encontra-se afebril.","")),IF(R253&lt;&gt;"",IF(S253="Sim","Apresenta disfunção renal aguda ","Função renal preservada ")&amp;"("&amp;R253&amp;").",""),IF(T253&lt;&gt;"","Em uso do esquema antimicrobiano com "&amp;T253&amp;".",""),IF(U253&lt;&gt;"","Em uso de profilaxia: "&amp;U253&amp;".",""))&amp;CHAR(10)&amp;CHAR(10)&amp;"2. Farmacoterapia"&amp;CHAR(10)&amp;IF(V253&lt;&gt;"","Corticoide/DART: "&amp;V253,"Sem corticoide/DART registrado.")&amp;CHAR(10)&amp;CHAR(10)&amp;"3. Conduta Farmacêutica"&amp;CHAR(10)&amp;IF(X253&lt;&gt;"","["&amp;W253&amp;"] "&amp;X253&amp;IF(Y253&lt;&gt;"", " ("&amp;Y253&amp;")",""),"Nenhuma intervenção registrada hoje.")&amp;CHAR(10)&amp;CHAR(10)&amp;"4. Plano Terapêutico"&amp;CHAR(10)&amp;IF(AB253&lt;&gt;"",AB253,"Não definido.")</f>
      </c>
    </row>
    <row r="254" spans="3:29" x14ac:dyDescent="0.25">
      <c r="AC254">
        <f>"1. Evolução Clínica"&amp;CHAR(10)&amp;TEXTJOIN(" ",TRUE,"Paciente "&amp;F254&amp;", "&amp;IF(G254="","sem DVA","em uso de "&amp;G254)&amp;".",IF(H254&lt;&gt;"","Em "&amp;H254&amp;IF(AND(H254="VMI",I254&lt;&gt;"")," por "&amp;I254,"")&amp;IF(J254&lt;&gt;""," ("&amp;J254&amp;")","")&amp;IF(K254&lt;&gt;"", ", "&amp;K254,"")&amp;IF(L254&lt;&gt;"", ", sob analgosedação com "&amp;L254,"")&amp;".",""),IF(M254&lt;&gt;"","Dieta "&amp;M254&amp;IF(N254&lt;&gt;"", ", com "&amp;LOWER(N254),"")&amp;IF(O254&lt;&gt;"", " — "&amp;O254,"")&amp;".",""),IF(P254="Febre","Apresentou episódio febril nas últimas 24h"&amp;IF(Q254&lt;&gt;""," ("&amp;Q254&amp;")","")&amp;".",IF(P254="Afebril","Encontra-se afebril.","")),IF(R254&lt;&gt;"",IF(S254="Sim","Apresenta disfunção renal aguda ","Função renal preservada ")&amp;"("&amp;R254&amp;").",""),IF(T254&lt;&gt;"","Em uso do esquema antimicrobiano com "&amp;T254&amp;".",""),IF(U254&lt;&gt;"","Em uso de profilaxia: "&amp;U254&amp;".",""))&amp;CHAR(10)&amp;CHAR(10)&amp;"2. Farmacoterapia"&amp;CHAR(10)&amp;IF(V254&lt;&gt;"","Corticoide/DART: "&amp;V254,"Sem corticoide/DART registrado.")&amp;CHAR(10)&amp;CHAR(10)&amp;"3. Conduta Farmacêutica"&amp;CHAR(10)&amp;IF(X254&lt;&gt;"","["&amp;W254&amp;"] "&amp;X254&amp;IF(Y254&lt;&gt;"", " ("&amp;Y254&amp;")",""),"Nenhuma intervenção registrada hoje.")&amp;CHAR(10)&amp;CHAR(10)&amp;"4. Plano Terapêutico"&amp;CHAR(10)&amp;IF(AB254&lt;&gt;"",AB254,"Não definido.")</f>
      </c>
    </row>
    <row r="255" spans="3:29" x14ac:dyDescent="0.25">
      <c r="AC255">
        <f>"1. Evolução Clínica"&amp;CHAR(10)&amp;TEXTJOIN(" ",TRUE,"Paciente "&amp;F255&amp;", "&amp;IF(G255="","sem DVA","em uso de "&amp;G255)&amp;".",IF(H255&lt;&gt;"","Em "&amp;H255&amp;IF(AND(H255="VMI",I255&lt;&gt;"")," por "&amp;I255,"")&amp;IF(J255&lt;&gt;""," ("&amp;J255&amp;")","")&amp;IF(K255&lt;&gt;"", ", "&amp;K255,"")&amp;IF(L255&lt;&gt;"", ", sob analgosedação com "&amp;L255,"")&amp;".",""),IF(M255&lt;&gt;"","Dieta "&amp;M255&amp;IF(N255&lt;&gt;"", ", com "&amp;LOWER(N255),"")&amp;IF(O255&lt;&gt;"", " — "&amp;O255,"")&amp;".",""),IF(P255="Febre","Apresentou episódio febril nas últimas 24h"&amp;IF(Q255&lt;&gt;""," ("&amp;Q255&amp;")","")&amp;".",IF(P255="Afebril","Encontra-se afebril.","")),IF(R255&lt;&gt;"",IF(S255="Sim","Apresenta disfunção renal aguda ","Função renal preservada ")&amp;"("&amp;R255&amp;").",""),IF(T255&lt;&gt;"","Em uso do esquema antimicrobiano com "&amp;T255&amp;".",""),IF(U255&lt;&gt;"","Em uso de profilaxia: "&amp;U255&amp;".",""))&amp;CHAR(10)&amp;CHAR(10)&amp;"2. Farmacoterapia"&amp;CHAR(10)&amp;IF(V255&lt;&gt;"","Corticoide/DART: "&amp;V255,"Sem corticoide/DART registrado.")&amp;CHAR(10)&amp;CHAR(10)&amp;"3. Conduta Farmacêutica"&amp;CHAR(10)&amp;IF(X255&lt;&gt;"","["&amp;W255&amp;"] "&amp;X255&amp;IF(Y255&lt;&gt;"", " ("&amp;Y255&amp;")",""),"Nenhuma intervenção registrada hoje.")&amp;CHAR(10)&amp;CHAR(10)&amp;"4. Plano Terapêutico"&amp;CHAR(10)&amp;IF(AB255&lt;&gt;"",AB255,"Não definido.")</f>
      </c>
    </row>
    <row r="256" spans="3:29" x14ac:dyDescent="0.25">
      <c r="AC256">
        <f>"1. Evolução Clínica"&amp;CHAR(10)&amp;TEXTJOIN(" ",TRUE,"Paciente "&amp;F256&amp;", "&amp;IF(G256="","sem DVA","em uso de "&amp;G256)&amp;".",IF(H256&lt;&gt;"","Em "&amp;H256&amp;IF(AND(H256="VMI",I256&lt;&gt;"")," por "&amp;I256,"")&amp;IF(J256&lt;&gt;""," ("&amp;J256&amp;")","")&amp;IF(K256&lt;&gt;"", ", "&amp;K256,"")&amp;IF(L256&lt;&gt;"", ", sob analgosedação com "&amp;L256,"")&amp;".",""),IF(M256&lt;&gt;"","Dieta "&amp;M256&amp;IF(N256&lt;&gt;"", ", com "&amp;LOWER(N256),"")&amp;IF(O256&lt;&gt;"", " — "&amp;O256,"")&amp;".",""),IF(P256="Febre","Apresentou episódio febril nas últimas 24h"&amp;IF(Q256&lt;&gt;""," ("&amp;Q256&amp;")","")&amp;".",IF(P256="Afebril","Encontra-se afebril.","")),IF(R256&lt;&gt;"",IF(S256="Sim","Apresenta disfunção renal aguda ","Função renal preservada ")&amp;"("&amp;R256&amp;").",""),IF(T256&lt;&gt;"","Em uso do esquema antimicrobiano com "&amp;T256&amp;".",""),IF(U256&lt;&gt;"","Em uso de profilaxia: "&amp;U256&amp;".",""))&amp;CHAR(10)&amp;CHAR(10)&amp;"2. Farmacoterapia"&amp;CHAR(10)&amp;IF(V256&lt;&gt;"","Corticoide/DART: "&amp;V256,"Sem corticoide/DART registrado.")&amp;CHAR(10)&amp;CHAR(10)&amp;"3. Conduta Farmacêutica"&amp;CHAR(10)&amp;IF(X256&lt;&gt;"","["&amp;W256&amp;"] "&amp;X256&amp;IF(Y256&lt;&gt;"", " ("&amp;Y256&amp;")",""),"Nenhuma intervenção registrada hoje.")&amp;CHAR(10)&amp;CHAR(10)&amp;"4. Plano Terapêutico"&amp;CHAR(10)&amp;IF(AB256&lt;&gt;"",AB256,"Não definido.")</f>
      </c>
    </row>
    <row r="257" spans="3:29" x14ac:dyDescent="0.25">
      <c r="AC257">
        <f>"1. Evolução Clínica"&amp;CHAR(10)&amp;TEXTJOIN(" ",TRUE,"Paciente "&amp;F257&amp;", "&amp;IF(G257="","sem DVA","em uso de "&amp;G257)&amp;".",IF(H257&lt;&gt;"","Em "&amp;H257&amp;IF(AND(H257="VMI",I257&lt;&gt;"")," por "&amp;I257,"")&amp;IF(J257&lt;&gt;""," ("&amp;J257&amp;")","")&amp;IF(K257&lt;&gt;"", ", "&amp;K257,"")&amp;IF(L257&lt;&gt;"", ", sob analgosedação com "&amp;L257,"")&amp;".",""),IF(M257&lt;&gt;"","Dieta "&amp;M257&amp;IF(N257&lt;&gt;"", ", com "&amp;LOWER(N257),"")&amp;IF(O257&lt;&gt;"", " — "&amp;O257,"")&amp;".",""),IF(P257="Febre","Apresentou episódio febril nas últimas 24h"&amp;IF(Q257&lt;&gt;""," ("&amp;Q257&amp;")","")&amp;".",IF(P257="Afebril","Encontra-se afebril.","")),IF(R257&lt;&gt;"",IF(S257="Sim","Apresenta disfunção renal aguda ","Função renal preservada ")&amp;"("&amp;R257&amp;").",""),IF(T257&lt;&gt;"","Em uso do esquema antimicrobiano com "&amp;T257&amp;".",""),IF(U257&lt;&gt;"","Em uso de profilaxia: "&amp;U257&amp;".",""))&amp;CHAR(10)&amp;CHAR(10)&amp;"2. Farmacoterapia"&amp;CHAR(10)&amp;IF(V257&lt;&gt;"","Corticoide/DART: "&amp;V257,"Sem corticoide/DART registrado.")&amp;CHAR(10)&amp;CHAR(10)&amp;"3. Conduta Farmacêutica"&amp;CHAR(10)&amp;IF(X257&lt;&gt;"","["&amp;W257&amp;"] "&amp;X257&amp;IF(Y257&lt;&gt;"", " ("&amp;Y257&amp;")",""),"Nenhuma intervenção registrada hoje.")&amp;CHAR(10)&amp;CHAR(10)&amp;"4. Plano Terapêutico"&amp;CHAR(10)&amp;IF(AB257&lt;&gt;"",AB257,"Não definido.")</f>
      </c>
    </row>
    <row r="258" spans="3:29" x14ac:dyDescent="0.25">
      <c r="AC258">
        <f>"1. Evolução Clínica"&amp;CHAR(10)&amp;TEXTJOIN(" ",TRUE,"Paciente "&amp;F258&amp;", "&amp;IF(G258="","sem DVA","em uso de "&amp;G258)&amp;".",IF(H258&lt;&gt;"","Em "&amp;H258&amp;IF(AND(H258="VMI",I258&lt;&gt;"")," por "&amp;I258,"")&amp;IF(J258&lt;&gt;""," ("&amp;J258&amp;")","")&amp;IF(K258&lt;&gt;"", ", "&amp;K258,"")&amp;IF(L258&lt;&gt;"", ", sob analgosedação com "&amp;L258,"")&amp;".",""),IF(M258&lt;&gt;"","Dieta "&amp;M258&amp;IF(N258&lt;&gt;"", ", com "&amp;LOWER(N258),"")&amp;IF(O258&lt;&gt;"", " — "&amp;O258,"")&amp;".",""),IF(P258="Febre","Apresentou episódio febril nas últimas 24h"&amp;IF(Q258&lt;&gt;""," ("&amp;Q258&amp;")","")&amp;".",IF(P258="Afebril","Encontra-se afebril.","")),IF(R258&lt;&gt;"",IF(S258="Sim","Apresenta disfunção renal aguda ","Função renal preservada ")&amp;"("&amp;R258&amp;").",""),IF(T258&lt;&gt;"","Em uso do esquema antimicrobiano com "&amp;T258&amp;".",""),IF(U258&lt;&gt;"","Em uso de profilaxia: "&amp;U258&amp;".",""))&amp;CHAR(10)&amp;CHAR(10)&amp;"2. Farmacoterapia"&amp;CHAR(10)&amp;IF(V258&lt;&gt;"","Corticoide/DART: "&amp;V258,"Sem corticoide/DART registrado.")&amp;CHAR(10)&amp;CHAR(10)&amp;"3. Conduta Farmacêutica"&amp;CHAR(10)&amp;IF(X258&lt;&gt;"","["&amp;W258&amp;"] "&amp;X258&amp;IF(Y258&lt;&gt;"", " ("&amp;Y258&amp;")",""),"Nenhuma intervenção registrada hoje.")&amp;CHAR(10)&amp;CHAR(10)&amp;"4. Plano Terapêutico"&amp;CHAR(10)&amp;IF(AB258&lt;&gt;"",AB258,"Não definido.")</f>
      </c>
    </row>
    <row r="259" spans="3:29" x14ac:dyDescent="0.25">
      <c r="AC259">
        <f>"1. Evolução Clínica"&amp;CHAR(10)&amp;TEXTJOIN(" ",TRUE,"Paciente "&amp;F259&amp;", "&amp;IF(G259="","sem DVA","em uso de "&amp;G259)&amp;".",IF(H259&lt;&gt;"","Em "&amp;H259&amp;IF(AND(H259="VMI",I259&lt;&gt;"")," por "&amp;I259,"")&amp;IF(J259&lt;&gt;""," ("&amp;J259&amp;")","")&amp;IF(K259&lt;&gt;"", ", "&amp;K259,"")&amp;IF(L259&lt;&gt;"", ", sob analgosedação com "&amp;L259,"")&amp;".",""),IF(M259&lt;&gt;"","Dieta "&amp;M259&amp;IF(N259&lt;&gt;"", ", com "&amp;LOWER(N259),"")&amp;IF(O259&lt;&gt;"", " — "&amp;O259,"")&amp;".",""),IF(P259="Febre","Apresentou episódio febril nas últimas 24h"&amp;IF(Q259&lt;&gt;""," ("&amp;Q259&amp;")","")&amp;".",IF(P259="Afebril","Encontra-se afebril.","")),IF(R259&lt;&gt;"",IF(S259="Sim","Apresenta disfunção renal aguda ","Função renal preservada ")&amp;"("&amp;R259&amp;").",""),IF(T259&lt;&gt;"","Em uso do esquema antimicrobiano com "&amp;T259&amp;".",""),IF(U259&lt;&gt;"","Em uso de profilaxia: "&amp;U259&amp;".",""))&amp;CHAR(10)&amp;CHAR(10)&amp;"2. Farmacoterapia"&amp;CHAR(10)&amp;IF(V259&lt;&gt;"","Corticoide/DART: "&amp;V259,"Sem corticoide/DART registrado.")&amp;CHAR(10)&amp;CHAR(10)&amp;"3. Conduta Farmacêutica"&amp;CHAR(10)&amp;IF(X259&lt;&gt;"","["&amp;W259&amp;"] "&amp;X259&amp;IF(Y259&lt;&gt;"", " ("&amp;Y259&amp;")",""),"Nenhuma intervenção registrada hoje.")&amp;CHAR(10)&amp;CHAR(10)&amp;"4. Plano Terapêutico"&amp;CHAR(10)&amp;IF(AB259&lt;&gt;"",AB259,"Não definido.")</f>
      </c>
    </row>
    <row r="260" spans="3:29" x14ac:dyDescent="0.25">
      <c r="AC260">
        <f>"1. Evolução Clínica"&amp;CHAR(10)&amp;TEXTJOIN(" ",TRUE,"Paciente "&amp;F260&amp;", "&amp;IF(G260="","sem DVA","em uso de "&amp;G260)&amp;".",IF(H260&lt;&gt;"","Em "&amp;H260&amp;IF(AND(H260="VMI",I260&lt;&gt;"")," por "&amp;I260,"")&amp;IF(J260&lt;&gt;""," ("&amp;J260&amp;")","")&amp;IF(K260&lt;&gt;"", ", "&amp;K260,"")&amp;IF(L260&lt;&gt;"", ", sob analgosedação com "&amp;L260,"")&amp;".",""),IF(M260&lt;&gt;"","Dieta "&amp;M260&amp;IF(N260&lt;&gt;"", ", com "&amp;LOWER(N260),"")&amp;IF(O260&lt;&gt;"", " — "&amp;O260,"")&amp;".",""),IF(P260="Febre","Apresentou episódio febril nas últimas 24h"&amp;IF(Q260&lt;&gt;""," ("&amp;Q260&amp;")","")&amp;".",IF(P260="Afebril","Encontra-se afebril.","")),IF(R260&lt;&gt;"",IF(S260="Sim","Apresenta disfunção renal aguda ","Função renal preservada ")&amp;"("&amp;R260&amp;").",""),IF(T260&lt;&gt;"","Em uso do esquema antimicrobiano com "&amp;T260&amp;".",""),IF(U260&lt;&gt;"","Em uso de profilaxia: "&amp;U260&amp;".",""))&amp;CHAR(10)&amp;CHAR(10)&amp;"2. Farmacoterapia"&amp;CHAR(10)&amp;IF(V260&lt;&gt;"","Corticoide/DART: "&amp;V260,"Sem corticoide/DART registrado.")&amp;CHAR(10)&amp;CHAR(10)&amp;"3. Conduta Farmacêutica"&amp;CHAR(10)&amp;IF(X260&lt;&gt;"","["&amp;W260&amp;"] "&amp;X260&amp;IF(Y260&lt;&gt;"", " ("&amp;Y260&amp;")",""),"Nenhuma intervenção registrada hoje.")&amp;CHAR(10)&amp;CHAR(10)&amp;"4. Plano Terapêutico"&amp;CHAR(10)&amp;IF(AB260&lt;&gt;"",AB260,"Não definido.")</f>
      </c>
    </row>
    <row r="261" spans="3:29" x14ac:dyDescent="0.25">
      <c r="AC261">
        <f>"1. Evolução Clínica"&amp;CHAR(10)&amp;TEXTJOIN(" ",TRUE,"Paciente "&amp;F261&amp;", "&amp;IF(G261="","sem DVA","em uso de "&amp;G261)&amp;".",IF(H261&lt;&gt;"","Em "&amp;H261&amp;IF(AND(H261="VMI",I261&lt;&gt;"")," por "&amp;I261,"")&amp;IF(J261&lt;&gt;""," ("&amp;J261&amp;")","")&amp;IF(K261&lt;&gt;"", ", "&amp;K261,"")&amp;IF(L261&lt;&gt;"", ", sob analgosedação com "&amp;L261,"")&amp;".",""),IF(M261&lt;&gt;"","Dieta "&amp;M261&amp;IF(N261&lt;&gt;"", ", com "&amp;LOWER(N261),"")&amp;IF(O261&lt;&gt;"", " — "&amp;O261,"")&amp;".",""),IF(P261="Febre","Apresentou episódio febril nas últimas 24h"&amp;IF(Q261&lt;&gt;""," ("&amp;Q261&amp;")","")&amp;".",IF(P261="Afebril","Encontra-se afebril.","")),IF(R261&lt;&gt;"",IF(S261="Sim","Apresenta disfunção renal aguda ","Função renal preservada ")&amp;"("&amp;R261&amp;").",""),IF(T261&lt;&gt;"","Em uso do esquema antimicrobiano com "&amp;T261&amp;".",""),IF(U261&lt;&gt;"","Em uso de profilaxia: "&amp;U261&amp;".",""))&amp;CHAR(10)&amp;CHAR(10)&amp;"2. Farmacoterapia"&amp;CHAR(10)&amp;IF(V261&lt;&gt;"","Corticoide/DART: "&amp;V261,"Sem corticoide/DART registrado.")&amp;CHAR(10)&amp;CHAR(10)&amp;"3. Conduta Farmacêutica"&amp;CHAR(10)&amp;IF(X261&lt;&gt;"","["&amp;W261&amp;"] "&amp;X261&amp;IF(Y261&lt;&gt;"", " ("&amp;Y261&amp;")",""),"Nenhuma intervenção registrada hoje.")&amp;CHAR(10)&amp;CHAR(10)&amp;"4. Plano Terapêutico"&amp;CHAR(10)&amp;IF(AB261&lt;&gt;"",AB261,"Não definido.")</f>
      </c>
    </row>
    <row r="262" spans="3:29" x14ac:dyDescent="0.25">
      <c r="AC262">
        <f>"1. Evolução Clínica"&amp;CHAR(10)&amp;TEXTJOIN(" ",TRUE,"Paciente "&amp;F262&amp;", "&amp;IF(G262="","sem DVA","em uso de "&amp;G262)&amp;".",IF(H262&lt;&gt;"","Em "&amp;H262&amp;IF(AND(H262="VMI",I262&lt;&gt;"")," por "&amp;I262,"")&amp;IF(J262&lt;&gt;""," ("&amp;J262&amp;")","")&amp;IF(K262&lt;&gt;"", ", "&amp;K262,"")&amp;IF(L262&lt;&gt;"", ", sob analgosedação com "&amp;L262,"")&amp;".",""),IF(M262&lt;&gt;"","Dieta "&amp;M262&amp;IF(N262&lt;&gt;"", ", com "&amp;LOWER(N262),"")&amp;IF(O262&lt;&gt;"", " — "&amp;O262,"")&amp;".",""),IF(P262="Febre","Apresentou episódio febril nas últimas 24h"&amp;IF(Q262&lt;&gt;""," ("&amp;Q262&amp;")","")&amp;".",IF(P262="Afebril","Encontra-se afebril.","")),IF(R262&lt;&gt;"",IF(S262="Sim","Apresenta disfunção renal aguda ","Função renal preservada ")&amp;"("&amp;R262&amp;").",""),IF(T262&lt;&gt;"","Em uso do esquema antimicrobiano com "&amp;T262&amp;".",""),IF(U262&lt;&gt;"","Em uso de profilaxia: "&amp;U262&amp;".",""))&amp;CHAR(10)&amp;CHAR(10)&amp;"2. Farmacoterapia"&amp;CHAR(10)&amp;IF(V262&lt;&gt;"","Corticoide/DART: "&amp;V262,"Sem corticoide/DART registrado.")&amp;CHAR(10)&amp;CHAR(10)&amp;"3. Conduta Farmacêutica"&amp;CHAR(10)&amp;IF(X262&lt;&gt;"","["&amp;W262&amp;"] "&amp;X262&amp;IF(Y262&lt;&gt;"", " ("&amp;Y262&amp;")",""),"Nenhuma intervenção registrada hoje.")&amp;CHAR(10)&amp;CHAR(10)&amp;"4. Plano Terapêutico"&amp;CHAR(10)&amp;IF(AB262&lt;&gt;"",AB262,"Não definido.")</f>
      </c>
    </row>
    <row r="263" spans="3:29" x14ac:dyDescent="0.25">
      <c r="AC263">
        <f>"1. Evolução Clínica"&amp;CHAR(10)&amp;TEXTJOIN(" ",TRUE,"Paciente "&amp;F263&amp;", "&amp;IF(G263="","sem DVA","em uso de "&amp;G263)&amp;".",IF(H263&lt;&gt;"","Em "&amp;H263&amp;IF(AND(H263="VMI",I263&lt;&gt;"")," por "&amp;I263,"")&amp;IF(J263&lt;&gt;""," ("&amp;J263&amp;")","")&amp;IF(K263&lt;&gt;"", ", "&amp;K263,"")&amp;IF(L263&lt;&gt;"", ", sob analgosedação com "&amp;L263,"")&amp;".",""),IF(M263&lt;&gt;"","Dieta "&amp;M263&amp;IF(N263&lt;&gt;"", ", com "&amp;LOWER(N263),"")&amp;IF(O263&lt;&gt;"", " — "&amp;O263,"")&amp;".",""),IF(P263="Febre","Apresentou episódio febril nas últimas 24h"&amp;IF(Q263&lt;&gt;""," ("&amp;Q263&amp;")","")&amp;".",IF(P263="Afebril","Encontra-se afebril.","")),IF(R263&lt;&gt;"",IF(S263="Sim","Apresenta disfunção renal aguda ","Função renal preservada ")&amp;"("&amp;R263&amp;").",""),IF(T263&lt;&gt;"","Em uso do esquema antimicrobiano com "&amp;T263&amp;".",""),IF(U263&lt;&gt;"","Em uso de profilaxia: "&amp;U263&amp;".",""))&amp;CHAR(10)&amp;CHAR(10)&amp;"2. Farmacoterapia"&amp;CHAR(10)&amp;IF(V263&lt;&gt;"","Corticoide/DART: "&amp;V263,"Sem corticoide/DART registrado.")&amp;CHAR(10)&amp;CHAR(10)&amp;"3. Conduta Farmacêutica"&amp;CHAR(10)&amp;IF(X263&lt;&gt;"","["&amp;W263&amp;"] "&amp;X263&amp;IF(Y263&lt;&gt;"", " ("&amp;Y263&amp;")",""),"Nenhuma intervenção registrada hoje.")&amp;CHAR(10)&amp;CHAR(10)&amp;"4. Plano Terapêutico"&amp;CHAR(10)&amp;IF(AB263&lt;&gt;"",AB263,"Não definido.")</f>
      </c>
    </row>
    <row r="264" spans="3:29" x14ac:dyDescent="0.25">
      <c r="AC264">
        <f>"1. Evolução Clínica"&amp;CHAR(10)&amp;TEXTJOIN(" ",TRUE,"Paciente "&amp;F264&amp;", "&amp;IF(G264="","sem DVA","em uso de "&amp;G264)&amp;".",IF(H264&lt;&gt;"","Em "&amp;H264&amp;IF(AND(H264="VMI",I264&lt;&gt;"")," por "&amp;I264,"")&amp;IF(J264&lt;&gt;""," ("&amp;J264&amp;")","")&amp;IF(K264&lt;&gt;"", ", "&amp;K264,"")&amp;IF(L264&lt;&gt;"", ", sob analgosedação com "&amp;L264,"")&amp;".",""),IF(M264&lt;&gt;"","Dieta "&amp;M264&amp;IF(N264&lt;&gt;"", ", com "&amp;LOWER(N264),"")&amp;IF(O264&lt;&gt;"", " — "&amp;O264,"")&amp;".",""),IF(P264="Febre","Apresentou episódio febril nas últimas 24h"&amp;IF(Q264&lt;&gt;""," ("&amp;Q264&amp;")","")&amp;".",IF(P264="Afebril","Encontra-se afebril.","")),IF(R264&lt;&gt;"",IF(S264="Sim","Apresenta disfunção renal aguda ","Função renal preservada ")&amp;"("&amp;R264&amp;").",""),IF(T264&lt;&gt;"","Em uso do esquema antimicrobiano com "&amp;T264&amp;".",""),IF(U264&lt;&gt;"","Em uso de profilaxia: "&amp;U264&amp;".",""))&amp;CHAR(10)&amp;CHAR(10)&amp;"2. Farmacoterapia"&amp;CHAR(10)&amp;IF(V264&lt;&gt;"","Corticoide/DART: "&amp;V264,"Sem corticoide/DART registrado.")&amp;CHAR(10)&amp;CHAR(10)&amp;"3. Conduta Farmacêutica"&amp;CHAR(10)&amp;IF(X264&lt;&gt;"","["&amp;W264&amp;"] "&amp;X264&amp;IF(Y264&lt;&gt;"", " ("&amp;Y264&amp;")",""),"Nenhuma intervenção registrada hoje.")&amp;CHAR(10)&amp;CHAR(10)&amp;"4. Plano Terapêutico"&amp;CHAR(10)&amp;IF(AB264&lt;&gt;"",AB264,"Não definido.")</f>
      </c>
    </row>
    <row r="265" spans="3:29" x14ac:dyDescent="0.25">
      <c r="AC265">
        <f>"1. Evolução Clínica"&amp;CHAR(10)&amp;TEXTJOIN(" ",TRUE,"Paciente "&amp;F265&amp;", "&amp;IF(G265="","sem DVA","em uso de "&amp;G265)&amp;".",IF(H265&lt;&gt;"","Em "&amp;H265&amp;IF(AND(H265="VMI",I265&lt;&gt;"")," por "&amp;I265,"")&amp;IF(J265&lt;&gt;""," ("&amp;J265&amp;")","")&amp;IF(K265&lt;&gt;"", ", "&amp;K265,"")&amp;IF(L265&lt;&gt;"", ", sob analgosedação com "&amp;L265,"")&amp;".",""),IF(M265&lt;&gt;"","Dieta "&amp;M265&amp;IF(N265&lt;&gt;"", ", com "&amp;LOWER(N265),"")&amp;IF(O265&lt;&gt;"", " — "&amp;O265,"")&amp;".",""),IF(P265="Febre","Apresentou episódio febril nas últimas 24h"&amp;IF(Q265&lt;&gt;""," ("&amp;Q265&amp;")","")&amp;".",IF(P265="Afebril","Encontra-se afebril.","")),IF(R265&lt;&gt;"",IF(S265="Sim","Apresenta disfunção renal aguda ","Função renal preservada ")&amp;"("&amp;R265&amp;").",""),IF(T265&lt;&gt;"","Em uso do esquema antimicrobiano com "&amp;T265&amp;".",""),IF(U265&lt;&gt;"","Em uso de profilaxia: "&amp;U265&amp;".",""))&amp;CHAR(10)&amp;CHAR(10)&amp;"2. Farmacoterapia"&amp;CHAR(10)&amp;IF(V265&lt;&gt;"","Corticoide/DART: "&amp;V265,"Sem corticoide/DART registrado.")&amp;CHAR(10)&amp;CHAR(10)&amp;"3. Conduta Farmacêutica"&amp;CHAR(10)&amp;IF(X265&lt;&gt;"","["&amp;W265&amp;"] "&amp;X265&amp;IF(Y265&lt;&gt;"", " ("&amp;Y265&amp;")",""),"Nenhuma intervenção registrada hoje.")&amp;CHAR(10)&amp;CHAR(10)&amp;"4. Plano Terapêutico"&amp;CHAR(10)&amp;IF(AB265&lt;&gt;"",AB265,"Não definido.")</f>
      </c>
    </row>
    <row r="266" spans="3:29" x14ac:dyDescent="0.25">
      <c r="AC266">
        <f>"1. Evolução Clínica"&amp;CHAR(10)&amp;TEXTJOIN(" ",TRUE,"Paciente "&amp;F266&amp;", "&amp;IF(G266="","sem DVA","em uso de "&amp;G266)&amp;".",IF(H266&lt;&gt;"","Em "&amp;H266&amp;IF(AND(H266="VMI",I266&lt;&gt;"")," por "&amp;I266,"")&amp;IF(J266&lt;&gt;""," ("&amp;J266&amp;")","")&amp;IF(K266&lt;&gt;"", ", "&amp;K266,"")&amp;IF(L266&lt;&gt;"", ", sob analgosedação com "&amp;L266,"")&amp;".",""),IF(M266&lt;&gt;"","Dieta "&amp;M266&amp;IF(N266&lt;&gt;"", ", com "&amp;LOWER(N266),"")&amp;IF(O266&lt;&gt;"", " — "&amp;O266,"")&amp;".",""),IF(P266="Febre","Apresentou episódio febril nas últimas 24h"&amp;IF(Q266&lt;&gt;""," ("&amp;Q266&amp;")","")&amp;".",IF(P266="Afebril","Encontra-se afebril.","")),IF(R266&lt;&gt;"",IF(S266="Sim","Apresenta disfunção renal aguda ","Função renal preservada ")&amp;"("&amp;R266&amp;").",""),IF(T266&lt;&gt;"","Em uso do esquema antimicrobiano com "&amp;T266&amp;".",""),IF(U266&lt;&gt;"","Em uso de profilaxia: "&amp;U266&amp;".",""))&amp;CHAR(10)&amp;CHAR(10)&amp;"2. Farmacoterapia"&amp;CHAR(10)&amp;IF(V266&lt;&gt;"","Corticoide/DART: "&amp;V266,"Sem corticoide/DART registrado.")&amp;CHAR(10)&amp;CHAR(10)&amp;"3. Conduta Farmacêutica"&amp;CHAR(10)&amp;IF(X266&lt;&gt;"","["&amp;W266&amp;"] "&amp;X266&amp;IF(Y266&lt;&gt;"", " ("&amp;Y266&amp;")",""),"Nenhuma intervenção registrada hoje.")&amp;CHAR(10)&amp;CHAR(10)&amp;"4. Plano Terapêutico"&amp;CHAR(10)&amp;IF(AB266&lt;&gt;"",AB266,"Não definido.")</f>
      </c>
    </row>
    <row r="267" spans="3:29" x14ac:dyDescent="0.25">
      <c r="AC267">
        <f>"1. Evolução Clínica"&amp;CHAR(10)&amp;TEXTJOIN(" ",TRUE,"Paciente "&amp;F267&amp;", "&amp;IF(G267="","sem DVA","em uso de "&amp;G267)&amp;".",IF(H267&lt;&gt;"","Em "&amp;H267&amp;IF(AND(H267="VMI",I267&lt;&gt;"")," por "&amp;I267,"")&amp;IF(J267&lt;&gt;""," ("&amp;J267&amp;")","")&amp;IF(K267&lt;&gt;"", ", "&amp;K267,"")&amp;IF(L267&lt;&gt;"", ", sob analgosedação com "&amp;L267,"")&amp;".",""),IF(M267&lt;&gt;"","Dieta "&amp;M267&amp;IF(N267&lt;&gt;"", ", com "&amp;LOWER(N267),"")&amp;IF(O267&lt;&gt;"", " — "&amp;O267,"")&amp;".",""),IF(P267="Febre","Apresentou episódio febril nas últimas 24h"&amp;IF(Q267&lt;&gt;""," ("&amp;Q267&amp;")","")&amp;".",IF(P267="Afebril","Encontra-se afebril.","")),IF(R267&lt;&gt;"",IF(S267="Sim","Apresenta disfunção renal aguda ","Função renal preservada ")&amp;"("&amp;R267&amp;").",""),IF(T267&lt;&gt;"","Em uso do esquema antimicrobiano com "&amp;T267&amp;".",""),IF(U267&lt;&gt;"","Em uso de profilaxia: "&amp;U267&amp;".",""))&amp;CHAR(10)&amp;CHAR(10)&amp;"2. Farmacoterapia"&amp;CHAR(10)&amp;IF(V267&lt;&gt;"","Corticoide/DART: "&amp;V267,"Sem corticoide/DART registrado.")&amp;CHAR(10)&amp;CHAR(10)&amp;"3. Conduta Farmacêutica"&amp;CHAR(10)&amp;IF(X267&lt;&gt;"","["&amp;W267&amp;"] "&amp;X267&amp;IF(Y267&lt;&gt;"", " ("&amp;Y267&amp;")",""),"Nenhuma intervenção registrada hoje.")&amp;CHAR(10)&amp;CHAR(10)&amp;"4. Plano Terapêutico"&amp;CHAR(10)&amp;IF(AB267&lt;&gt;"",AB267,"Não definido.")</f>
      </c>
    </row>
    <row r="268" spans="3:29" x14ac:dyDescent="0.25">
      <c r="AC268">
        <f>"1. Evolução Clínica"&amp;CHAR(10)&amp;TEXTJOIN(" ",TRUE,"Paciente "&amp;F268&amp;", "&amp;IF(G268="","sem DVA","em uso de "&amp;G268)&amp;".",IF(H268&lt;&gt;"","Em "&amp;H268&amp;IF(AND(H268="VMI",I268&lt;&gt;"")," por "&amp;I268,"")&amp;IF(J268&lt;&gt;""," ("&amp;J268&amp;")","")&amp;IF(K268&lt;&gt;"", ", "&amp;K268,"")&amp;IF(L268&lt;&gt;"", ", sob analgosedação com "&amp;L268,"")&amp;".",""),IF(M268&lt;&gt;"","Dieta "&amp;M268&amp;IF(N268&lt;&gt;"", ", com "&amp;LOWER(N268),"")&amp;IF(O268&lt;&gt;"", " — "&amp;O268,"")&amp;".",""),IF(P268="Febre","Apresentou episódio febril nas últimas 24h"&amp;IF(Q268&lt;&gt;""," ("&amp;Q268&amp;")","")&amp;".",IF(P268="Afebril","Encontra-se afebril.","")),IF(R268&lt;&gt;"",IF(S268="Sim","Apresenta disfunção renal aguda ","Função renal preservada ")&amp;"("&amp;R268&amp;").",""),IF(T268&lt;&gt;"","Em uso do esquema antimicrobiano com "&amp;T268&amp;".",""),IF(U268&lt;&gt;"","Em uso de profilaxia: "&amp;U268&amp;".",""))&amp;CHAR(10)&amp;CHAR(10)&amp;"2. Farmacoterapia"&amp;CHAR(10)&amp;IF(V268&lt;&gt;"","Corticoide/DART: "&amp;V268,"Sem corticoide/DART registrado.")&amp;CHAR(10)&amp;CHAR(10)&amp;"3. Conduta Farmacêutica"&amp;CHAR(10)&amp;IF(X268&lt;&gt;"","["&amp;W268&amp;"] "&amp;X268&amp;IF(Y268&lt;&gt;"", " ("&amp;Y268&amp;")",""),"Nenhuma intervenção registrada hoje.")&amp;CHAR(10)&amp;CHAR(10)&amp;"4. Plano Terapêutico"&amp;CHAR(10)&amp;IF(AB268&lt;&gt;"",AB268,"Não definido.")</f>
      </c>
    </row>
    <row r="269" spans="3:29" x14ac:dyDescent="0.25">
      <c r="AC269">
        <f>"1. Evolução Clínica"&amp;CHAR(10)&amp;TEXTJOIN(" ",TRUE,"Paciente "&amp;F269&amp;", "&amp;IF(G269="","sem DVA","em uso de "&amp;G269)&amp;".",IF(H269&lt;&gt;"","Em "&amp;H269&amp;IF(AND(H269="VMI",I269&lt;&gt;"")," por "&amp;I269,"")&amp;IF(J269&lt;&gt;""," ("&amp;J269&amp;")","")&amp;IF(K269&lt;&gt;"", ", "&amp;K269,"")&amp;IF(L269&lt;&gt;"", ", sob analgosedação com "&amp;L269,"")&amp;".",""),IF(M269&lt;&gt;"","Dieta "&amp;M269&amp;IF(N269&lt;&gt;"", ", com "&amp;LOWER(N269),"")&amp;IF(O269&lt;&gt;"", " — "&amp;O269,"")&amp;".",""),IF(P269="Febre","Apresentou episódio febril nas últimas 24h"&amp;IF(Q269&lt;&gt;""," ("&amp;Q269&amp;")","")&amp;".",IF(P269="Afebril","Encontra-se afebril.","")),IF(R269&lt;&gt;"",IF(S269="Sim","Apresenta disfunção renal aguda ","Função renal preservada ")&amp;"("&amp;R269&amp;").",""),IF(T269&lt;&gt;"","Em uso do esquema antimicrobiano com "&amp;T269&amp;".",""),IF(U269&lt;&gt;"","Em uso de profilaxia: "&amp;U269&amp;".",""))&amp;CHAR(10)&amp;CHAR(10)&amp;"2. Farmacoterapia"&amp;CHAR(10)&amp;IF(V269&lt;&gt;"","Corticoide/DART: "&amp;V269,"Sem corticoide/DART registrado.")&amp;CHAR(10)&amp;CHAR(10)&amp;"3. Conduta Farmacêutica"&amp;CHAR(10)&amp;IF(X269&lt;&gt;"","["&amp;W269&amp;"] "&amp;X269&amp;IF(Y269&lt;&gt;"", " ("&amp;Y269&amp;")",""),"Nenhuma intervenção registrada hoje.")&amp;CHAR(10)&amp;CHAR(10)&amp;"4. Plano Terapêutico"&amp;CHAR(10)&amp;IF(AB269&lt;&gt;"",AB269,"Não definido.")</f>
      </c>
    </row>
    <row r="270" spans="3:29" x14ac:dyDescent="0.25">
      <c r="AC270">
        <f>"1. Evolução Clínica"&amp;CHAR(10)&amp;TEXTJOIN(" ",TRUE,"Paciente "&amp;F270&amp;", "&amp;IF(G270="","sem DVA","em uso de "&amp;G270)&amp;".",IF(H270&lt;&gt;"","Em "&amp;H270&amp;IF(AND(H270="VMI",I270&lt;&gt;"")," por "&amp;I270,"")&amp;IF(J270&lt;&gt;""," ("&amp;J270&amp;")","")&amp;IF(K270&lt;&gt;"", ", "&amp;K270,"")&amp;IF(L270&lt;&gt;"", ", sob analgosedação com "&amp;L270,"")&amp;".",""),IF(M270&lt;&gt;"","Dieta "&amp;M270&amp;IF(N270&lt;&gt;"", ", com "&amp;LOWER(N270),"")&amp;IF(O270&lt;&gt;"", " — "&amp;O270,"")&amp;".",""),IF(P270="Febre","Apresentou episódio febril nas últimas 24h"&amp;IF(Q270&lt;&gt;""," ("&amp;Q270&amp;")","")&amp;".",IF(P270="Afebril","Encontra-se afebril.","")),IF(R270&lt;&gt;"",IF(S270="Sim","Apresenta disfunção renal aguda ","Função renal preservada ")&amp;"("&amp;R270&amp;").",""),IF(T270&lt;&gt;"","Em uso do esquema antimicrobiano com "&amp;T270&amp;".",""),IF(U270&lt;&gt;"","Em uso de profilaxia: "&amp;U270&amp;".",""))&amp;CHAR(10)&amp;CHAR(10)&amp;"2. Farmacoterapia"&amp;CHAR(10)&amp;IF(V270&lt;&gt;"","Corticoide/DART: "&amp;V270,"Sem corticoide/DART registrado.")&amp;CHAR(10)&amp;CHAR(10)&amp;"3. Conduta Farmacêutica"&amp;CHAR(10)&amp;IF(X270&lt;&gt;"","["&amp;W270&amp;"] "&amp;X270&amp;IF(Y270&lt;&gt;"", " ("&amp;Y270&amp;")",""),"Nenhuma intervenção registrada hoje.")&amp;CHAR(10)&amp;CHAR(10)&amp;"4. Plano Terapêutico"&amp;CHAR(10)&amp;IF(AB270&lt;&gt;"",AB270,"Não definido.")</f>
      </c>
    </row>
    <row r="271" spans="3:29" x14ac:dyDescent="0.25">
      <c r="AC271">
        <f>"1. Evolução Clínica"&amp;CHAR(10)&amp;TEXTJOIN(" ",TRUE,"Paciente "&amp;F271&amp;", "&amp;IF(G271="","sem DVA","em uso de "&amp;G271)&amp;".",IF(H271&lt;&gt;"","Em "&amp;H271&amp;IF(AND(H271="VMI",I271&lt;&gt;"")," por "&amp;I271,"")&amp;IF(J271&lt;&gt;""," ("&amp;J271&amp;")","")&amp;IF(K271&lt;&gt;"", ", "&amp;K271,"")&amp;IF(L271&lt;&gt;"", ", sob analgosedação com "&amp;L271,"")&amp;".",""),IF(M271&lt;&gt;"","Dieta "&amp;M271&amp;IF(N271&lt;&gt;"", ", com "&amp;LOWER(N271),"")&amp;IF(O271&lt;&gt;"", " — "&amp;O271,"")&amp;".",""),IF(P271="Febre","Apresentou episódio febril nas últimas 24h"&amp;IF(Q271&lt;&gt;""," ("&amp;Q271&amp;")","")&amp;".",IF(P271="Afebril","Encontra-se afebril.","")),IF(R271&lt;&gt;"",IF(S271="Sim","Apresenta disfunção renal aguda ","Função renal preservada ")&amp;"("&amp;R271&amp;").",""),IF(T271&lt;&gt;"","Em uso do esquema antimicrobiano com "&amp;T271&amp;".",""),IF(U271&lt;&gt;"","Em uso de profilaxia: "&amp;U271&amp;".",""))&amp;CHAR(10)&amp;CHAR(10)&amp;"2. Farmacoterapia"&amp;CHAR(10)&amp;IF(V271&lt;&gt;"","Corticoide/DART: "&amp;V271,"Sem corticoide/DART registrado.")&amp;CHAR(10)&amp;CHAR(10)&amp;"3. Conduta Farmacêutica"&amp;CHAR(10)&amp;IF(X271&lt;&gt;"","["&amp;W271&amp;"] "&amp;X271&amp;IF(Y271&lt;&gt;"", " ("&amp;Y271&amp;")",""),"Nenhuma intervenção registrada hoje.")&amp;CHAR(10)&amp;CHAR(10)&amp;"4. Plano Terapêutico"&amp;CHAR(10)&amp;IF(AB271&lt;&gt;"",AB271,"Não definido.")</f>
      </c>
    </row>
    <row r="272" spans="3:29" x14ac:dyDescent="0.25">
      <c r="AC272">
        <f>"1. Evolução Clínica"&amp;CHAR(10)&amp;TEXTJOIN(" ",TRUE,"Paciente "&amp;F272&amp;", "&amp;IF(G272="","sem DVA","em uso de "&amp;G272)&amp;".",IF(H272&lt;&gt;"","Em "&amp;H272&amp;IF(AND(H272="VMI",I272&lt;&gt;"")," por "&amp;I272,"")&amp;IF(J272&lt;&gt;""," ("&amp;J272&amp;")","")&amp;IF(K272&lt;&gt;"", ", "&amp;K272,"")&amp;IF(L272&lt;&gt;"", ", sob analgosedação com "&amp;L272,"")&amp;".",""),IF(M272&lt;&gt;"","Dieta "&amp;M272&amp;IF(N272&lt;&gt;"", ", com "&amp;LOWER(N272),"")&amp;IF(O272&lt;&gt;"", " — "&amp;O272,"")&amp;".",""),IF(P272="Febre","Apresentou episódio febril nas últimas 24h"&amp;IF(Q272&lt;&gt;""," ("&amp;Q272&amp;")","")&amp;".",IF(P272="Afebril","Encontra-se afebril.","")),IF(R272&lt;&gt;"",IF(S272="Sim","Apresenta disfunção renal aguda ","Função renal preservada ")&amp;"("&amp;R272&amp;").",""),IF(T272&lt;&gt;"","Em uso do esquema antimicrobiano com "&amp;T272&amp;".",""),IF(U272&lt;&gt;"","Em uso de profilaxia: "&amp;U272&amp;".",""))&amp;CHAR(10)&amp;CHAR(10)&amp;"2. Farmacoterapia"&amp;CHAR(10)&amp;IF(V272&lt;&gt;"","Corticoide/DART: "&amp;V272,"Sem corticoide/DART registrado.")&amp;CHAR(10)&amp;CHAR(10)&amp;"3. Conduta Farmacêutica"&amp;CHAR(10)&amp;IF(X272&lt;&gt;"","["&amp;W272&amp;"] "&amp;X272&amp;IF(Y272&lt;&gt;"", " ("&amp;Y272&amp;")",""),"Nenhuma intervenção registrada hoje.")&amp;CHAR(10)&amp;CHAR(10)&amp;"4. Plano Terapêutico"&amp;CHAR(10)&amp;IF(AB272&lt;&gt;"",AB272,"Não definido.")</f>
      </c>
    </row>
    <row r="273" spans="3:29" x14ac:dyDescent="0.25">
      <c r="AC273">
        <f>"1. Evolução Clínica"&amp;CHAR(10)&amp;TEXTJOIN(" ",TRUE,"Paciente "&amp;F273&amp;", "&amp;IF(G273="","sem DVA","em uso de "&amp;G273)&amp;".",IF(H273&lt;&gt;"","Em "&amp;H273&amp;IF(AND(H273="VMI",I273&lt;&gt;"")," por "&amp;I273,"")&amp;IF(J273&lt;&gt;""," ("&amp;J273&amp;")","")&amp;IF(K273&lt;&gt;"", ", "&amp;K273,"")&amp;IF(L273&lt;&gt;"", ", sob analgosedação com "&amp;L273,"")&amp;".",""),IF(M273&lt;&gt;"","Dieta "&amp;M273&amp;IF(N273&lt;&gt;"", ", com "&amp;LOWER(N273),"")&amp;IF(O273&lt;&gt;"", " — "&amp;O273,"")&amp;".",""),IF(P273="Febre","Apresentou episódio febril nas últimas 24h"&amp;IF(Q273&lt;&gt;""," ("&amp;Q273&amp;")","")&amp;".",IF(P273="Afebril","Encontra-se afebril.","")),IF(R273&lt;&gt;"",IF(S273="Sim","Apresenta disfunção renal aguda ","Função renal preservada ")&amp;"("&amp;R273&amp;").",""),IF(T273&lt;&gt;"","Em uso do esquema antimicrobiano com "&amp;T273&amp;".",""),IF(U273&lt;&gt;"","Em uso de profilaxia: "&amp;U273&amp;".",""))&amp;CHAR(10)&amp;CHAR(10)&amp;"2. Farmacoterapia"&amp;CHAR(10)&amp;IF(V273&lt;&gt;"","Corticoide/DART: "&amp;V273,"Sem corticoide/DART registrado.")&amp;CHAR(10)&amp;CHAR(10)&amp;"3. Conduta Farmacêutica"&amp;CHAR(10)&amp;IF(X273&lt;&gt;"","["&amp;W273&amp;"] "&amp;X273&amp;IF(Y273&lt;&gt;"", " ("&amp;Y273&amp;")",""),"Nenhuma intervenção registrada hoje.")&amp;CHAR(10)&amp;CHAR(10)&amp;"4. Plano Terapêutico"&amp;CHAR(10)&amp;IF(AB273&lt;&gt;"",AB273,"Não definido.")</f>
      </c>
    </row>
    <row r="274" spans="3:29" x14ac:dyDescent="0.25">
      <c r="AC274">
        <f>"1. Evolução Clínica"&amp;CHAR(10)&amp;TEXTJOIN(" ",TRUE,"Paciente "&amp;F274&amp;", "&amp;IF(G274="","sem DVA","em uso de "&amp;G274)&amp;".",IF(H274&lt;&gt;"","Em "&amp;H274&amp;IF(AND(H274="VMI",I274&lt;&gt;"")," por "&amp;I274,"")&amp;IF(J274&lt;&gt;""," ("&amp;J274&amp;")","")&amp;IF(K274&lt;&gt;"", ", "&amp;K274,"")&amp;IF(L274&lt;&gt;"", ", sob analgosedação com "&amp;L274,"")&amp;".",""),IF(M274&lt;&gt;"","Dieta "&amp;M274&amp;IF(N274&lt;&gt;"", ", com "&amp;LOWER(N274),"")&amp;IF(O274&lt;&gt;"", " — "&amp;O274,"")&amp;".",""),IF(P274="Febre","Apresentou episódio febril nas últimas 24h"&amp;IF(Q274&lt;&gt;""," ("&amp;Q274&amp;")","")&amp;".",IF(P274="Afebril","Encontra-se afebril.","")),IF(R274&lt;&gt;"",IF(S274="Sim","Apresenta disfunção renal aguda ","Função renal preservada ")&amp;"("&amp;R274&amp;").",""),IF(T274&lt;&gt;"","Em uso do esquema antimicrobiano com "&amp;T274&amp;".",""),IF(U274&lt;&gt;"","Em uso de profilaxia: "&amp;U274&amp;".",""))&amp;CHAR(10)&amp;CHAR(10)&amp;"2. Farmacoterapia"&amp;CHAR(10)&amp;IF(V274&lt;&gt;"","Corticoide/DART: "&amp;V274,"Sem corticoide/DART registrado.")&amp;CHAR(10)&amp;CHAR(10)&amp;"3. Conduta Farmacêutica"&amp;CHAR(10)&amp;IF(X274&lt;&gt;"","["&amp;W274&amp;"] "&amp;X274&amp;IF(Y274&lt;&gt;"", " ("&amp;Y274&amp;")",""),"Nenhuma intervenção registrada hoje.")&amp;CHAR(10)&amp;CHAR(10)&amp;"4. Plano Terapêutico"&amp;CHAR(10)&amp;IF(AB274&lt;&gt;"",AB274,"Não definido.")</f>
      </c>
    </row>
    <row r="275" spans="3:29" x14ac:dyDescent="0.25">
      <c r="AC275">
        <f>"1. Evolução Clínica"&amp;CHAR(10)&amp;TEXTJOIN(" ",TRUE,"Paciente "&amp;F275&amp;", "&amp;IF(G275="","sem DVA","em uso de "&amp;G275)&amp;".",IF(H275&lt;&gt;"","Em "&amp;H275&amp;IF(AND(H275="VMI",I275&lt;&gt;"")," por "&amp;I275,"")&amp;IF(J275&lt;&gt;""," ("&amp;J275&amp;")","")&amp;IF(K275&lt;&gt;"", ", "&amp;K275,"")&amp;IF(L275&lt;&gt;"", ", sob analgosedação com "&amp;L275,"")&amp;".",""),IF(M275&lt;&gt;"","Dieta "&amp;M275&amp;IF(N275&lt;&gt;"", ", com "&amp;LOWER(N275),"")&amp;IF(O275&lt;&gt;"", " — "&amp;O275,"")&amp;".",""),IF(P275="Febre","Apresentou episódio febril nas últimas 24h"&amp;IF(Q275&lt;&gt;""," ("&amp;Q275&amp;")","")&amp;".",IF(P275="Afebril","Encontra-se afebril.","")),IF(R275&lt;&gt;"",IF(S275="Sim","Apresenta disfunção renal aguda ","Função renal preservada ")&amp;"("&amp;R275&amp;").",""),IF(T275&lt;&gt;"","Em uso do esquema antimicrobiano com "&amp;T275&amp;".",""),IF(U275&lt;&gt;"","Em uso de profilaxia: "&amp;U275&amp;".",""))&amp;CHAR(10)&amp;CHAR(10)&amp;"2. Farmacoterapia"&amp;CHAR(10)&amp;IF(V275&lt;&gt;"","Corticoide/DART: "&amp;V275,"Sem corticoide/DART registrado.")&amp;CHAR(10)&amp;CHAR(10)&amp;"3. Conduta Farmacêutica"&amp;CHAR(10)&amp;IF(X275&lt;&gt;"","["&amp;W275&amp;"] "&amp;X275&amp;IF(Y275&lt;&gt;"", " ("&amp;Y275&amp;")",""),"Nenhuma intervenção registrada hoje.")&amp;CHAR(10)&amp;CHAR(10)&amp;"4. Plano Terapêutico"&amp;CHAR(10)&amp;IF(AB275&lt;&gt;"",AB275,"Não definido.")</f>
      </c>
    </row>
    <row r="276" spans="3:29" x14ac:dyDescent="0.25">
      <c r="AC276">
        <f>"1. Evolução Clínica"&amp;CHAR(10)&amp;TEXTJOIN(" ",TRUE,"Paciente "&amp;F276&amp;", "&amp;IF(G276="","sem DVA","em uso de "&amp;G276)&amp;".",IF(H276&lt;&gt;"","Em "&amp;H276&amp;IF(AND(H276="VMI",I276&lt;&gt;"")," por "&amp;I276,"")&amp;IF(J276&lt;&gt;""," ("&amp;J276&amp;")","")&amp;IF(K276&lt;&gt;"", ", "&amp;K276,"")&amp;IF(L276&lt;&gt;"", ", sob analgosedação com "&amp;L276,"")&amp;".",""),IF(M276&lt;&gt;"","Dieta "&amp;M276&amp;IF(N276&lt;&gt;"", ", com "&amp;LOWER(N276),"")&amp;IF(O276&lt;&gt;"", " — "&amp;O276,"")&amp;".",""),IF(P276="Febre","Apresentou episódio febril nas últimas 24h"&amp;IF(Q276&lt;&gt;""," ("&amp;Q276&amp;")","")&amp;".",IF(P276="Afebril","Encontra-se afebril.","")),IF(R276&lt;&gt;"",IF(S276="Sim","Apresenta disfunção renal aguda ","Função renal preservada ")&amp;"("&amp;R276&amp;").",""),IF(T276&lt;&gt;"","Em uso do esquema antimicrobiano com "&amp;T276&amp;".",""),IF(U276&lt;&gt;"","Em uso de profilaxia: "&amp;U276&amp;".",""))&amp;CHAR(10)&amp;CHAR(10)&amp;"2. Farmacoterapia"&amp;CHAR(10)&amp;IF(V276&lt;&gt;"","Corticoide/DART: "&amp;V276,"Sem corticoide/DART registrado.")&amp;CHAR(10)&amp;CHAR(10)&amp;"3. Conduta Farmacêutica"&amp;CHAR(10)&amp;IF(X276&lt;&gt;"","["&amp;W276&amp;"] "&amp;X276&amp;IF(Y276&lt;&gt;"", " ("&amp;Y276&amp;")",""),"Nenhuma intervenção registrada hoje.")&amp;CHAR(10)&amp;CHAR(10)&amp;"4. Plano Terapêutico"&amp;CHAR(10)&amp;IF(AB276&lt;&gt;"",AB276,"Não definido.")</f>
      </c>
    </row>
    <row r="277" spans="3:29" x14ac:dyDescent="0.25">
      <c r="AC277">
        <f>"1. Evolução Clínica"&amp;CHAR(10)&amp;TEXTJOIN(" ",TRUE,"Paciente "&amp;F277&amp;", "&amp;IF(G277="","sem DVA","em uso de "&amp;G277)&amp;".",IF(H277&lt;&gt;"","Em "&amp;H277&amp;IF(AND(H277="VMI",I277&lt;&gt;"")," por "&amp;I277,"")&amp;IF(J277&lt;&gt;""," ("&amp;J277&amp;")","")&amp;IF(K277&lt;&gt;"", ", "&amp;K277,"")&amp;IF(L277&lt;&gt;"", ", sob analgosedação com "&amp;L277,"")&amp;".",""),IF(M277&lt;&gt;"","Dieta "&amp;M277&amp;IF(N277&lt;&gt;"", ", com "&amp;LOWER(N277),"")&amp;IF(O277&lt;&gt;"", " — "&amp;O277,"")&amp;".",""),IF(P277="Febre","Apresentou episódio febril nas últimas 24h"&amp;IF(Q277&lt;&gt;""," ("&amp;Q277&amp;")","")&amp;".",IF(P277="Afebril","Encontra-se afebril.","")),IF(R277&lt;&gt;"",IF(S277="Sim","Apresenta disfunção renal aguda ","Função renal preservada ")&amp;"("&amp;R277&amp;").",""),IF(T277&lt;&gt;"","Em uso do esquema antimicrobiano com "&amp;T277&amp;".",""),IF(U277&lt;&gt;"","Em uso de profilaxia: "&amp;U277&amp;".",""))&amp;CHAR(10)&amp;CHAR(10)&amp;"2. Farmacoterapia"&amp;CHAR(10)&amp;IF(V277&lt;&gt;"","Corticoide/DART: "&amp;V277,"Sem corticoide/DART registrado.")&amp;CHAR(10)&amp;CHAR(10)&amp;"3. Conduta Farmacêutica"&amp;CHAR(10)&amp;IF(X277&lt;&gt;"","["&amp;W277&amp;"] "&amp;X277&amp;IF(Y277&lt;&gt;"", " ("&amp;Y277&amp;")",""),"Nenhuma intervenção registrada hoje.")&amp;CHAR(10)&amp;CHAR(10)&amp;"4. Plano Terapêutico"&amp;CHAR(10)&amp;IF(AB277&lt;&gt;"",AB277,"Não definido.")</f>
      </c>
    </row>
    <row r="278" spans="3:29" x14ac:dyDescent="0.25">
      <c r="AC278">
        <f>"1. Evolução Clínica"&amp;CHAR(10)&amp;TEXTJOIN(" ",TRUE,"Paciente "&amp;F278&amp;", "&amp;IF(G278="","sem DVA","em uso de "&amp;G278)&amp;".",IF(H278&lt;&gt;"","Em "&amp;H278&amp;IF(AND(H278="VMI",I278&lt;&gt;"")," por "&amp;I278,"")&amp;IF(J278&lt;&gt;""," ("&amp;J278&amp;")","")&amp;IF(K278&lt;&gt;"", ", "&amp;K278,"")&amp;IF(L278&lt;&gt;"", ", sob analgosedação com "&amp;L278,"")&amp;".",""),IF(M278&lt;&gt;"","Dieta "&amp;M278&amp;IF(N278&lt;&gt;"", ", com "&amp;LOWER(N278),"")&amp;IF(O278&lt;&gt;"", " — "&amp;O278,"")&amp;".",""),IF(P278="Febre","Apresentou episódio febril nas últimas 24h"&amp;IF(Q278&lt;&gt;""," ("&amp;Q278&amp;")","")&amp;".",IF(P278="Afebril","Encontra-se afebril.","")),IF(R278&lt;&gt;"",IF(S278="Sim","Apresenta disfunção renal aguda ","Função renal preservada ")&amp;"("&amp;R278&amp;").",""),IF(T278&lt;&gt;"","Em uso do esquema antimicrobiano com "&amp;T278&amp;".",""),IF(U278&lt;&gt;"","Em uso de profilaxia: "&amp;U278&amp;".",""))&amp;CHAR(10)&amp;CHAR(10)&amp;"2. Farmacoterapia"&amp;CHAR(10)&amp;IF(V278&lt;&gt;"","Corticoide/DART: "&amp;V278,"Sem corticoide/DART registrado.")&amp;CHAR(10)&amp;CHAR(10)&amp;"3. Conduta Farmacêutica"&amp;CHAR(10)&amp;IF(X278&lt;&gt;"","["&amp;W278&amp;"] "&amp;X278&amp;IF(Y278&lt;&gt;"", " ("&amp;Y278&amp;")",""),"Nenhuma intervenção registrada hoje.")&amp;CHAR(10)&amp;CHAR(10)&amp;"4. Plano Terapêutico"&amp;CHAR(10)&amp;IF(AB278&lt;&gt;"",AB278,"Não definido.")</f>
      </c>
    </row>
    <row r="279" spans="3:29" x14ac:dyDescent="0.25">
      <c r="AC279">
        <f>"1. Evolução Clínica"&amp;CHAR(10)&amp;TEXTJOIN(" ",TRUE,"Paciente "&amp;F279&amp;", "&amp;IF(G279="","sem DVA","em uso de "&amp;G279)&amp;".",IF(H279&lt;&gt;"","Em "&amp;H279&amp;IF(AND(H279="VMI",I279&lt;&gt;"")," por "&amp;I279,"")&amp;IF(J279&lt;&gt;""," ("&amp;J279&amp;")","")&amp;IF(K279&lt;&gt;"", ", "&amp;K279,"")&amp;IF(L279&lt;&gt;"", ", sob analgosedação com "&amp;L279,"")&amp;".",""),IF(M279&lt;&gt;"","Dieta "&amp;M279&amp;IF(N279&lt;&gt;"", ", com "&amp;LOWER(N279),"")&amp;IF(O279&lt;&gt;"", " — "&amp;O279,"")&amp;".",""),IF(P279="Febre","Apresentou episódio febril nas últimas 24h"&amp;IF(Q279&lt;&gt;""," ("&amp;Q279&amp;")","")&amp;".",IF(P279="Afebril","Encontra-se afebril.","")),IF(R279&lt;&gt;"",IF(S279="Sim","Apresenta disfunção renal aguda ","Função renal preservada ")&amp;"("&amp;R279&amp;").",""),IF(T279&lt;&gt;"","Em uso do esquema antimicrobiano com "&amp;T279&amp;".",""),IF(U279&lt;&gt;"","Em uso de profilaxia: "&amp;U279&amp;".",""))&amp;CHAR(10)&amp;CHAR(10)&amp;"2. Farmacoterapia"&amp;CHAR(10)&amp;IF(V279&lt;&gt;"","Corticoide/DART: "&amp;V279,"Sem corticoide/DART registrado.")&amp;CHAR(10)&amp;CHAR(10)&amp;"3. Conduta Farmacêutica"&amp;CHAR(10)&amp;IF(X279&lt;&gt;"","["&amp;W279&amp;"] "&amp;X279&amp;IF(Y279&lt;&gt;"", " ("&amp;Y279&amp;")",""),"Nenhuma intervenção registrada hoje.")&amp;CHAR(10)&amp;CHAR(10)&amp;"4. Plano Terapêutico"&amp;CHAR(10)&amp;IF(AB279&lt;&gt;"",AB279,"Não definido.")</f>
      </c>
    </row>
    <row r="280" spans="3:29" x14ac:dyDescent="0.25">
      <c r="AC280">
        <f>"1. Evolução Clínica"&amp;CHAR(10)&amp;TEXTJOIN(" ",TRUE,"Paciente "&amp;F280&amp;", "&amp;IF(G280="","sem DVA","em uso de "&amp;G280)&amp;".",IF(H280&lt;&gt;"","Em "&amp;H280&amp;IF(AND(H280="VMI",I280&lt;&gt;"")," por "&amp;I280,"")&amp;IF(J280&lt;&gt;""," ("&amp;J280&amp;")","")&amp;IF(K280&lt;&gt;"", ", "&amp;K280,"")&amp;IF(L280&lt;&gt;"", ", sob analgosedação com "&amp;L280,"")&amp;".",""),IF(M280&lt;&gt;"","Dieta "&amp;M280&amp;IF(N280&lt;&gt;"", ", com "&amp;LOWER(N280),"")&amp;IF(O280&lt;&gt;"", " — "&amp;O280,"")&amp;".",""),IF(P280="Febre","Apresentou episódio febril nas últimas 24h"&amp;IF(Q280&lt;&gt;""," ("&amp;Q280&amp;")","")&amp;".",IF(P280="Afebril","Encontra-se afebril.","")),IF(R280&lt;&gt;"",IF(S280="Sim","Apresenta disfunção renal aguda ","Função renal preservada ")&amp;"("&amp;R280&amp;").",""),IF(T280&lt;&gt;"","Em uso do esquema antimicrobiano com "&amp;T280&amp;".",""),IF(U280&lt;&gt;"","Em uso de profilaxia: "&amp;U280&amp;".",""))&amp;CHAR(10)&amp;CHAR(10)&amp;"2. Farmacoterapia"&amp;CHAR(10)&amp;IF(V280&lt;&gt;"","Corticoide/DART: "&amp;V280,"Sem corticoide/DART registrado.")&amp;CHAR(10)&amp;CHAR(10)&amp;"3. Conduta Farmacêutica"&amp;CHAR(10)&amp;IF(X280&lt;&gt;"","["&amp;W280&amp;"] "&amp;X280&amp;IF(Y280&lt;&gt;"", " ("&amp;Y280&amp;")",""),"Nenhuma intervenção registrada hoje.")&amp;CHAR(10)&amp;CHAR(10)&amp;"4. Plano Terapêutico"&amp;CHAR(10)&amp;IF(AB280&lt;&gt;"",AB280,"Não definido.")</f>
      </c>
    </row>
    <row r="281" spans="3:29" x14ac:dyDescent="0.25">
      <c r="AC281">
        <f>"1. Evolução Clínica"&amp;CHAR(10)&amp;TEXTJOIN(" ",TRUE,"Paciente "&amp;F281&amp;", "&amp;IF(G281="","sem DVA","em uso de "&amp;G281)&amp;".",IF(H281&lt;&gt;"","Em "&amp;H281&amp;IF(AND(H281="VMI",I281&lt;&gt;"")," por "&amp;I281,"")&amp;IF(J281&lt;&gt;""," ("&amp;J281&amp;")","")&amp;IF(K281&lt;&gt;"", ", "&amp;K281,"")&amp;IF(L281&lt;&gt;"", ", sob analgosedação com "&amp;L281,"")&amp;".",""),IF(M281&lt;&gt;"","Dieta "&amp;M281&amp;IF(N281&lt;&gt;"", ", com "&amp;LOWER(N281),"")&amp;IF(O281&lt;&gt;"", " — "&amp;O281,"")&amp;".",""),IF(P281="Febre","Apresentou episódio febril nas últimas 24h"&amp;IF(Q281&lt;&gt;""," ("&amp;Q281&amp;")","")&amp;".",IF(P281="Afebril","Encontra-se afebril.","")),IF(R281&lt;&gt;"",IF(S281="Sim","Apresenta disfunção renal aguda ","Função renal preservada ")&amp;"("&amp;R281&amp;").",""),IF(T281&lt;&gt;"","Em uso do esquema antimicrobiano com "&amp;T281&amp;".",""),IF(U281&lt;&gt;"","Em uso de profilaxia: "&amp;U281&amp;".",""))&amp;CHAR(10)&amp;CHAR(10)&amp;"2. Farmacoterapia"&amp;CHAR(10)&amp;IF(V281&lt;&gt;"","Corticoide/DART: "&amp;V281,"Sem corticoide/DART registrado.")&amp;CHAR(10)&amp;CHAR(10)&amp;"3. Conduta Farmacêutica"&amp;CHAR(10)&amp;IF(X281&lt;&gt;"","["&amp;W281&amp;"] "&amp;X281&amp;IF(Y281&lt;&gt;"", " ("&amp;Y281&amp;")",""),"Nenhuma intervenção registrada hoje.")&amp;CHAR(10)&amp;CHAR(10)&amp;"4. Plano Terapêutico"&amp;CHAR(10)&amp;IF(AB281&lt;&gt;"",AB281,"Não definido.")</f>
      </c>
    </row>
    <row r="282" spans="3:29" x14ac:dyDescent="0.25">
      <c r="AC282">
        <f>"1. Evolução Clínica"&amp;CHAR(10)&amp;TEXTJOIN(" ",TRUE,"Paciente "&amp;F282&amp;", "&amp;IF(G282="","sem DVA","em uso de "&amp;G282)&amp;".",IF(H282&lt;&gt;"","Em "&amp;H282&amp;IF(AND(H282="VMI",I282&lt;&gt;"")," por "&amp;I282,"")&amp;IF(J282&lt;&gt;""," ("&amp;J282&amp;")","")&amp;IF(K282&lt;&gt;"", ", "&amp;K282,"")&amp;IF(L282&lt;&gt;"", ", sob analgosedação com "&amp;L282,"")&amp;".",""),IF(M282&lt;&gt;"","Dieta "&amp;M282&amp;IF(N282&lt;&gt;"", ", com "&amp;LOWER(N282),"")&amp;IF(O282&lt;&gt;"", " — "&amp;O282,"")&amp;".",""),IF(P282="Febre","Apresentou episódio febril nas últimas 24h"&amp;IF(Q282&lt;&gt;""," ("&amp;Q282&amp;")","")&amp;".",IF(P282="Afebril","Encontra-se afebril.","")),IF(R282&lt;&gt;"",IF(S282="Sim","Apresenta disfunção renal aguda ","Função renal preservada ")&amp;"("&amp;R282&amp;").",""),IF(T282&lt;&gt;"","Em uso do esquema antimicrobiano com "&amp;T282&amp;".",""),IF(U282&lt;&gt;"","Em uso de profilaxia: "&amp;U282&amp;".",""))&amp;CHAR(10)&amp;CHAR(10)&amp;"2. Farmacoterapia"&amp;CHAR(10)&amp;IF(V282&lt;&gt;"","Corticoide/DART: "&amp;V282,"Sem corticoide/DART registrado.")&amp;CHAR(10)&amp;CHAR(10)&amp;"3. Conduta Farmacêutica"&amp;CHAR(10)&amp;IF(X282&lt;&gt;"","["&amp;W282&amp;"] "&amp;X282&amp;IF(Y282&lt;&gt;"", " ("&amp;Y282&amp;")",""),"Nenhuma intervenção registrada hoje.")&amp;CHAR(10)&amp;CHAR(10)&amp;"4. Plano Terapêutico"&amp;CHAR(10)&amp;IF(AB282&lt;&gt;"",AB282,"Não definido.")</f>
      </c>
    </row>
    <row r="283" spans="3:29" x14ac:dyDescent="0.25">
      <c r="AC283">
        <f>"1. Evolução Clínica"&amp;CHAR(10)&amp;TEXTJOIN(" ",TRUE,"Paciente "&amp;F283&amp;", "&amp;IF(G283="","sem DVA","em uso de "&amp;G283)&amp;".",IF(H283&lt;&gt;"","Em "&amp;H283&amp;IF(AND(H283="VMI",I283&lt;&gt;"")," por "&amp;I283,"")&amp;IF(J283&lt;&gt;""," ("&amp;J283&amp;")","")&amp;IF(K283&lt;&gt;"", ", "&amp;K283,"")&amp;IF(L283&lt;&gt;"", ", sob analgosedação com "&amp;L283,"")&amp;".",""),IF(M283&lt;&gt;"","Dieta "&amp;M283&amp;IF(N283&lt;&gt;"", ", com "&amp;LOWER(N283),"")&amp;IF(O283&lt;&gt;"", " — "&amp;O283,"")&amp;".",""),IF(P283="Febre","Apresentou episódio febril nas últimas 24h"&amp;IF(Q283&lt;&gt;""," ("&amp;Q283&amp;")","")&amp;".",IF(P283="Afebril","Encontra-se afebril.","")),IF(R283&lt;&gt;"",IF(S283="Sim","Apresenta disfunção renal aguda ","Função renal preservada ")&amp;"("&amp;R283&amp;").",""),IF(T283&lt;&gt;"","Em uso do esquema antimicrobiano com "&amp;T283&amp;".",""),IF(U283&lt;&gt;"","Em uso de profilaxia: "&amp;U283&amp;".",""))&amp;CHAR(10)&amp;CHAR(10)&amp;"2. Farmacoterapia"&amp;CHAR(10)&amp;IF(V283&lt;&gt;"","Corticoide/DART: "&amp;V283,"Sem corticoide/DART registrado.")&amp;CHAR(10)&amp;CHAR(10)&amp;"3. Conduta Farmacêutica"&amp;CHAR(10)&amp;IF(X283&lt;&gt;"","["&amp;W283&amp;"] "&amp;X283&amp;IF(Y283&lt;&gt;"", " ("&amp;Y283&amp;")",""),"Nenhuma intervenção registrada hoje.")&amp;CHAR(10)&amp;CHAR(10)&amp;"4. Plano Terapêutico"&amp;CHAR(10)&amp;IF(AB283&lt;&gt;"",AB283,"Não definido.")</f>
      </c>
    </row>
    <row r="284" spans="3:29" x14ac:dyDescent="0.25">
      <c r="AC284">
        <f>"1. Evolução Clínica"&amp;CHAR(10)&amp;TEXTJOIN(" ",TRUE,"Paciente "&amp;F284&amp;", "&amp;IF(G284="","sem DVA","em uso de "&amp;G284)&amp;".",IF(H284&lt;&gt;"","Em "&amp;H284&amp;IF(AND(H284="VMI",I284&lt;&gt;"")," por "&amp;I284,"")&amp;IF(J284&lt;&gt;""," ("&amp;J284&amp;")","")&amp;IF(K284&lt;&gt;"", ", "&amp;K284,"")&amp;IF(L284&lt;&gt;"", ", sob analgosedação com "&amp;L284,"")&amp;".",""),IF(M284&lt;&gt;"","Dieta "&amp;M284&amp;IF(N284&lt;&gt;"", ", com "&amp;LOWER(N284),"")&amp;IF(O284&lt;&gt;"", " — "&amp;O284,"")&amp;".",""),IF(P284="Febre","Apresentou episódio febril nas últimas 24h"&amp;IF(Q284&lt;&gt;""," ("&amp;Q284&amp;")","")&amp;".",IF(P284="Afebril","Encontra-se afebril.","")),IF(R284&lt;&gt;"",IF(S284="Sim","Apresenta disfunção renal aguda ","Função renal preservada ")&amp;"("&amp;R284&amp;").",""),IF(T284&lt;&gt;"","Em uso do esquema antimicrobiano com "&amp;T284&amp;".",""),IF(U284&lt;&gt;"","Em uso de profilaxia: "&amp;U284&amp;".",""))&amp;CHAR(10)&amp;CHAR(10)&amp;"2. Farmacoterapia"&amp;CHAR(10)&amp;IF(V284&lt;&gt;"","Corticoide/DART: "&amp;V284,"Sem corticoide/DART registrado.")&amp;CHAR(10)&amp;CHAR(10)&amp;"3. Conduta Farmacêutica"&amp;CHAR(10)&amp;IF(X284&lt;&gt;"","["&amp;W284&amp;"] "&amp;X284&amp;IF(Y284&lt;&gt;"", " ("&amp;Y284&amp;")",""),"Nenhuma intervenção registrada hoje.")&amp;CHAR(10)&amp;CHAR(10)&amp;"4. Plano Terapêutico"&amp;CHAR(10)&amp;IF(AB284&lt;&gt;"",AB284,"Não definido.")</f>
      </c>
    </row>
    <row r="285" spans="3:29" x14ac:dyDescent="0.25">
      <c r="AC285">
        <f>"1. Evolução Clínica"&amp;CHAR(10)&amp;TEXTJOIN(" ",TRUE,"Paciente "&amp;F285&amp;", "&amp;IF(G285="","sem DVA","em uso de "&amp;G285)&amp;".",IF(H285&lt;&gt;"","Em "&amp;H285&amp;IF(AND(H285="VMI",I285&lt;&gt;"")," por "&amp;I285,"")&amp;IF(J285&lt;&gt;""," ("&amp;J285&amp;")","")&amp;IF(K285&lt;&gt;"", ", "&amp;K285,"")&amp;IF(L285&lt;&gt;"", ", sob analgosedação com "&amp;L285,"")&amp;".",""),IF(M285&lt;&gt;"","Dieta "&amp;M285&amp;IF(N285&lt;&gt;"", ", com "&amp;LOWER(N285),"")&amp;IF(O285&lt;&gt;"", " — "&amp;O285,"")&amp;".",""),IF(P285="Febre","Apresentou episódio febril nas últimas 24h"&amp;IF(Q285&lt;&gt;""," ("&amp;Q285&amp;")","")&amp;".",IF(P285="Afebril","Encontra-se afebril.","")),IF(R285&lt;&gt;"",IF(S285="Sim","Apresenta disfunção renal aguda ","Função renal preservada ")&amp;"("&amp;R285&amp;").",""),IF(T285&lt;&gt;"","Em uso do esquema antimicrobiano com "&amp;T285&amp;".",""),IF(U285&lt;&gt;"","Em uso de profilaxia: "&amp;U285&amp;".",""))&amp;CHAR(10)&amp;CHAR(10)&amp;"2. Farmacoterapia"&amp;CHAR(10)&amp;IF(V285&lt;&gt;"","Corticoide/DART: "&amp;V285,"Sem corticoide/DART registrado.")&amp;CHAR(10)&amp;CHAR(10)&amp;"3. Conduta Farmacêutica"&amp;CHAR(10)&amp;IF(X285&lt;&gt;"","["&amp;W285&amp;"] "&amp;X285&amp;IF(Y285&lt;&gt;"", " ("&amp;Y285&amp;")",""),"Nenhuma intervenção registrada hoje.")&amp;CHAR(10)&amp;CHAR(10)&amp;"4. Plano Terapêutico"&amp;CHAR(10)&amp;IF(AB285&lt;&gt;"",AB285,"Não definido.")</f>
      </c>
    </row>
    <row r="286" spans="3:29" x14ac:dyDescent="0.25">
      <c r="AC286">
        <f>"1. Evolução Clínica"&amp;CHAR(10)&amp;TEXTJOIN(" ",TRUE,"Paciente "&amp;F286&amp;", "&amp;IF(G286="","sem DVA","em uso de "&amp;G286)&amp;".",IF(H286&lt;&gt;"","Em "&amp;H286&amp;IF(AND(H286="VMI",I286&lt;&gt;"")," por "&amp;I286,"")&amp;IF(J286&lt;&gt;""," ("&amp;J286&amp;")","")&amp;IF(K286&lt;&gt;"", ", "&amp;K286,"")&amp;IF(L286&lt;&gt;"", ", sob analgosedação com "&amp;L286,"")&amp;".",""),IF(M286&lt;&gt;"","Dieta "&amp;M286&amp;IF(N286&lt;&gt;"", ", com "&amp;LOWER(N286),"")&amp;IF(O286&lt;&gt;"", " — "&amp;O286,"")&amp;".",""),IF(P286="Febre","Apresentou episódio febril nas últimas 24h"&amp;IF(Q286&lt;&gt;""," ("&amp;Q286&amp;")","")&amp;".",IF(P286="Afebril","Encontra-se afebril.","")),IF(R286&lt;&gt;"",IF(S286="Sim","Apresenta disfunção renal aguda ","Função renal preservada ")&amp;"("&amp;R286&amp;").",""),IF(T286&lt;&gt;"","Em uso do esquema antimicrobiano com "&amp;T286&amp;".",""),IF(U286&lt;&gt;"","Em uso de profilaxia: "&amp;U286&amp;".",""))&amp;CHAR(10)&amp;CHAR(10)&amp;"2. Farmacoterapia"&amp;CHAR(10)&amp;IF(V286&lt;&gt;"","Corticoide/DART: "&amp;V286,"Sem corticoide/DART registrado.")&amp;CHAR(10)&amp;CHAR(10)&amp;"3. Conduta Farmacêutica"&amp;CHAR(10)&amp;IF(X286&lt;&gt;"","["&amp;W286&amp;"] "&amp;X286&amp;IF(Y286&lt;&gt;"", " ("&amp;Y286&amp;")",""),"Nenhuma intervenção registrada hoje.")&amp;CHAR(10)&amp;CHAR(10)&amp;"4. Plano Terapêutico"&amp;CHAR(10)&amp;IF(AB286&lt;&gt;"",AB286,"Não definido.")</f>
      </c>
    </row>
    <row r="287" spans="3:29" x14ac:dyDescent="0.25">
      <c r="AC287">
        <f>"1. Evolução Clínica"&amp;CHAR(10)&amp;TEXTJOIN(" ",TRUE,"Paciente "&amp;F287&amp;", "&amp;IF(G287="","sem DVA","em uso de "&amp;G287)&amp;".",IF(H287&lt;&gt;"","Em "&amp;H287&amp;IF(AND(H287="VMI",I287&lt;&gt;"")," por "&amp;I287,"")&amp;IF(J287&lt;&gt;""," ("&amp;J287&amp;")","")&amp;IF(K287&lt;&gt;"", ", "&amp;K287,"")&amp;IF(L287&lt;&gt;"", ", sob analgosedação com "&amp;L287,"")&amp;".",""),IF(M287&lt;&gt;"","Dieta "&amp;M287&amp;IF(N287&lt;&gt;"", ", com "&amp;LOWER(N287),"")&amp;IF(O287&lt;&gt;"", " — "&amp;O287,"")&amp;".",""),IF(P287="Febre","Apresentou episódio febril nas últimas 24h"&amp;IF(Q287&lt;&gt;""," ("&amp;Q287&amp;")","")&amp;".",IF(P287="Afebril","Encontra-se afebril.","")),IF(R287&lt;&gt;"",IF(S287="Sim","Apresenta disfunção renal aguda ","Função renal preservada ")&amp;"("&amp;R287&amp;").",""),IF(T287&lt;&gt;"","Em uso do esquema antimicrobiano com "&amp;T287&amp;".",""),IF(U287&lt;&gt;"","Em uso de profilaxia: "&amp;U287&amp;".",""))&amp;CHAR(10)&amp;CHAR(10)&amp;"2. Farmacoterapia"&amp;CHAR(10)&amp;IF(V287&lt;&gt;"","Corticoide/DART: "&amp;V287,"Sem corticoide/DART registrado.")&amp;CHAR(10)&amp;CHAR(10)&amp;"3. Conduta Farmacêutica"&amp;CHAR(10)&amp;IF(X287&lt;&gt;"","["&amp;W287&amp;"] "&amp;X287&amp;IF(Y287&lt;&gt;"", " ("&amp;Y287&amp;")",""),"Nenhuma intervenção registrada hoje.")&amp;CHAR(10)&amp;CHAR(10)&amp;"4. Plano Terapêutico"&amp;CHAR(10)&amp;IF(AB287&lt;&gt;"",AB287,"Não definido.")</f>
      </c>
    </row>
    <row r="288" spans="3:29" x14ac:dyDescent="0.25">
      <c r="AC288">
        <f>"1. Evolução Clínica"&amp;CHAR(10)&amp;TEXTJOIN(" ",TRUE,"Paciente "&amp;F288&amp;", "&amp;IF(G288="","sem DVA","em uso de "&amp;G288)&amp;".",IF(H288&lt;&gt;"","Em "&amp;H288&amp;IF(AND(H288="VMI",I288&lt;&gt;"")," por "&amp;I288,"")&amp;IF(J288&lt;&gt;""," ("&amp;J288&amp;")","")&amp;IF(K288&lt;&gt;"", ", "&amp;K288,"")&amp;IF(L288&lt;&gt;"", ", sob analgosedação com "&amp;L288,"")&amp;".",""),IF(M288&lt;&gt;"","Dieta "&amp;M288&amp;IF(N288&lt;&gt;"", ", com "&amp;LOWER(N288),"")&amp;IF(O288&lt;&gt;"", " — "&amp;O288,"")&amp;".",""),IF(P288="Febre","Apresentou episódio febril nas últimas 24h"&amp;IF(Q288&lt;&gt;""," ("&amp;Q288&amp;")","")&amp;".",IF(P288="Afebril","Encontra-se afebril.","")),IF(R288&lt;&gt;"",IF(S288="Sim","Apresenta disfunção renal aguda ","Função renal preservada ")&amp;"("&amp;R288&amp;").",""),IF(T288&lt;&gt;"","Em uso do esquema antimicrobiano com "&amp;T288&amp;".",""),IF(U288&lt;&gt;"","Em uso de profilaxia: "&amp;U288&amp;".",""))&amp;CHAR(10)&amp;CHAR(10)&amp;"2. Farmacoterapia"&amp;CHAR(10)&amp;IF(V288&lt;&gt;"","Corticoide/DART: "&amp;V288,"Sem corticoide/DART registrado.")&amp;CHAR(10)&amp;CHAR(10)&amp;"3. Conduta Farmacêutica"&amp;CHAR(10)&amp;IF(X288&lt;&gt;"","["&amp;W288&amp;"] "&amp;X288&amp;IF(Y288&lt;&gt;"", " ("&amp;Y288&amp;")",""),"Nenhuma intervenção registrada hoje.")&amp;CHAR(10)&amp;CHAR(10)&amp;"4. Plano Terapêutico"&amp;CHAR(10)&amp;IF(AB288&lt;&gt;"",AB288,"Não definido.")</f>
      </c>
    </row>
    <row r="289" spans="3:29" x14ac:dyDescent="0.25">
      <c r="AC289">
        <f>"1. Evolução Clínica"&amp;CHAR(10)&amp;TEXTJOIN(" ",TRUE,"Paciente "&amp;F289&amp;", "&amp;IF(G289="","sem DVA","em uso de "&amp;G289)&amp;".",IF(H289&lt;&gt;"","Em "&amp;H289&amp;IF(AND(H289="VMI",I289&lt;&gt;"")," por "&amp;I289,"")&amp;IF(J289&lt;&gt;""," ("&amp;J289&amp;")","")&amp;IF(K289&lt;&gt;"", ", "&amp;K289,"")&amp;IF(L289&lt;&gt;"", ", sob analgosedação com "&amp;L289,"")&amp;".",""),IF(M289&lt;&gt;"","Dieta "&amp;M289&amp;IF(N289&lt;&gt;"", ", com "&amp;LOWER(N289),"")&amp;IF(O289&lt;&gt;"", " — "&amp;O289,"")&amp;".",""),IF(P289="Febre","Apresentou episódio febril nas últimas 24h"&amp;IF(Q289&lt;&gt;""," ("&amp;Q289&amp;")","")&amp;".",IF(P289="Afebril","Encontra-se afebril.","")),IF(R289&lt;&gt;"",IF(S289="Sim","Apresenta disfunção renal aguda ","Função renal preservada ")&amp;"("&amp;R289&amp;").",""),IF(T289&lt;&gt;"","Em uso do esquema antimicrobiano com "&amp;T289&amp;".",""),IF(U289&lt;&gt;"","Em uso de profilaxia: "&amp;U289&amp;".",""))&amp;CHAR(10)&amp;CHAR(10)&amp;"2. Farmacoterapia"&amp;CHAR(10)&amp;IF(V289&lt;&gt;"","Corticoide/DART: "&amp;V289,"Sem corticoide/DART registrado.")&amp;CHAR(10)&amp;CHAR(10)&amp;"3. Conduta Farmacêutica"&amp;CHAR(10)&amp;IF(X289&lt;&gt;"","["&amp;W289&amp;"] "&amp;X289&amp;IF(Y289&lt;&gt;"", " ("&amp;Y289&amp;")",""),"Nenhuma intervenção registrada hoje.")&amp;CHAR(10)&amp;CHAR(10)&amp;"4. Plano Terapêutico"&amp;CHAR(10)&amp;IF(AB289&lt;&gt;"",AB289,"Não definido.")</f>
      </c>
    </row>
    <row r="290" spans="3:29" x14ac:dyDescent="0.25">
      <c r="AC290">
        <f>"1. Evolução Clínica"&amp;CHAR(10)&amp;TEXTJOIN(" ",TRUE,"Paciente "&amp;F290&amp;", "&amp;IF(G290="","sem DVA","em uso de "&amp;G290)&amp;".",IF(H290&lt;&gt;"","Em "&amp;H290&amp;IF(AND(H290="VMI",I290&lt;&gt;"")," por "&amp;I290,"")&amp;IF(J290&lt;&gt;""," ("&amp;J290&amp;")","")&amp;IF(K290&lt;&gt;"", ", "&amp;K290,"")&amp;IF(L290&lt;&gt;"", ", sob analgosedação com "&amp;L290,"")&amp;".",""),IF(M290&lt;&gt;"","Dieta "&amp;M290&amp;IF(N290&lt;&gt;"", ", com "&amp;LOWER(N290),"")&amp;IF(O290&lt;&gt;"", " — "&amp;O290,"")&amp;".",""),IF(P290="Febre","Apresentou episódio febril nas últimas 24h"&amp;IF(Q290&lt;&gt;""," ("&amp;Q290&amp;")","")&amp;".",IF(P290="Afebril","Encontra-se afebril.","")),IF(R290&lt;&gt;"",IF(S290="Sim","Apresenta disfunção renal aguda ","Função renal preservada ")&amp;"("&amp;R290&amp;").",""),IF(T290&lt;&gt;"","Em uso do esquema antimicrobiano com "&amp;T290&amp;".",""),IF(U290&lt;&gt;"","Em uso de profilaxia: "&amp;U290&amp;".",""))&amp;CHAR(10)&amp;CHAR(10)&amp;"2. Farmacoterapia"&amp;CHAR(10)&amp;IF(V290&lt;&gt;"","Corticoide/DART: "&amp;V290,"Sem corticoide/DART registrado.")&amp;CHAR(10)&amp;CHAR(10)&amp;"3. Conduta Farmacêutica"&amp;CHAR(10)&amp;IF(X290&lt;&gt;"","["&amp;W290&amp;"] "&amp;X290&amp;IF(Y290&lt;&gt;"", " ("&amp;Y290&amp;")",""),"Nenhuma intervenção registrada hoje.")&amp;CHAR(10)&amp;CHAR(10)&amp;"4. Plano Terapêutico"&amp;CHAR(10)&amp;IF(AB290&lt;&gt;"",AB290,"Não definido.")</f>
      </c>
    </row>
    <row r="291" spans="3:29" x14ac:dyDescent="0.25">
      <c r="AC291">
        <f>"1. Evolução Clínica"&amp;CHAR(10)&amp;TEXTJOIN(" ",TRUE,"Paciente "&amp;F291&amp;", "&amp;IF(G291="","sem DVA","em uso de "&amp;G291)&amp;".",IF(H291&lt;&gt;"","Em "&amp;H291&amp;IF(AND(H291="VMI",I291&lt;&gt;"")," por "&amp;I291,"")&amp;IF(J291&lt;&gt;""," ("&amp;J291&amp;")","")&amp;IF(K291&lt;&gt;"", ", "&amp;K291,"")&amp;IF(L291&lt;&gt;"", ", sob analgosedação com "&amp;L291,"")&amp;".",""),IF(M291&lt;&gt;"","Dieta "&amp;M291&amp;IF(N291&lt;&gt;"", ", com "&amp;LOWER(N291),"")&amp;IF(O291&lt;&gt;"", " — "&amp;O291,"")&amp;".",""),IF(P291="Febre","Apresentou episódio febril nas últimas 24h"&amp;IF(Q291&lt;&gt;""," ("&amp;Q291&amp;")","")&amp;".",IF(P291="Afebril","Encontra-se afebril.","")),IF(R291&lt;&gt;"",IF(S291="Sim","Apresenta disfunção renal aguda ","Função renal preservada ")&amp;"("&amp;R291&amp;").",""),IF(T291&lt;&gt;"","Em uso do esquema antimicrobiano com "&amp;T291&amp;".",""),IF(U291&lt;&gt;"","Em uso de profilaxia: "&amp;U291&amp;".",""))&amp;CHAR(10)&amp;CHAR(10)&amp;"2. Farmacoterapia"&amp;CHAR(10)&amp;IF(V291&lt;&gt;"","Corticoide/DART: "&amp;V291,"Sem corticoide/DART registrado.")&amp;CHAR(10)&amp;CHAR(10)&amp;"3. Conduta Farmacêutica"&amp;CHAR(10)&amp;IF(X291&lt;&gt;"","["&amp;W291&amp;"] "&amp;X291&amp;IF(Y291&lt;&gt;"", " ("&amp;Y291&amp;")",""),"Nenhuma intervenção registrada hoje.")&amp;CHAR(10)&amp;CHAR(10)&amp;"4. Plano Terapêutico"&amp;CHAR(10)&amp;IF(AB291&lt;&gt;"",AB291,"Não definido.")</f>
      </c>
    </row>
    <row r="292" spans="3:29" x14ac:dyDescent="0.25">
      <c r="AC292">
        <f>"1. Evolução Clínica"&amp;CHAR(10)&amp;TEXTJOIN(" ",TRUE,"Paciente "&amp;F292&amp;", "&amp;IF(G292="","sem DVA","em uso de "&amp;G292)&amp;".",IF(H292&lt;&gt;"","Em "&amp;H292&amp;IF(AND(H292="VMI",I292&lt;&gt;"")," por "&amp;I292,"")&amp;IF(J292&lt;&gt;""," ("&amp;J292&amp;")","")&amp;IF(K292&lt;&gt;"", ", "&amp;K292,"")&amp;IF(L292&lt;&gt;"", ", sob analgosedação com "&amp;L292,"")&amp;".",""),IF(M292&lt;&gt;"","Dieta "&amp;M292&amp;IF(N292&lt;&gt;"", ", com "&amp;LOWER(N292),"")&amp;IF(O292&lt;&gt;"", " — "&amp;O292,"")&amp;".",""),IF(P292="Febre","Apresentou episódio febril nas últimas 24h"&amp;IF(Q292&lt;&gt;""," ("&amp;Q292&amp;")","")&amp;".",IF(P292="Afebril","Encontra-se afebril.","")),IF(R292&lt;&gt;"",IF(S292="Sim","Apresenta disfunção renal aguda ","Função renal preservada ")&amp;"("&amp;R292&amp;").",""),IF(T292&lt;&gt;"","Em uso do esquema antimicrobiano com "&amp;T292&amp;".",""),IF(U292&lt;&gt;"","Em uso de profilaxia: "&amp;U292&amp;".",""))&amp;CHAR(10)&amp;CHAR(10)&amp;"2. Farmacoterapia"&amp;CHAR(10)&amp;IF(V292&lt;&gt;"","Corticoide/DART: "&amp;V292,"Sem corticoide/DART registrado.")&amp;CHAR(10)&amp;CHAR(10)&amp;"3. Conduta Farmacêutica"&amp;CHAR(10)&amp;IF(X292&lt;&gt;"","["&amp;W292&amp;"] "&amp;X292&amp;IF(Y292&lt;&gt;"", " ("&amp;Y292&amp;")",""),"Nenhuma intervenção registrada hoje.")&amp;CHAR(10)&amp;CHAR(10)&amp;"4. Plano Terapêutico"&amp;CHAR(10)&amp;IF(AB292&lt;&gt;"",AB292,"Não definido.")</f>
      </c>
    </row>
    <row r="293" spans="3:29" x14ac:dyDescent="0.25">
      <c r="AC293">
        <f>"1. Evolução Clínica"&amp;CHAR(10)&amp;TEXTJOIN(" ",TRUE,"Paciente "&amp;F293&amp;", "&amp;IF(G293="","sem DVA","em uso de "&amp;G293)&amp;".",IF(H293&lt;&gt;"","Em "&amp;H293&amp;IF(AND(H293="VMI",I293&lt;&gt;"")," por "&amp;I293,"")&amp;IF(J293&lt;&gt;""," ("&amp;J293&amp;")","")&amp;IF(K293&lt;&gt;"", ", "&amp;K293,"")&amp;IF(L293&lt;&gt;"", ", sob analgosedação com "&amp;L293,"")&amp;".",""),IF(M293&lt;&gt;"","Dieta "&amp;M293&amp;IF(N293&lt;&gt;"", ", com "&amp;LOWER(N293),"")&amp;IF(O293&lt;&gt;"", " — "&amp;O293,"")&amp;".",""),IF(P293="Febre","Apresentou episódio febril nas últimas 24h"&amp;IF(Q293&lt;&gt;""," ("&amp;Q293&amp;")","")&amp;".",IF(P293="Afebril","Encontra-se afebril.","")),IF(R293&lt;&gt;"",IF(S293="Sim","Apresenta disfunção renal aguda ","Função renal preservada ")&amp;"("&amp;R293&amp;").",""),IF(T293&lt;&gt;"","Em uso do esquema antimicrobiano com "&amp;T293&amp;".",""),IF(U293&lt;&gt;"","Em uso de profilaxia: "&amp;U293&amp;".",""))&amp;CHAR(10)&amp;CHAR(10)&amp;"2. Farmacoterapia"&amp;CHAR(10)&amp;IF(V293&lt;&gt;"","Corticoide/DART: "&amp;V293,"Sem corticoide/DART registrado.")&amp;CHAR(10)&amp;CHAR(10)&amp;"3. Conduta Farmacêutica"&amp;CHAR(10)&amp;IF(X293&lt;&gt;"","["&amp;W293&amp;"] "&amp;X293&amp;IF(Y293&lt;&gt;"", " ("&amp;Y293&amp;")",""),"Nenhuma intervenção registrada hoje.")&amp;CHAR(10)&amp;CHAR(10)&amp;"4. Plano Terapêutico"&amp;CHAR(10)&amp;IF(AB293&lt;&gt;"",AB293,"Não definido.")</f>
      </c>
    </row>
    <row r="294" spans="3:29" x14ac:dyDescent="0.25">
      <c r="AC294">
        <f>"1. Evolução Clínica"&amp;CHAR(10)&amp;TEXTJOIN(" ",TRUE,"Paciente "&amp;F294&amp;", "&amp;IF(G294="","sem DVA","em uso de "&amp;G294)&amp;".",IF(H294&lt;&gt;"","Em "&amp;H294&amp;IF(AND(H294="VMI",I294&lt;&gt;"")," por "&amp;I294,"")&amp;IF(J294&lt;&gt;""," ("&amp;J294&amp;")","")&amp;IF(K294&lt;&gt;"", ", "&amp;K294,"")&amp;IF(L294&lt;&gt;"", ", sob analgosedação com "&amp;L294,"")&amp;".",""),IF(M294&lt;&gt;"","Dieta "&amp;M294&amp;IF(N294&lt;&gt;"", ", com "&amp;LOWER(N294),"")&amp;IF(O294&lt;&gt;"", " — "&amp;O294,"")&amp;".",""),IF(P294="Febre","Apresentou episódio febril nas últimas 24h"&amp;IF(Q294&lt;&gt;""," ("&amp;Q294&amp;")","")&amp;".",IF(P294="Afebril","Encontra-se afebril.","")),IF(R294&lt;&gt;"",IF(S294="Sim","Apresenta disfunção renal aguda ","Função renal preservada ")&amp;"("&amp;R294&amp;").",""),IF(T294&lt;&gt;"","Em uso do esquema antimicrobiano com "&amp;T294&amp;".",""),IF(U294&lt;&gt;"","Em uso de profilaxia: "&amp;U294&amp;".",""))&amp;CHAR(10)&amp;CHAR(10)&amp;"2. Farmacoterapia"&amp;CHAR(10)&amp;IF(V294&lt;&gt;"","Corticoide/DART: "&amp;V294,"Sem corticoide/DART registrado.")&amp;CHAR(10)&amp;CHAR(10)&amp;"3. Conduta Farmacêutica"&amp;CHAR(10)&amp;IF(X294&lt;&gt;"","["&amp;W294&amp;"] "&amp;X294&amp;IF(Y294&lt;&gt;"", " ("&amp;Y294&amp;")",""),"Nenhuma intervenção registrada hoje.")&amp;CHAR(10)&amp;CHAR(10)&amp;"4. Plano Terapêutico"&amp;CHAR(10)&amp;IF(AB294&lt;&gt;"",AB294,"Não definido.")</f>
      </c>
    </row>
    <row r="295" spans="3:29" x14ac:dyDescent="0.25">
      <c r="AC295">
        <f>"1. Evolução Clínica"&amp;CHAR(10)&amp;TEXTJOIN(" ",TRUE,"Paciente "&amp;F295&amp;", "&amp;IF(G295="","sem DVA","em uso de "&amp;G295)&amp;".",IF(H295&lt;&gt;"","Em "&amp;H295&amp;IF(AND(H295="VMI",I295&lt;&gt;"")," por "&amp;I295,"")&amp;IF(J295&lt;&gt;""," ("&amp;J295&amp;")","")&amp;IF(K295&lt;&gt;"", ", "&amp;K295,"")&amp;IF(L295&lt;&gt;"", ", sob analgosedação com "&amp;L295,"")&amp;".",""),IF(M295&lt;&gt;"","Dieta "&amp;M295&amp;IF(N295&lt;&gt;"", ", com "&amp;LOWER(N295),"")&amp;IF(O295&lt;&gt;"", " — "&amp;O295,"")&amp;".",""),IF(P295="Febre","Apresentou episódio febril nas últimas 24h"&amp;IF(Q295&lt;&gt;""," ("&amp;Q295&amp;")","")&amp;".",IF(P295="Afebril","Encontra-se afebril.","")),IF(R295&lt;&gt;"",IF(S295="Sim","Apresenta disfunção renal aguda ","Função renal preservada ")&amp;"("&amp;R295&amp;").",""),IF(T295&lt;&gt;"","Em uso do esquema antimicrobiano com "&amp;T295&amp;".",""),IF(U295&lt;&gt;"","Em uso de profilaxia: "&amp;U295&amp;".",""))&amp;CHAR(10)&amp;CHAR(10)&amp;"2. Farmacoterapia"&amp;CHAR(10)&amp;IF(V295&lt;&gt;"","Corticoide/DART: "&amp;V295,"Sem corticoide/DART registrado.")&amp;CHAR(10)&amp;CHAR(10)&amp;"3. Conduta Farmacêutica"&amp;CHAR(10)&amp;IF(X295&lt;&gt;"","["&amp;W295&amp;"] "&amp;X295&amp;IF(Y295&lt;&gt;"", " ("&amp;Y295&amp;")",""),"Nenhuma intervenção registrada hoje.")&amp;CHAR(10)&amp;CHAR(10)&amp;"4. Plano Terapêutico"&amp;CHAR(10)&amp;IF(AB295&lt;&gt;"",AB295,"Não definido.")</f>
      </c>
    </row>
    <row r="296" spans="3:29" x14ac:dyDescent="0.25">
      <c r="AC296">
        <f>"1. Evolução Clínica"&amp;CHAR(10)&amp;TEXTJOIN(" ",TRUE,"Paciente "&amp;F296&amp;", "&amp;IF(G296="","sem DVA","em uso de "&amp;G296)&amp;".",IF(H296&lt;&gt;"","Em "&amp;H296&amp;IF(AND(H296="VMI",I296&lt;&gt;"")," por "&amp;I296,"")&amp;IF(J296&lt;&gt;""," ("&amp;J296&amp;")","")&amp;IF(K296&lt;&gt;"", ", "&amp;K296,"")&amp;IF(L296&lt;&gt;"", ", sob analgosedação com "&amp;L296,"")&amp;".",""),IF(M296&lt;&gt;"","Dieta "&amp;M296&amp;IF(N296&lt;&gt;"", ", com "&amp;LOWER(N296),"")&amp;IF(O296&lt;&gt;"", " — "&amp;O296,"")&amp;".",""),IF(P296="Febre","Apresentou episódio febril nas últimas 24h"&amp;IF(Q296&lt;&gt;""," ("&amp;Q296&amp;")","")&amp;".",IF(P296="Afebril","Encontra-se afebril.","")),IF(R296&lt;&gt;"",IF(S296="Sim","Apresenta disfunção renal aguda ","Função renal preservada ")&amp;"("&amp;R296&amp;").",""),IF(T296&lt;&gt;"","Em uso do esquema antimicrobiano com "&amp;T296&amp;".",""),IF(U296&lt;&gt;"","Em uso de profilaxia: "&amp;U296&amp;".",""))&amp;CHAR(10)&amp;CHAR(10)&amp;"2. Farmacoterapia"&amp;CHAR(10)&amp;IF(V296&lt;&gt;"","Corticoide/DART: "&amp;V296,"Sem corticoide/DART registrado.")&amp;CHAR(10)&amp;CHAR(10)&amp;"3. Conduta Farmacêutica"&amp;CHAR(10)&amp;IF(X296&lt;&gt;"","["&amp;W296&amp;"] "&amp;X296&amp;IF(Y296&lt;&gt;"", " ("&amp;Y296&amp;")",""),"Nenhuma intervenção registrada hoje.")&amp;CHAR(10)&amp;CHAR(10)&amp;"4. Plano Terapêutico"&amp;CHAR(10)&amp;IF(AB296&lt;&gt;"",AB296,"Não definido.")</f>
      </c>
    </row>
    <row r="297" spans="3:29" x14ac:dyDescent="0.25">
      <c r="AC297">
        <f>"1. Evolução Clínica"&amp;CHAR(10)&amp;TEXTJOIN(" ",TRUE,"Paciente "&amp;F297&amp;", "&amp;IF(G297="","sem DVA","em uso de "&amp;G297)&amp;".",IF(H297&lt;&gt;"","Em "&amp;H297&amp;IF(AND(H297="VMI",I297&lt;&gt;"")," por "&amp;I297,"")&amp;IF(J297&lt;&gt;""," ("&amp;J297&amp;")","")&amp;IF(K297&lt;&gt;"", ", "&amp;K297,"")&amp;IF(L297&lt;&gt;"", ", sob analgosedação com "&amp;L297,"")&amp;".",""),IF(M297&lt;&gt;"","Dieta "&amp;M297&amp;IF(N297&lt;&gt;"", ", com "&amp;LOWER(N297),"")&amp;IF(O297&lt;&gt;"", " — "&amp;O297,"")&amp;".",""),IF(P297="Febre","Apresentou episódio febril nas últimas 24h"&amp;IF(Q297&lt;&gt;""," ("&amp;Q297&amp;")","")&amp;".",IF(P297="Afebril","Encontra-se afebril.","")),IF(R297&lt;&gt;"",IF(S297="Sim","Apresenta disfunção renal aguda ","Função renal preservada ")&amp;"("&amp;R297&amp;").",""),IF(T297&lt;&gt;"","Em uso do esquema antimicrobiano com "&amp;T297&amp;".",""),IF(U297&lt;&gt;"","Em uso de profilaxia: "&amp;U297&amp;".",""))&amp;CHAR(10)&amp;CHAR(10)&amp;"2. Farmacoterapia"&amp;CHAR(10)&amp;IF(V297&lt;&gt;"","Corticoide/DART: "&amp;V297,"Sem corticoide/DART registrado.")&amp;CHAR(10)&amp;CHAR(10)&amp;"3. Conduta Farmacêutica"&amp;CHAR(10)&amp;IF(X297&lt;&gt;"","["&amp;W297&amp;"] "&amp;X297&amp;IF(Y297&lt;&gt;"", " ("&amp;Y297&amp;")",""),"Nenhuma intervenção registrada hoje.")&amp;CHAR(10)&amp;CHAR(10)&amp;"4. Plano Terapêutico"&amp;CHAR(10)&amp;IF(AB297&lt;&gt;"",AB297,"Não definido.")</f>
      </c>
    </row>
    <row r="298" spans="3:29" x14ac:dyDescent="0.25">
      <c r="AC298">
        <f>"1. Evolução Clínica"&amp;CHAR(10)&amp;TEXTJOIN(" ",TRUE,"Paciente "&amp;F298&amp;", "&amp;IF(G298="","sem DVA","em uso de "&amp;G298)&amp;".",IF(H298&lt;&gt;"","Em "&amp;H298&amp;IF(AND(H298="VMI",I298&lt;&gt;"")," por "&amp;I298,"")&amp;IF(J298&lt;&gt;""," ("&amp;J298&amp;")","")&amp;IF(K298&lt;&gt;"", ", "&amp;K298,"")&amp;IF(L298&lt;&gt;"", ", sob analgosedação com "&amp;L298,"")&amp;".",""),IF(M298&lt;&gt;"","Dieta "&amp;M298&amp;IF(N298&lt;&gt;"", ", com "&amp;LOWER(N298),"")&amp;IF(O298&lt;&gt;"", " — "&amp;O298,"")&amp;".",""),IF(P298="Febre","Apresentou episódio febril nas últimas 24h"&amp;IF(Q298&lt;&gt;""," ("&amp;Q298&amp;")","")&amp;".",IF(P298="Afebril","Encontra-se afebril.","")),IF(R298&lt;&gt;"",IF(S298="Sim","Apresenta disfunção renal aguda ","Função renal preservada ")&amp;"("&amp;R298&amp;").",""),IF(T298&lt;&gt;"","Em uso do esquema antimicrobiano com "&amp;T298&amp;".",""),IF(U298&lt;&gt;"","Em uso de profilaxia: "&amp;U298&amp;".",""))&amp;CHAR(10)&amp;CHAR(10)&amp;"2. Farmacoterapia"&amp;CHAR(10)&amp;IF(V298&lt;&gt;"","Corticoide/DART: "&amp;V298,"Sem corticoide/DART registrado.")&amp;CHAR(10)&amp;CHAR(10)&amp;"3. Conduta Farmacêutica"&amp;CHAR(10)&amp;IF(X298&lt;&gt;"","["&amp;W298&amp;"] "&amp;X298&amp;IF(Y298&lt;&gt;"", " ("&amp;Y298&amp;")",""),"Nenhuma intervenção registrada hoje.")&amp;CHAR(10)&amp;CHAR(10)&amp;"4. Plano Terapêutico"&amp;CHAR(10)&amp;IF(AB298&lt;&gt;"",AB298,"Não definido.")</f>
      </c>
    </row>
    <row r="299" spans="3:29" x14ac:dyDescent="0.25">
      <c r="AC299">
        <f>"1. Evolução Clínica"&amp;CHAR(10)&amp;TEXTJOIN(" ",TRUE,"Paciente "&amp;F299&amp;", "&amp;IF(G299="","sem DVA","em uso de "&amp;G299)&amp;".",IF(H299&lt;&gt;"","Em "&amp;H299&amp;IF(AND(H299="VMI",I299&lt;&gt;"")," por "&amp;I299,"")&amp;IF(J299&lt;&gt;""," ("&amp;J299&amp;")","")&amp;IF(K299&lt;&gt;"", ", "&amp;K299,"")&amp;IF(L299&lt;&gt;"", ", sob analgosedação com "&amp;L299,"")&amp;".",""),IF(M299&lt;&gt;"","Dieta "&amp;M299&amp;IF(N299&lt;&gt;"", ", com "&amp;LOWER(N299),"")&amp;IF(O299&lt;&gt;"", " — "&amp;O299,"")&amp;".",""),IF(P299="Febre","Apresentou episódio febril nas últimas 24h"&amp;IF(Q299&lt;&gt;""," ("&amp;Q299&amp;")","")&amp;".",IF(P299="Afebril","Encontra-se afebril.","")),IF(R299&lt;&gt;"",IF(S299="Sim","Apresenta disfunção renal aguda ","Função renal preservada ")&amp;"("&amp;R299&amp;").",""),IF(T299&lt;&gt;"","Em uso do esquema antimicrobiano com "&amp;T299&amp;".",""),IF(U299&lt;&gt;"","Em uso de profilaxia: "&amp;U299&amp;".",""))&amp;CHAR(10)&amp;CHAR(10)&amp;"2. Farmacoterapia"&amp;CHAR(10)&amp;IF(V299&lt;&gt;"","Corticoide/DART: "&amp;V299,"Sem corticoide/DART registrado.")&amp;CHAR(10)&amp;CHAR(10)&amp;"3. Conduta Farmacêutica"&amp;CHAR(10)&amp;IF(X299&lt;&gt;"","["&amp;W299&amp;"] "&amp;X299&amp;IF(Y299&lt;&gt;"", " ("&amp;Y299&amp;")",""),"Nenhuma intervenção registrada hoje.")&amp;CHAR(10)&amp;CHAR(10)&amp;"4. Plano Terapêutico"&amp;CHAR(10)&amp;IF(AB299&lt;&gt;"",AB299,"Não definido.")</f>
      </c>
    </row>
    <row r="300" spans="3:29" x14ac:dyDescent="0.25">
      <c r="AC300">
        <f>"1. Evolução Clínica"&amp;CHAR(10)&amp;TEXTJOIN(" ",TRUE,"Paciente "&amp;F300&amp;", "&amp;IF(G300="","sem DVA","em uso de "&amp;G300)&amp;".",IF(H300&lt;&gt;"","Em "&amp;H300&amp;IF(AND(H300="VMI",I300&lt;&gt;"")," por "&amp;I300,"")&amp;IF(J300&lt;&gt;""," ("&amp;J300&amp;")","")&amp;IF(K300&lt;&gt;"", ", "&amp;K300,"")&amp;IF(L300&lt;&gt;"", ", sob analgosedação com "&amp;L300,"")&amp;".",""),IF(M300&lt;&gt;"","Dieta "&amp;M300&amp;IF(N300&lt;&gt;"", ", com "&amp;LOWER(N300),"")&amp;IF(O300&lt;&gt;"", " — "&amp;O300,"")&amp;".",""),IF(P300="Febre","Apresentou episódio febril nas últimas 24h"&amp;IF(Q300&lt;&gt;""," ("&amp;Q300&amp;")","")&amp;".",IF(P300="Afebril","Encontra-se afebril.","")),IF(R300&lt;&gt;"",IF(S300="Sim","Apresenta disfunção renal aguda ","Função renal preservada ")&amp;"("&amp;R300&amp;").",""),IF(T300&lt;&gt;"","Em uso do esquema antimicrobiano com "&amp;T300&amp;".",""),IF(U300&lt;&gt;"","Em uso de profilaxia: "&amp;U300&amp;".",""))&amp;CHAR(10)&amp;CHAR(10)&amp;"2. Farmacoterapia"&amp;CHAR(10)&amp;IF(V300&lt;&gt;"","Corticoide/DART: "&amp;V300,"Sem corticoide/DART registrado.")&amp;CHAR(10)&amp;CHAR(10)&amp;"3. Conduta Farmacêutica"&amp;CHAR(10)&amp;IF(X300&lt;&gt;"","["&amp;W300&amp;"] "&amp;X300&amp;IF(Y300&lt;&gt;"", " ("&amp;Y300&amp;")",""),"Nenhuma intervenção registrada hoje.")&amp;CHAR(10)&amp;CHAR(10)&amp;"4. Plano Terapêutico"&amp;CHAR(10)&amp;IF(AB300&lt;&gt;"",AB300,"Não definido.")</f>
      </c>
    </row>
  </sheetData>
  <dataValidations count="24">
    <dataValidation type="list" allowBlank="1" sqref="AA10:AA300">
      <formula1>Listas!$F$2:$F$3</formula1>
    </dataValidation>
    <dataValidation type="list" allowBlank="1" sqref="AA2:AA300">
      <formula1>Listas!$F$2:$F$3</formula1>
    </dataValidation>
    <dataValidation type="list" allowBlank="1" sqref="C10:C300">
      <formula1>Listas!$A$2:$A$4</formula1>
    </dataValidation>
    <dataValidation type="list" allowBlank="1" sqref="C2:C300">
      <formula1>Listas!$A$2:$A$4</formula1>
    </dataValidation>
    <dataValidation type="list" allowBlank="1" sqref="F10:F300">
      <formula1>Listas!$C$2:$C$3</formula1>
    </dataValidation>
    <dataValidation type="list" allowBlank="1" sqref="F2:F300">
      <formula1>Listas!$C$2:$C$3</formula1>
    </dataValidation>
    <dataValidation type="list" allowBlank="1" sqref="H10:H300">
      <formula1>Listas!$D$2:$D$6</formula1>
    </dataValidation>
    <dataValidation type="list" allowBlank="1" sqref="H2:H300">
      <formula1>Listas!$D$2:$D$6</formula1>
    </dataValidation>
    <dataValidation type="list" allowBlank="1" sqref="K10:K300">
      <formula1>Listas!$E$2:$E$6</formula1>
    </dataValidation>
    <dataValidation type="list" allowBlank="1" sqref="K2:K300">
      <formula1>Listas!$E$2:$E$6</formula1>
    </dataValidation>
    <dataValidation type="list" allowBlank="1" sqref="M10:M300">
      <formula1>Listas!$G$2:$G$5</formula1>
    </dataValidation>
    <dataValidation type="list" allowBlank="1" sqref="M2:M300">
      <formula1>Listas!$G$2:$G$5</formula1>
    </dataValidation>
    <dataValidation type="list" allowBlank="1" sqref="N10:N300">
      <formula1>Listas!$H$2:$H$4</formula1>
    </dataValidation>
    <dataValidation type="list" allowBlank="1" sqref="N2:N300">
      <formula1>Listas!$H$2:$H$4</formula1>
    </dataValidation>
    <dataValidation type="list" allowBlank="1" sqref="P10:P300">
      <formula1>Listas!$I$2:$I$3</formula1>
    </dataValidation>
    <dataValidation type="list" allowBlank="1" sqref="P2:P300">
      <formula1>Listas!$I$2:$I$3</formula1>
    </dataValidation>
    <dataValidation type="list" allowBlank="1" sqref="S10:S300">
      <formula1>Listas!$F$2:$F$3</formula1>
    </dataValidation>
    <dataValidation type="list" allowBlank="1" sqref="S2:S300">
      <formula1>Listas!$F$2:$F$3</formula1>
    </dataValidation>
    <dataValidation type="list" allowBlank="1" sqref="W10:W300">
      <formula1>Listas!$J$2:$J$13</formula1>
    </dataValidation>
    <dataValidation type="list" allowBlank="1" sqref="W2:W300">
      <formula1>Listas!$J$2:$J$13</formula1>
    </dataValidation>
    <dataValidation type="list" allowBlank="1" sqref="Y10:Y300">
      <formula1>Listas!$K$2:$K$7</formula1>
    </dataValidation>
    <dataValidation type="list" allowBlank="1" sqref="Y2:Y300">
      <formula1>Listas!$K$2:$K$7</formula1>
    </dataValidation>
    <dataValidation type="list" allowBlank="1" sqref="Z10:Z300">
      <formula1>Listas!$L$2:$L$9</formula1>
    </dataValidation>
    <dataValidation type="list" allowBlank="1" sqref="Z2:Z300">
      <formula1>Listas!$L$2:$L$9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FormatPr defaultRowHeight="15" outlineLevelRow="0" outlineLevelCol="0" x14ac:dyDescent="55"/>
  <cols>
    <col min="1" max="1" width="32" customWidth="1"/>
    <col min="2" max="2" width="24" customWidth="1"/>
    <col min="3" max="3" width="4" customWidth="1"/>
    <col min="4" max="4" width="45" customWidth="1"/>
    <col min="5" max="5" width="12" customWidth="1"/>
  </cols>
  <sheetData>
    <row r="1" spans="1:1" x14ac:dyDescent="0.25">
      <c r="A1" s="6" t="s">
        <v>148</v>
      </c>
    </row>
    <row r="3" spans="1:2" x14ac:dyDescent="0.25">
      <c r="A3" s="2" t="s">
        <v>149</v>
      </c>
      <c r="B3" s="7" t="s">
        <v>77</v>
      </c>
    </row>
    <row r="4" spans="1:2" x14ac:dyDescent="0.25">
      <c r="A4" s="2" t="s">
        <v>150</v>
      </c>
      <c r="B4" s="7">
        <v>2026</v>
      </c>
    </row>
    <row r="5" spans="1:2" x14ac:dyDescent="0.25">
      <c r="A5" s="2" t="s">
        <v>16</v>
      </c>
      <c r="B5" s="7" t="s">
        <v>43</v>
      </c>
    </row>
    <row r="7" spans="1:2" x14ac:dyDescent="0.25">
      <c r="A7" s="8" t="s">
        <v>151</v>
      </c>
      <c r="B7" s="8">
        <f>VALUE(LEFT(B3,FIND(" ",B3)-1))</f>
      </c>
    </row>
    <row r="8" spans="1:2" x14ac:dyDescent="0.25">
      <c r="A8" s="8" t="s">
        <v>152</v>
      </c>
      <c r="B8" s="9">
        <f>DATE(B4,B7,1)</f>
      </c>
    </row>
    <row r="9" spans="1:2" x14ac:dyDescent="0.25">
      <c r="A9" s="8" t="s">
        <v>153</v>
      </c>
      <c r="B9" s="9">
        <f>EOMONTH(B8,0)</f>
      </c>
    </row>
    <row r="12" spans="1:4" x14ac:dyDescent="0.25">
      <c r="A12" s="6" t="s">
        <v>154</v>
      </c>
      <c r="D12" s="10" t="s">
        <v>155</v>
      </c>
    </row>
    <row r="13" spans="1:5" x14ac:dyDescent="0.25">
      <c r="A13" s="2" t="s">
        <v>156</v>
      </c>
      <c r="B13" s="6">
        <f>SUMPRODUCT(('Ficha Diária'!$E$2:$E$300&gt;=$B$8)*('Ficha Diária'!$E$2:$E$300&lt;=$B$9)*(($B$5="Todos")+('Ficha Diária'!$C$2:$C$300=$B$5))*('Ficha Diária'!$Y$2:$Y$300&lt;&gt;"")*('Ficha Diária'!$Y$2:$Y$300&lt;&gt;"Sem intervenção hoje"))</f>
      </c>
      <c r="D13" s="2" t="s">
        <v>25</v>
      </c>
      <c r="E13" s="2" t="s">
        <v>157</v>
      </c>
    </row>
    <row r="14" spans="1:5" x14ac:dyDescent="0.25">
      <c r="A14" s="2" t="s">
        <v>158</v>
      </c>
      <c r="B14" s="6">
        <f>SUMPRODUCT(('Ficha Diária'!$E$2:$E$300&gt;=$B$8)*('Ficha Diária'!$E$2:$E$300&lt;=$B$9)*(($B$5="Todos")+('Ficha Diária'!$C$2:$C$300=$B$5))*ISNUMBER(SEARCH("Aceita",'Ficha Diária'!$Y$2:$Y$300)))</f>
      </c>
      <c r="D14" t="s">
        <v>39</v>
      </c>
      <c r="E14">
        <f>SUMPRODUCT(('Ficha Diária'!$E$2:$E$300&gt;=$B$8)*('Ficha Diária'!$E$2:$E$300&lt;=$B$9)*(($B$5="Todos")+('Ficha Diária'!$C$2:$C$300=$B$5))*('Ficha Diária'!$W$2:$W$300=D14))</f>
      </c>
    </row>
    <row r="15" spans="1:5" x14ac:dyDescent="0.25">
      <c r="A15" s="2" t="s">
        <v>159</v>
      </c>
      <c r="B15" s="6">
        <f>IF(B13=0,0,ROUND(B14/B13*100,1))</f>
      </c>
      <c r="D15" t="s">
        <v>52</v>
      </c>
      <c r="E15">
        <f>SUMPRODUCT(('Ficha Diária'!$E$2:$E$300&gt;=$B$8)*('Ficha Diária'!$E$2:$E$300&lt;=$B$9)*(($B$5="Todos")+('Ficha Diária'!$C$2:$C$300=$B$5))*('Ficha Diária'!$W$2:$W$300=D15))</f>
      </c>
    </row>
    <row r="16" spans="1:5" x14ac:dyDescent="0.25">
      <c r="A16" s="2" t="s">
        <v>160</v>
      </c>
      <c r="B16" s="6">
        <f>SUMPRODUCT(('Ficha Diária'!$E$2:$E$300&gt;=$B$8)*('Ficha Diária'!$E$2:$E$300&lt;=$B$9)*(($B$5="Todos")+('Ficha Diária'!$C$2:$C$300=$B$5))*('Ficha Diária'!$AA$2:$AA$300="Sim"))</f>
      </c>
      <c r="D16" t="s">
        <v>61</v>
      </c>
      <c r="E16">
        <f>SUMPRODUCT(('Ficha Diária'!$E$2:$E$300&gt;=$B$8)*('Ficha Diária'!$E$2:$E$300&lt;=$B$9)*(($B$5="Todos")+('Ficha Diária'!$C$2:$C$300=$B$5))*('Ficha Diária'!$W$2:$W$300=D16))</f>
      </c>
    </row>
    <row r="17" spans="1:5" x14ac:dyDescent="0.25">
      <c r="A17" s="2" t="s">
        <v>161</v>
      </c>
      <c r="B17" s="6">
        <f>SUMPRODUCT(('Ficha Diária'!$E$2:$E$300&gt;=$B$8)*('Ficha Diária'!$E$2:$E$300&lt;=$B$9)*(($B$5="Todos")+('Ficha Diária'!$C$2:$C$300=$B$5))*('Ficha Diária'!$E$2:$E$300&lt;&gt;""))</f>
      </c>
      <c r="D17" t="s">
        <v>68</v>
      </c>
      <c r="E17">
        <f>SUMPRODUCT(('Ficha Diária'!$E$2:$E$300&gt;=$B$8)*('Ficha Diária'!$E$2:$E$300&lt;=$B$9)*(($B$5="Todos")+('Ficha Diária'!$C$2:$C$300=$B$5))*('Ficha Diária'!$W$2:$W$300=D17))</f>
      </c>
    </row>
    <row r="18" spans="1:5" x14ac:dyDescent="0.25">
      <c r="A18" s="2" t="s">
        <v>162</v>
      </c>
      <c r="B18" s="6">
        <f>IF(B17=0,0,ROUND(B16/B17*100,1))</f>
      </c>
      <c r="D18" t="s">
        <v>74</v>
      </c>
      <c r="E18">
        <f>SUMPRODUCT(('Ficha Diária'!$E$2:$E$300&gt;=$B$8)*('Ficha Diária'!$E$2:$E$300&lt;=$B$9)*(($B$5="Todos")+('Ficha Diária'!$C$2:$C$300=$B$5))*('Ficha Diária'!$W$2:$W$300=D18))</f>
      </c>
    </row>
    <row r="19" spans="4:5" x14ac:dyDescent="0.25">
      <c r="D19" t="s">
        <v>78</v>
      </c>
      <c r="E19">
        <f>SUMPRODUCT(('Ficha Diária'!$E$2:$E$300&gt;=$B$8)*('Ficha Diária'!$E$2:$E$300&lt;=$B$9)*(($B$5="Todos")+('Ficha Diária'!$C$2:$C$300=$B$5))*('Ficha Diária'!$W$2:$W$300=D19))</f>
      </c>
    </row>
    <row r="20" spans="4:5" x14ac:dyDescent="0.25">
      <c r="D20" t="s">
        <v>82</v>
      </c>
      <c r="E20">
        <f>SUMPRODUCT(('Ficha Diária'!$E$2:$E$300&gt;=$B$8)*('Ficha Diária'!$E$2:$E$300&lt;=$B$9)*(($B$5="Todos")+('Ficha Diária'!$C$2:$C$300=$B$5))*('Ficha Diária'!$W$2:$W$300=D20))</f>
      </c>
    </row>
    <row r="21" spans="4:5" x14ac:dyDescent="0.25">
      <c r="D21" t="s">
        <v>85</v>
      </c>
      <c r="E21">
        <f>SUMPRODUCT(('Ficha Diária'!$E$2:$E$300&gt;=$B$8)*('Ficha Diária'!$E$2:$E$300&lt;=$B$9)*(($B$5="Todos")+('Ficha Diária'!$C$2:$C$300=$B$5))*('Ficha Diária'!$W$2:$W$300=D21))</f>
      </c>
    </row>
    <row r="22" spans="4:5" x14ac:dyDescent="0.25">
      <c r="D22" t="s">
        <v>88</v>
      </c>
      <c r="E22">
        <f>SUMPRODUCT(('Ficha Diária'!$E$2:$E$300&gt;=$B$8)*('Ficha Diária'!$E$2:$E$300&lt;=$B$9)*(($B$5="Todos")+('Ficha Diária'!$C$2:$C$300=$B$5))*('Ficha Diária'!$W$2:$W$300=D22))</f>
      </c>
    </row>
    <row r="23" spans="4:5" x14ac:dyDescent="0.25">
      <c r="D23" t="s">
        <v>90</v>
      </c>
      <c r="E23">
        <f>SUMPRODUCT(('Ficha Diária'!$E$2:$E$300&gt;=$B$8)*('Ficha Diária'!$E$2:$E$300&lt;=$B$9)*(($B$5="Todos")+('Ficha Diária'!$C$2:$C$300=$B$5))*('Ficha Diária'!$W$2:$W$300=D23))</f>
      </c>
    </row>
    <row r="24" spans="4:5" x14ac:dyDescent="0.25">
      <c r="D24" t="s">
        <v>92</v>
      </c>
      <c r="E24">
        <f>SUMPRODUCT(('Ficha Diária'!$E$2:$E$300&gt;=$B$8)*('Ficha Diária'!$E$2:$E$300&lt;=$B$9)*(($B$5="Todos")+('Ficha Diária'!$C$2:$C$300=$B$5))*('Ficha Diária'!$W$2:$W$300=D24))</f>
      </c>
    </row>
    <row r="25" spans="4:5" x14ac:dyDescent="0.25">
      <c r="D25" t="s">
        <v>94</v>
      </c>
      <c r="E25">
        <f>SUMPRODUCT(('Ficha Diária'!$E$2:$E$300&gt;=$B$8)*('Ficha Diária'!$E$2:$E$300&lt;=$B$9)*(($B$5="Todos")+('Ficha Diária'!$C$2:$C$300=$B$5))*('Ficha Diária'!$W$2:$W$300=D25))</f>
      </c>
    </row>
  </sheetData>
  <dataValidations count="2">
    <dataValidation type="list" allowBlank="1" sqref="B3">
      <formula1>Listas!$M$2:$M$13</formula1>
    </dataValidation>
    <dataValidation type="list" allowBlank="1" sqref="B5">
      <formula1>Listas!$N$2:$N$5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Instruções</vt:lpstr>
      <vt:lpstr>Listas</vt:lpstr>
      <vt:lpstr>Pacientes</vt:lpstr>
      <vt:lpstr>Ficha Diária</vt:lpstr>
      <vt:lpstr>Indicadores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Farmácia Clínica - HMAF (v3 planilha)</dc:creator>
  <dc:title/>
  <dc:subject/>
  <dc:description/>
  <cp:keywords/>
  <cp:category/>
  <cp:lastModifiedBy>Unknown</cp:lastModifiedBy>
  <dcterms:created xsi:type="dcterms:W3CDTF">2026-08-23T12:38:55Z</dcterms:created>
  <dcterms:modified xsi:type="dcterms:W3CDTF">2026-08-23T12:38:55Z</dcterms:modified>
</cp:coreProperties>
</file>