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6" name="Instruções" state="visible" r:id="rId4"/>
    <sheet sheetId="1" name="Listas" state="visible" r:id="rId5"/>
    <sheet sheetId="2" name="Pacientes" state="visible" r:id="rId6"/>
    <sheet sheetId="3" name="Ficha Diária" state="visible" r:id="rId7"/>
    <sheet sheetId="4" name="Intervenções" state="visible" r:id="rId8"/>
    <sheet sheetId="5" name="Indicadores" state="visible" r:id="rId9"/>
  </sheets>
  <calcPr calcId="171027"/>
</workbook>
</file>

<file path=xl/sharedStrings.xml><?xml version="1.0" encoding="utf-8"?>
<sst xmlns="http://schemas.openxmlformats.org/spreadsheetml/2006/main" count="231" uniqueCount="171">
  <si>
    <t>COMO USAR — VERSÃO 4</t>
  </si>
  <si>
    <t/>
  </si>
  <si>
    <t>O que mudou nesta versão:</t>
  </si>
  <si>
    <t>• Suporte Ventilatório já inclui "VMI por TOT" e "VMI por TQT" como opções diretas na lista — não precisa mais de coluna separada pra via.</t>
  </si>
  <si>
    <t>• "Intervenções" agora é uma aba própria — cada linha é uma intervenção farmacêutica, independente da ficha diária. Um paciente pode ter 0, 1 ou várias no mesmo dia.</t>
  </si>
  <si>
    <t>• Cadastre o paciente UMA VEZ na aba "Pacientes". Nas abas "Ficha Diária" e "Intervenções", basta escolher o Prontuário — Nome, Setor e Leito são preenchidos sozinhos (fundo cinza-azulado, itálico = campo herdado, não editar direto).</t>
  </si>
  <si>
    <t>• A coluna de Conduta Farmacêutica na Evolução Gerada busca automaticamente, na aba Intervenções, tudo que foi registrado para aquele paciente NAQUELE dia.</t>
  </si>
  <si>
    <t>• Faixas de cor alternadas automáticas em todas as tabelas, mais cor por status (Pacientes) e por aceitabilidade (Intervenções).</t>
  </si>
  <si>
    <t>⚠️ IMPORTANTE — compatibilidade da fórmula:</t>
  </si>
  <si>
    <t>A fórmula de Conduta usa a função FILTER, disponível no Google Sheets e no Excel 365 (versões mais recentes). Se você usa uma versão mais antiga do Excel (2019 ou anterior) sem Microsoft 365, essa célula específica pode dar erro — me avise que eu troco por uma fórmula alternativa (mais longa, mas compatível com qualquer versão).</t>
  </si>
  <si>
    <t>Fluxo de uso:</t>
  </si>
  <si>
    <t>1. Cadastre o paciente em "Pacientes".</t>
  </si>
  <si>
    <t>2. Todo dia, adicione uma linha em "Ficha Diária" com o Prontuário dele.</t>
  </si>
  <si>
    <t>3. Quando fizer uma intervenção, registre na aba "Intervenções" (também pelo Prontuário).</t>
  </si>
  <si>
    <t>4. A evolução do dia aparece pronta na última coluna da Ficha Diária, já incluindo a conduta daquele dia.</t>
  </si>
  <si>
    <t>5. Acompanhe os números em "Indicadores", filtrando por mês/ano/setor.</t>
  </si>
  <si>
    <t>Setor</t>
  </si>
  <si>
    <t>StatusPaciente</t>
  </si>
  <si>
    <t>HemoStatus</t>
  </si>
  <si>
    <t>Ventilacao</t>
  </si>
  <si>
    <t>EstadoNeuro</t>
  </si>
  <si>
    <t>SimNao</t>
  </si>
  <si>
    <t>Dieta</t>
  </si>
  <si>
    <t>Aceitacao</t>
  </si>
  <si>
    <t>Febre</t>
  </si>
  <si>
    <t>Categoria</t>
  </si>
  <si>
    <t>StatusIntervencao</t>
  </si>
  <si>
    <t>Profissional</t>
  </si>
  <si>
    <t>Meses</t>
  </si>
  <si>
    <t>SetorFiltro</t>
  </si>
  <si>
    <t>UTI neo</t>
  </si>
  <si>
    <t>Ativo</t>
  </si>
  <si>
    <t>hemodinamicamente estável</t>
  </si>
  <si>
    <t>Ar Ambiente</t>
  </si>
  <si>
    <t>Confortável</t>
  </si>
  <si>
    <t>Sim</t>
  </si>
  <si>
    <t>Zero/Jejum</t>
  </si>
  <si>
    <t>Boa Aceitação</t>
  </si>
  <si>
    <t>Afebril</t>
  </si>
  <si>
    <t>Dose</t>
  </si>
  <si>
    <t>Aceita e implementada</t>
  </si>
  <si>
    <t>Médico</t>
  </si>
  <si>
    <t>1 - Janeiro</t>
  </si>
  <si>
    <t>Todos</t>
  </si>
  <si>
    <t>UTI ped</t>
  </si>
  <si>
    <t>Alta</t>
  </si>
  <si>
    <t>hemodinamicamente instável</t>
  </si>
  <si>
    <t>VMI por TOT</t>
  </si>
  <si>
    <t>Agitado</t>
  </si>
  <si>
    <t>Não</t>
  </si>
  <si>
    <t>Oral</t>
  </si>
  <si>
    <t>Aceitação Parcial</t>
  </si>
  <si>
    <t>Dispensação</t>
  </si>
  <si>
    <t>Aceita, porém não implementada</t>
  </si>
  <si>
    <t>Residente</t>
  </si>
  <si>
    <t>2 - Fevereiro</t>
  </si>
  <si>
    <t>UCSIN</t>
  </si>
  <si>
    <t>VMI por TQT</t>
  </si>
  <si>
    <t>Comatoso</t>
  </si>
  <si>
    <t>Enteral</t>
  </si>
  <si>
    <t>Intolerância à Dieta</t>
  </si>
  <si>
    <t>Frequência de Administração</t>
  </si>
  <si>
    <t>Não aceita com justificativa clínica</t>
  </si>
  <si>
    <t>Enfermeiro</t>
  </si>
  <si>
    <t>3 - Março</t>
  </si>
  <si>
    <t>Cateter Nasal</t>
  </si>
  <si>
    <t>Arreativo</t>
  </si>
  <si>
    <t>NPT</t>
  </si>
  <si>
    <t>Via / Forma Farmacêutica</t>
  </si>
  <si>
    <t>Não aceita sem justificativa clínica</t>
  </si>
  <si>
    <t>Técnico de Enfermagem</t>
  </si>
  <si>
    <t>4 - Abril</t>
  </si>
  <si>
    <t>Máscara de Venturi</t>
  </si>
  <si>
    <t>Reativo</t>
  </si>
  <si>
    <t>Administração por Sonda</t>
  </si>
  <si>
    <t>Pendente de resposta</t>
  </si>
  <si>
    <t>Fisioterapeuta</t>
  </si>
  <si>
    <t>5 - Maio</t>
  </si>
  <si>
    <t>VNI/CPAP</t>
  </si>
  <si>
    <t>Tempo de Infusão &amp; Diluição</t>
  </si>
  <si>
    <t>Fonoaudiólogo</t>
  </si>
  <si>
    <t>6 - Junho</t>
  </si>
  <si>
    <t>Indicação &amp; Resposta Terapêutica</t>
  </si>
  <si>
    <t>Nutricionista</t>
  </si>
  <si>
    <t>7 - Julho</t>
  </si>
  <si>
    <t>Exames &amp; Dispositivos</t>
  </si>
  <si>
    <t>Outro</t>
  </si>
  <si>
    <t>8 - Agosto</t>
  </si>
  <si>
    <t>Reação Adversa (RAM)</t>
  </si>
  <si>
    <t>9 - Setembro</t>
  </si>
  <si>
    <t>Incompatibilidade &amp; Interações</t>
  </si>
  <si>
    <t>10 - Outubro</t>
  </si>
  <si>
    <t>Gerenciamento de Antimicrobianos (Stewardship)</t>
  </si>
  <si>
    <t>11 - Novembro</t>
  </si>
  <si>
    <t>Analgesia Multimodal</t>
  </si>
  <si>
    <t>12 - Dezembro</t>
  </si>
  <si>
    <t>Nome</t>
  </si>
  <si>
    <t>Prontuário</t>
  </si>
  <si>
    <t>Leito</t>
  </si>
  <si>
    <t>Status</t>
  </si>
  <si>
    <t>Data Admissão</t>
  </si>
  <si>
    <t>Data Alta</t>
  </si>
  <si>
    <t>Diagnóstico</t>
  </si>
  <si>
    <t>M.L.C.A.</t>
  </si>
  <si>
    <t>PED-8942</t>
  </si>
  <si>
    <t>UTIP-04</t>
  </si>
  <si>
    <t>2026-05-10</t>
  </si>
  <si>
    <t>Bronquiolite Viral Aguda Grave</t>
  </si>
  <si>
    <t>J.S.O.</t>
  </si>
  <si>
    <t>PED-7731</t>
  </si>
  <si>
    <t>UTIN-02</t>
  </si>
  <si>
    <t>2026-04-02</t>
  </si>
  <si>
    <t>2026-04-20</t>
  </si>
  <si>
    <t>Sepse neonatal precoce</t>
  </si>
  <si>
    <t>A.B.C.</t>
  </si>
  <si>
    <t>UCS-3310</t>
  </si>
  <si>
    <t>UCS-01</t>
  </si>
  <si>
    <t>2026-05-18</t>
  </si>
  <si>
    <t>Prematuridade extrema</t>
  </si>
  <si>
    <t>Nome (herdado)</t>
  </si>
  <si>
    <t>Setor (herdado)</t>
  </si>
  <si>
    <t>Leito (herdado)</t>
  </si>
  <si>
    <t>Status Paciente (herdado)</t>
  </si>
  <si>
    <t>Data</t>
  </si>
  <si>
    <t>Status Hemodinâmico</t>
  </si>
  <si>
    <t>Drogas Vasoativas (texto livre)</t>
  </si>
  <si>
    <t>Suporte Ventilatório</t>
  </si>
  <si>
    <t>Parâmetros Ventilatórios (FiO2/PEEP)</t>
  </si>
  <si>
    <t>Estado Neurológico</t>
  </si>
  <si>
    <t>Sedoanalgesia (texto livre)</t>
  </si>
  <si>
    <t>Aceitação</t>
  </si>
  <si>
    <t>Observação Dieta/Aceitação</t>
  </si>
  <si>
    <t>Detalhe Febre (Tmax / episódios)</t>
  </si>
  <si>
    <t>Função Renal (Cr/Ur/Diurese)</t>
  </si>
  <si>
    <t>Ajuste Renal?</t>
  </si>
  <si>
    <t>Antimicrobiano(s) (texto livre)</t>
  </si>
  <si>
    <t>Profilaxias (texto livre)</t>
  </si>
  <si>
    <t>Corticoide / DART (texto livre)</t>
  </si>
  <si>
    <t>Plano Terapêutico</t>
  </si>
  <si>
    <t>EVOLUÇÃO GERADA (fórmula automática)</t>
  </si>
  <si>
    <t>2026-05-14</t>
  </si>
  <si>
    <t>Noradrenalina 0.15 mcg/kg/min</t>
  </si>
  <si>
    <t>FiO2 40% | PEEP 7,0</t>
  </si>
  <si>
    <t>Dexmedetomidina 0.4 mcg/kg/h</t>
  </si>
  <si>
    <t>Tmax 38.4°C, 2 episódios</t>
  </si>
  <si>
    <t>Cr 1.8 mg/dL, Ur 82 mg/dL, Diurese 0.6 mL/kg/h</t>
  </si>
  <si>
    <t>Piperacilina + Tazobactam 4.5g IV 6/6h (DTA 2)</t>
  </si>
  <si>
    <t>TEV: Enoxaparina 40mg SC; LAMG: Omeprazol 40mg IV; Córnea: Vidisic gel</t>
  </si>
  <si>
    <t>Mantenho acompanhamento farmacoterapêutico diário. Monitoro função renal e ajusto doses conforme necessário.</t>
  </si>
  <si>
    <t>Descrição da Conduta</t>
  </si>
  <si>
    <t>Status da Intervenção</t>
  </si>
  <si>
    <t>Profissional Contatado</t>
  </si>
  <si>
    <t>Reconciliação Realizada?</t>
  </si>
  <si>
    <t>Recomendado ajuste renal do antimicrobiano.</t>
  </si>
  <si>
    <t>2026-04-03</t>
  </si>
  <si>
    <t>Ajuste de dose de ataque de vancomicina.</t>
  </si>
  <si>
    <t>📊 Indicadores da Farmácia Clínica</t>
  </si>
  <si>
    <t>Mês</t>
  </si>
  <si>
    <t>Ano</t>
  </si>
  <si>
    <t>Mês (nº) [aux]</t>
  </si>
  <si>
    <t>Data Início [aux]</t>
  </si>
  <si>
    <t>Data Fim [aux]</t>
  </si>
  <si>
    <t>Indicadores do Período</t>
  </si>
  <si>
    <t>Intervenções por Categoria (período/setor filtrado)</t>
  </si>
  <si>
    <t>Total de Intervenções</t>
  </si>
  <si>
    <t>Contagem</t>
  </si>
  <si>
    <t>Intervenções Aceitas</t>
  </si>
  <si>
    <t>Taxa de Aceitação (%)</t>
  </si>
  <si>
    <t>Total de Reconciliações</t>
  </si>
  <si>
    <t>Pacientes Ativos Cadastrados</t>
  </si>
  <si>
    <t>Pacientes com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</si>
</sst>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2563EB"/>
      <sz val="14"/>
    </font>
    <font>
      <b/>
      <color rgb="FFB45309"/>
    </font>
    <font>
      <b/>
      <color rgb="FF2563EB"/>
    </font>
    <font>
      <b/>
      <color rgb="FFFFFFFF"/>
      <sz val="10"/>
    </font>
    <font>
      <i/>
      <color rgb="FF6B7690"/>
    </font>
    <font>
      <b/>
      <color rgb="FF2563EB"/>
      <sz val="15"/>
    </font>
    <font>
      <b/>
    </font>
    <font>
      <b/>
      <color rgb="FFFFFFFF"/>
    </font>
    <font>
      <i/>
      <color rgb="FF4B615D"/>
      <sz val="9"/>
    </font>
    <font>
      <b/>
      <color rgb="FF2563EB"/>
      <sz val="13"/>
    </font>
    <font>
      <b/>
      <color rgb="FF2563EB"/>
      <sz val="12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8B5CF6"/>
      </patternFill>
    </fill>
    <fill>
      <patternFill patternType="solid">
        <fgColor rgb="FF6B7FE0"/>
      </patternFill>
    </fill>
    <fill>
      <patternFill patternType="solid">
        <fgColor rgb="FFF4F6FA"/>
      </patternFill>
    </fill>
    <fill>
      <patternFill patternType="solid">
        <fgColor rgb="FFEAF1FE"/>
      </patternFill>
    </fill>
  </fills>
  <borders count="4">
    <border>
      <left/>
      <right/>
      <top/>
      <bottom/>
      <diagonal/>
    </border>
    <border>
      <left style="thin">
        <color rgb="FFD7DEEA"/>
      </left>
      <right style="thin">
        <color rgb="FFD7DEEA"/>
      </right>
      <top style="thin">
        <color rgb="FFD7DEEA"/>
      </top>
      <bottom style="medium">
        <color rgb="FF1D4ED8"/>
      </bottom>
      <diagonal/>
    </border>
    <border>
      <left style="thin">
        <color rgb="FFD7DEEA"/>
      </left>
      <right style="thin">
        <color rgb="FFD7DEEA"/>
      </right>
      <top style="thin">
        <color rgb="FFD7DEEA"/>
      </top>
      <bottom style="thin">
        <color rgb="FFD7DEEA"/>
      </bottom>
      <diagonal/>
    </border>
    <border>
      <left/>
      <right/>
      <top/>
      <bottom style="thin">
        <color rgb="FFD7DEE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0" fillId="0" borderId="2" xfId="0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3" borderId="2" xfId="0" applyFont="1" applyFill="1" applyBorder="1"/>
    <xf numFmtId="0" fontId="9" fillId="0" borderId="0" xfId="0" applyFont="1"/>
    <xf numFmtId="164" fontId="9" fillId="0" borderId="0" xfId="0" applyNumberFormat="1" applyFont="1"/>
    <xf numFmtId="0" fontId="10" fillId="0" borderId="0" xfId="0" applyFont="1"/>
    <xf numFmtId="0" fontId="11" fillId="0" borderId="0" xfId="0" applyFont="1"/>
    <xf numFmtId="0" fontId="7" fillId="0" borderId="3" xfId="0" applyFont="1" applyBorder="1"/>
    <xf numFmtId="0" fontId="1" fillId="0" borderId="3" xfId="0" applyFont="1" applyBorder="1"/>
    <xf numFmtId="0" fontId="0" fillId="0" borderId="3" xfId="0" applyBorder="1"/>
    <xf numFmtId="0" fontId="0" fillId="6" borderId="3" xfId="0" applyFill="1" applyBorder="1"/>
  </cellXfs>
  <cellStyles count="1">
    <cellStyle name="Normal" xfId="0" builtinId="0"/>
  </cellStyles>
  <dxfs count="8">
    <dxf>
      <fill>
        <patternFill patternType="solid">
          <bgColor rgb="FFEAF1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7E9E7"/>
        </patternFill>
      </fill>
    </dxf>
    <dxf>
      <fill>
        <patternFill patternType="solid">
          <bgColor rgb="FFEAF1FE"/>
        </patternFill>
      </fill>
    </dxf>
    <dxf>
      <fill>
        <patternFill patternType="solid">
          <bgColor rgb="FFEAF1FE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CE7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4" width="42" customWidth="1"/>
  </cols>
  <sheetData>
    <row r="1" spans="1:14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</row>
    <row r="2" spans="1:14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</row>
    <row r="3" spans="1:14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24</v>
      </c>
      <c r="J3" t="s">
        <v>52</v>
      </c>
      <c r="K3" t="s">
        <v>53</v>
      </c>
      <c r="L3" t="s">
        <v>54</v>
      </c>
      <c r="M3" t="s">
        <v>55</v>
      </c>
      <c r="N3" t="s">
        <v>30</v>
      </c>
    </row>
    <row r="4" spans="1:14" x14ac:dyDescent="0.25">
      <c r="A4" t="s">
        <v>56</v>
      </c>
      <c r="D4" t="s">
        <v>57</v>
      </c>
      <c r="E4" t="s">
        <v>58</v>
      </c>
      <c r="G4" t="s">
        <v>59</v>
      </c>
      <c r="H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44</v>
      </c>
    </row>
    <row r="5" spans="4:14" x14ac:dyDescent="0.25">
      <c r="D5" t="s">
        <v>65</v>
      </c>
      <c r="E5" t="s">
        <v>66</v>
      </c>
      <c r="G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56</v>
      </c>
    </row>
    <row r="6" spans="4:13" x14ac:dyDescent="0.25">
      <c r="D6" t="s">
        <v>72</v>
      </c>
      <c r="E6" t="s">
        <v>73</v>
      </c>
      <c r="J6" t="s">
        <v>74</v>
      </c>
      <c r="K6" t="s">
        <v>75</v>
      </c>
      <c r="L6" t="s">
        <v>76</v>
      </c>
      <c r="M6" t="s">
        <v>77</v>
      </c>
    </row>
    <row r="7" spans="4:13" x14ac:dyDescent="0.25">
      <c r="D7" t="s">
        <v>78</v>
      </c>
      <c r="J7" t="s">
        <v>79</v>
      </c>
      <c r="L7" t="s">
        <v>80</v>
      </c>
      <c r="M7" t="s">
        <v>81</v>
      </c>
    </row>
    <row r="8" spans="10:13" x14ac:dyDescent="0.25">
      <c r="J8" t="s">
        <v>82</v>
      </c>
      <c r="L8" t="s">
        <v>83</v>
      </c>
      <c r="M8" t="s">
        <v>84</v>
      </c>
    </row>
    <row r="9" spans="10:13" x14ac:dyDescent="0.25">
      <c r="J9" t="s">
        <v>85</v>
      </c>
      <c r="L9" t="s">
        <v>86</v>
      </c>
      <c r="M9" t="s">
        <v>87</v>
      </c>
    </row>
    <row r="10" spans="10:13" x14ac:dyDescent="0.25">
      <c r="J10" t="s">
        <v>88</v>
      </c>
      <c r="M10" t="s">
        <v>89</v>
      </c>
    </row>
    <row r="11" spans="10:13" x14ac:dyDescent="0.25">
      <c r="J11" t="s">
        <v>90</v>
      </c>
      <c r="M11" t="s">
        <v>91</v>
      </c>
    </row>
    <row r="12" spans="10:13" x14ac:dyDescent="0.25">
      <c r="J12" t="s">
        <v>92</v>
      </c>
      <c r="M12" t="s">
        <v>93</v>
      </c>
    </row>
    <row r="13" spans="10:13" x14ac:dyDescent="0.25">
      <c r="J13" t="s">
        <v>94</v>
      </c>
      <c r="M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4" width="12" customWidth="1"/>
    <col min="5" max="5" width="10" customWidth="1"/>
    <col min="6" max="6" width="15" customWidth="1"/>
    <col min="7" max="7" width="13" customWidth="1"/>
    <col min="8" max="8" width="34" customWidth="1"/>
  </cols>
  <sheetData>
    <row r="1" ht="40" customHeight="1" spans="1:8" x14ac:dyDescent="0.25">
      <c r="A1" s="4" t="s">
        <v>96</v>
      </c>
      <c r="B1" s="4" t="s">
        <v>97</v>
      </c>
      <c r="C1" s="5" t="s">
        <v>16</v>
      </c>
      <c r="D1" s="4" t="s">
        <v>98</v>
      </c>
      <c r="E1" s="5" t="s">
        <v>99</v>
      </c>
      <c r="F1" s="4" t="s">
        <v>100</v>
      </c>
      <c r="G1" s="4" t="s">
        <v>101</v>
      </c>
      <c r="H1" s="4" t="s">
        <v>102</v>
      </c>
    </row>
    <row r="2" spans="1:8" x14ac:dyDescent="0.25">
      <c r="A2" s="6" t="s">
        <v>103</v>
      </c>
      <c r="B2" s="6" t="s">
        <v>104</v>
      </c>
      <c r="C2" s="6" t="s">
        <v>44</v>
      </c>
      <c r="D2" s="6" t="s">
        <v>105</v>
      </c>
      <c r="E2" s="6" t="s">
        <v>31</v>
      </c>
      <c r="F2" s="7" t="s">
        <v>106</v>
      </c>
      <c r="G2" s="7" t="s">
        <v>1</v>
      </c>
      <c r="H2" s="6" t="s">
        <v>107</v>
      </c>
    </row>
    <row r="3" spans="1:8" x14ac:dyDescent="0.25">
      <c r="A3" s="6" t="s">
        <v>108</v>
      </c>
      <c r="B3" s="6" t="s">
        <v>109</v>
      </c>
      <c r="C3" s="6" t="s">
        <v>30</v>
      </c>
      <c r="D3" s="6" t="s">
        <v>110</v>
      </c>
      <c r="E3" s="6" t="s">
        <v>45</v>
      </c>
      <c r="F3" s="7" t="s">
        <v>111</v>
      </c>
      <c r="G3" s="7" t="s">
        <v>112</v>
      </c>
      <c r="H3" s="6" t="s">
        <v>113</v>
      </c>
    </row>
    <row r="4" spans="1:8" x14ac:dyDescent="0.25">
      <c r="A4" s="6" t="s">
        <v>114</v>
      </c>
      <c r="B4" s="6" t="s">
        <v>115</v>
      </c>
      <c r="C4" s="6" t="s">
        <v>56</v>
      </c>
      <c r="D4" s="6" t="s">
        <v>116</v>
      </c>
      <c r="E4" s="6" t="s">
        <v>31</v>
      </c>
      <c r="F4" s="7" t="s">
        <v>117</v>
      </c>
      <c r="G4" s="7" t="s">
        <v>1</v>
      </c>
      <c r="H4" s="6" t="s">
        <v>118</v>
      </c>
    </row>
    <row r="5" spans="1:8" x14ac:dyDescent="0.25">
      <c r="A5" s="6"/>
      <c r="B5" s="6"/>
      <c r="C5" s="6"/>
      <c r="D5" s="6"/>
      <c r="E5" s="6"/>
      <c r="F5" s="7"/>
      <c r="G5" s="7"/>
      <c r="H5" s="6"/>
    </row>
    <row r="6" spans="1:8" x14ac:dyDescent="0.25">
      <c r="A6" s="6"/>
      <c r="B6" s="6"/>
      <c r="C6" s="6"/>
      <c r="D6" s="6"/>
      <c r="E6" s="6"/>
      <c r="F6" s="7"/>
      <c r="G6" s="7"/>
      <c r="H6" s="6"/>
    </row>
    <row r="7" spans="1:8" x14ac:dyDescent="0.25">
      <c r="A7" s="6"/>
      <c r="B7" s="6"/>
      <c r="C7" s="6"/>
      <c r="D7" s="6"/>
      <c r="E7" s="6"/>
      <c r="F7" s="7"/>
      <c r="G7" s="7"/>
      <c r="H7" s="6"/>
    </row>
    <row r="8" spans="1:8" x14ac:dyDescent="0.25">
      <c r="A8" s="6"/>
      <c r="B8" s="6"/>
      <c r="C8" s="6"/>
      <c r="D8" s="6"/>
      <c r="E8" s="6"/>
      <c r="F8" s="7"/>
      <c r="G8" s="7"/>
      <c r="H8" s="6"/>
    </row>
    <row r="9" spans="1:8" x14ac:dyDescent="0.25">
      <c r="A9" s="6"/>
      <c r="B9" s="6"/>
      <c r="C9" s="6"/>
      <c r="D9" s="6"/>
      <c r="E9" s="6"/>
      <c r="F9" s="7"/>
      <c r="G9" s="7"/>
      <c r="H9" s="6"/>
    </row>
    <row r="10" spans="1:8" x14ac:dyDescent="0.25">
      <c r="A10" s="6"/>
      <c r="B10" s="6"/>
      <c r="C10" s="6"/>
      <c r="D10" s="6"/>
      <c r="E10" s="6"/>
      <c r="F10" s="7"/>
      <c r="G10" s="7"/>
      <c r="H10" s="6"/>
    </row>
    <row r="11" spans="1:8" x14ac:dyDescent="0.25">
      <c r="A11" s="6"/>
      <c r="B11" s="6"/>
      <c r="C11" s="6"/>
      <c r="D11" s="6"/>
      <c r="E11" s="6"/>
      <c r="F11" s="7"/>
      <c r="G11" s="7"/>
      <c r="H11" s="6"/>
    </row>
    <row r="12" spans="1:8" x14ac:dyDescent="0.25">
      <c r="A12" s="6"/>
      <c r="B12" s="6"/>
      <c r="C12" s="6"/>
      <c r="D12" s="6"/>
      <c r="E12" s="6"/>
      <c r="F12" s="7"/>
      <c r="G12" s="7"/>
      <c r="H12" s="6"/>
    </row>
    <row r="13" spans="1:8" x14ac:dyDescent="0.25">
      <c r="A13" s="6"/>
      <c r="B13" s="6"/>
      <c r="C13" s="6"/>
      <c r="D13" s="6"/>
      <c r="E13" s="6"/>
      <c r="F13" s="7"/>
      <c r="G13" s="7"/>
      <c r="H13" s="6"/>
    </row>
    <row r="14" spans="1:8" x14ac:dyDescent="0.25">
      <c r="A14" s="6"/>
      <c r="B14" s="6"/>
      <c r="C14" s="6"/>
      <c r="D14" s="6"/>
      <c r="E14" s="6"/>
      <c r="F14" s="7"/>
      <c r="G14" s="7"/>
      <c r="H14" s="6"/>
    </row>
    <row r="15" spans="1:8" x14ac:dyDescent="0.25">
      <c r="A15" s="6"/>
      <c r="B15" s="6"/>
      <c r="C15" s="6"/>
      <c r="D15" s="6"/>
      <c r="E15" s="6"/>
      <c r="F15" s="7"/>
      <c r="G15" s="7"/>
      <c r="H15" s="6"/>
    </row>
    <row r="16" spans="1:8" x14ac:dyDescent="0.25">
      <c r="A16" s="6"/>
      <c r="B16" s="6"/>
      <c r="C16" s="6"/>
      <c r="D16" s="6"/>
      <c r="E16" s="6"/>
      <c r="F16" s="7"/>
      <c r="G16" s="7"/>
      <c r="H16" s="6"/>
    </row>
    <row r="17" spans="1:8" x14ac:dyDescent="0.25">
      <c r="A17" s="6"/>
      <c r="B17" s="6"/>
      <c r="C17" s="6"/>
      <c r="D17" s="6"/>
      <c r="E17" s="6"/>
      <c r="F17" s="7"/>
      <c r="G17" s="7"/>
      <c r="H17" s="6"/>
    </row>
    <row r="18" spans="1:8" x14ac:dyDescent="0.25">
      <c r="A18" s="6"/>
      <c r="B18" s="6"/>
      <c r="C18" s="6"/>
      <c r="D18" s="6"/>
      <c r="E18" s="6"/>
      <c r="F18" s="7"/>
      <c r="G18" s="7"/>
      <c r="H18" s="6"/>
    </row>
    <row r="19" spans="1:8" x14ac:dyDescent="0.25">
      <c r="A19" s="6"/>
      <c r="B19" s="6"/>
      <c r="C19" s="6"/>
      <c r="D19" s="6"/>
      <c r="E19" s="6"/>
      <c r="F19" s="7"/>
      <c r="G19" s="7"/>
      <c r="H19" s="6"/>
    </row>
    <row r="20" spans="1:8" x14ac:dyDescent="0.25">
      <c r="A20" s="6"/>
      <c r="B20" s="6"/>
      <c r="C20" s="6"/>
      <c r="D20" s="6"/>
      <c r="E20" s="6"/>
      <c r="F20" s="7"/>
      <c r="G20" s="7"/>
      <c r="H20" s="6"/>
    </row>
    <row r="21" spans="1:8" x14ac:dyDescent="0.25">
      <c r="A21" s="6"/>
      <c r="B21" s="6"/>
      <c r="C21" s="6"/>
      <c r="D21" s="6"/>
      <c r="E21" s="6"/>
      <c r="F21" s="7"/>
      <c r="G21" s="7"/>
      <c r="H21" s="6"/>
    </row>
    <row r="22" spans="1:8" x14ac:dyDescent="0.25">
      <c r="A22" s="6"/>
      <c r="B22" s="6"/>
      <c r="C22" s="6"/>
      <c r="D22" s="6"/>
      <c r="E22" s="6"/>
      <c r="F22" s="7"/>
      <c r="G22" s="7"/>
      <c r="H22" s="6"/>
    </row>
    <row r="23" spans="1:8" x14ac:dyDescent="0.25">
      <c r="A23" s="6"/>
      <c r="B23" s="6"/>
      <c r="C23" s="6"/>
      <c r="D23" s="6"/>
      <c r="E23" s="6"/>
      <c r="F23" s="7"/>
      <c r="G23" s="7"/>
      <c r="H23" s="6"/>
    </row>
    <row r="24" spans="1:8" x14ac:dyDescent="0.25">
      <c r="A24" s="6"/>
      <c r="B24" s="6"/>
      <c r="C24" s="6"/>
      <c r="D24" s="6"/>
      <c r="E24" s="6"/>
      <c r="F24" s="7"/>
      <c r="G24" s="7"/>
      <c r="H24" s="6"/>
    </row>
    <row r="25" spans="1:8" x14ac:dyDescent="0.25">
      <c r="A25" s="6"/>
      <c r="B25" s="6"/>
      <c r="C25" s="6"/>
      <c r="D25" s="6"/>
      <c r="E25" s="6"/>
      <c r="F25" s="7"/>
      <c r="G25" s="7"/>
      <c r="H25" s="6"/>
    </row>
    <row r="26" spans="1:8" x14ac:dyDescent="0.25">
      <c r="A26" s="6"/>
      <c r="B26" s="6"/>
      <c r="C26" s="6"/>
      <c r="D26" s="6"/>
      <c r="E26" s="6"/>
      <c r="F26" s="7"/>
      <c r="G26" s="7"/>
      <c r="H26" s="6"/>
    </row>
    <row r="27" spans="1:8" x14ac:dyDescent="0.25">
      <c r="A27" s="6"/>
      <c r="B27" s="6"/>
      <c r="C27" s="6"/>
      <c r="D27" s="6"/>
      <c r="E27" s="6"/>
      <c r="F27" s="7"/>
      <c r="G27" s="7"/>
      <c r="H27" s="6"/>
    </row>
    <row r="28" spans="1:8" x14ac:dyDescent="0.25">
      <c r="A28" s="6"/>
      <c r="B28" s="6"/>
      <c r="C28" s="6"/>
      <c r="D28" s="6"/>
      <c r="E28" s="6"/>
      <c r="F28" s="7"/>
      <c r="G28" s="7"/>
      <c r="H28" s="6"/>
    </row>
    <row r="29" spans="1:8" x14ac:dyDescent="0.25">
      <c r="A29" s="6"/>
      <c r="B29" s="6"/>
      <c r="C29" s="6"/>
      <c r="D29" s="6"/>
      <c r="E29" s="6"/>
      <c r="F29" s="7"/>
      <c r="G29" s="7"/>
      <c r="H29" s="6"/>
    </row>
    <row r="30" spans="1:8" x14ac:dyDescent="0.25">
      <c r="A30" s="6"/>
      <c r="B30" s="6"/>
      <c r="C30" s="6"/>
      <c r="D30" s="6"/>
      <c r="E30" s="6"/>
      <c r="F30" s="7"/>
      <c r="G30" s="7"/>
      <c r="H30" s="6"/>
    </row>
    <row r="31" spans="1:8" x14ac:dyDescent="0.25">
      <c r="A31" s="6"/>
      <c r="B31" s="6"/>
      <c r="C31" s="6"/>
      <c r="D31" s="6"/>
      <c r="E31" s="6"/>
      <c r="F31" s="7"/>
      <c r="G31" s="7"/>
      <c r="H31" s="6"/>
    </row>
    <row r="32" spans="1:8" x14ac:dyDescent="0.25">
      <c r="A32" s="6"/>
      <c r="B32" s="6"/>
      <c r="C32" s="6"/>
      <c r="D32" s="6"/>
      <c r="E32" s="6"/>
      <c r="F32" s="7"/>
      <c r="G32" s="7"/>
      <c r="H32" s="6"/>
    </row>
    <row r="33" spans="1:8" x14ac:dyDescent="0.25">
      <c r="A33" s="6"/>
      <c r="B33" s="6"/>
      <c r="C33" s="6"/>
      <c r="D33" s="6"/>
      <c r="E33" s="6"/>
      <c r="F33" s="7"/>
      <c r="G33" s="7"/>
      <c r="H33" s="6"/>
    </row>
    <row r="34" spans="1:8" x14ac:dyDescent="0.25">
      <c r="A34" s="6"/>
      <c r="B34" s="6"/>
      <c r="C34" s="6"/>
      <c r="D34" s="6"/>
      <c r="E34" s="6"/>
      <c r="F34" s="7"/>
      <c r="G34" s="7"/>
      <c r="H34" s="6"/>
    </row>
    <row r="35" spans="1:8" x14ac:dyDescent="0.25">
      <c r="A35" s="6"/>
      <c r="B35" s="6"/>
      <c r="C35" s="6"/>
      <c r="D35" s="6"/>
      <c r="E35" s="6"/>
      <c r="F35" s="7"/>
      <c r="G35" s="7"/>
      <c r="H35" s="6"/>
    </row>
    <row r="36" spans="1:8" x14ac:dyDescent="0.25">
      <c r="A36" s="6"/>
      <c r="B36" s="6"/>
      <c r="C36" s="6"/>
      <c r="D36" s="6"/>
      <c r="E36" s="6"/>
      <c r="F36" s="7"/>
      <c r="G36" s="7"/>
      <c r="H36" s="6"/>
    </row>
    <row r="37" spans="1:8" x14ac:dyDescent="0.25">
      <c r="A37" s="6"/>
      <c r="B37" s="6"/>
      <c r="C37" s="6"/>
      <c r="D37" s="6"/>
      <c r="E37" s="6"/>
      <c r="F37" s="7"/>
      <c r="G37" s="7"/>
      <c r="H37" s="6"/>
    </row>
    <row r="38" spans="1:8" x14ac:dyDescent="0.25">
      <c r="A38" s="6"/>
      <c r="B38" s="6"/>
      <c r="C38" s="6"/>
      <c r="D38" s="6"/>
      <c r="E38" s="6"/>
      <c r="F38" s="7"/>
      <c r="G38" s="7"/>
      <c r="H38" s="6"/>
    </row>
    <row r="39" spans="1:8" x14ac:dyDescent="0.25">
      <c r="A39" s="6"/>
      <c r="B39" s="6"/>
      <c r="C39" s="6"/>
      <c r="D39" s="6"/>
      <c r="E39" s="6"/>
      <c r="F39" s="7"/>
      <c r="G39" s="7"/>
      <c r="H39" s="6"/>
    </row>
    <row r="40" spans="1:8" x14ac:dyDescent="0.25">
      <c r="A40" s="6"/>
      <c r="B40" s="6"/>
      <c r="C40" s="6"/>
      <c r="D40" s="6"/>
      <c r="E40" s="6"/>
      <c r="F40" s="7"/>
      <c r="G40" s="7"/>
      <c r="H40" s="6"/>
    </row>
    <row r="41" spans="1:8" x14ac:dyDescent="0.25">
      <c r="A41" s="6"/>
      <c r="B41" s="6"/>
      <c r="C41" s="6"/>
      <c r="D41" s="6"/>
      <c r="E41" s="6"/>
      <c r="F41" s="7"/>
      <c r="G41" s="7"/>
      <c r="H41" s="6"/>
    </row>
    <row r="42" spans="1:8" x14ac:dyDescent="0.25">
      <c r="A42" s="6"/>
      <c r="B42" s="6"/>
      <c r="C42" s="6"/>
      <c r="D42" s="6"/>
      <c r="E42" s="6"/>
      <c r="F42" s="7"/>
      <c r="G42" s="7"/>
      <c r="H42" s="6"/>
    </row>
    <row r="43" spans="1:8" x14ac:dyDescent="0.25">
      <c r="A43" s="6"/>
      <c r="B43" s="6"/>
      <c r="C43" s="6"/>
      <c r="D43" s="6"/>
      <c r="E43" s="6"/>
      <c r="F43" s="7"/>
      <c r="G43" s="7"/>
      <c r="H43" s="6"/>
    </row>
    <row r="44" spans="1:8" x14ac:dyDescent="0.25">
      <c r="A44" s="6"/>
      <c r="B44" s="6"/>
      <c r="C44" s="6"/>
      <c r="D44" s="6"/>
      <c r="E44" s="6"/>
      <c r="F44" s="7"/>
      <c r="G44" s="7"/>
      <c r="H44" s="6"/>
    </row>
    <row r="45" spans="1:8" x14ac:dyDescent="0.25">
      <c r="A45" s="6"/>
      <c r="B45" s="6"/>
      <c r="C45" s="6"/>
      <c r="D45" s="6"/>
      <c r="E45" s="6"/>
      <c r="F45" s="7"/>
      <c r="G45" s="7"/>
      <c r="H45" s="6"/>
    </row>
    <row r="46" spans="1:8" x14ac:dyDescent="0.25">
      <c r="A46" s="6"/>
      <c r="B46" s="6"/>
      <c r="C46" s="6"/>
      <c r="D46" s="6"/>
      <c r="E46" s="6"/>
      <c r="F46" s="7"/>
      <c r="G46" s="7"/>
      <c r="H46" s="6"/>
    </row>
    <row r="47" spans="1:8" x14ac:dyDescent="0.25">
      <c r="A47" s="6"/>
      <c r="B47" s="6"/>
      <c r="C47" s="6"/>
      <c r="D47" s="6"/>
      <c r="E47" s="6"/>
      <c r="F47" s="7"/>
      <c r="G47" s="7"/>
      <c r="H47" s="6"/>
    </row>
    <row r="48" spans="1:8" x14ac:dyDescent="0.25">
      <c r="A48" s="6"/>
      <c r="B48" s="6"/>
      <c r="C48" s="6"/>
      <c r="D48" s="6"/>
      <c r="E48" s="6"/>
      <c r="F48" s="7"/>
      <c r="G48" s="7"/>
      <c r="H48" s="6"/>
    </row>
    <row r="49" spans="1:8" x14ac:dyDescent="0.25">
      <c r="A49" s="6"/>
      <c r="B49" s="6"/>
      <c r="C49" s="6"/>
      <c r="D49" s="6"/>
      <c r="E49" s="6"/>
      <c r="F49" s="7"/>
      <c r="G49" s="7"/>
      <c r="H49" s="6"/>
    </row>
    <row r="50" spans="1:8" x14ac:dyDescent="0.25">
      <c r="A50" s="6"/>
      <c r="B50" s="6"/>
      <c r="C50" s="6"/>
      <c r="D50" s="6"/>
      <c r="E50" s="6"/>
      <c r="F50" s="7"/>
      <c r="G50" s="7"/>
      <c r="H50" s="6"/>
    </row>
    <row r="51" spans="1:8" x14ac:dyDescent="0.25">
      <c r="A51" s="6"/>
      <c r="B51" s="6"/>
      <c r="C51" s="6"/>
      <c r="D51" s="6"/>
      <c r="E51" s="6"/>
      <c r="F51" s="7"/>
      <c r="G51" s="7"/>
      <c r="H51" s="6"/>
    </row>
    <row r="52" spans="1:8" x14ac:dyDescent="0.25">
      <c r="A52" s="6"/>
      <c r="B52" s="6"/>
      <c r="C52" s="6"/>
      <c r="D52" s="6"/>
      <c r="E52" s="6"/>
      <c r="F52" s="7"/>
      <c r="G52" s="7"/>
      <c r="H52" s="6"/>
    </row>
    <row r="53" spans="1:8" x14ac:dyDescent="0.25">
      <c r="A53" s="6"/>
      <c r="B53" s="6"/>
      <c r="C53" s="6"/>
      <c r="D53" s="6"/>
      <c r="E53" s="6"/>
      <c r="F53" s="7"/>
      <c r="G53" s="7"/>
      <c r="H53" s="6"/>
    </row>
    <row r="54" spans="1:8" x14ac:dyDescent="0.25">
      <c r="A54" s="6"/>
      <c r="B54" s="6"/>
      <c r="C54" s="6"/>
      <c r="D54" s="6"/>
      <c r="E54" s="6"/>
      <c r="F54" s="7"/>
      <c r="G54" s="7"/>
      <c r="H54" s="6"/>
    </row>
    <row r="55" spans="1:8" x14ac:dyDescent="0.25">
      <c r="A55" s="6"/>
      <c r="B55" s="6"/>
      <c r="C55" s="6"/>
      <c r="D55" s="6"/>
      <c r="E55" s="6"/>
      <c r="F55" s="7"/>
      <c r="G55" s="7"/>
      <c r="H55" s="6"/>
    </row>
    <row r="56" spans="1:8" x14ac:dyDescent="0.25">
      <c r="A56" s="6"/>
      <c r="B56" s="6"/>
      <c r="C56" s="6"/>
      <c r="D56" s="6"/>
      <c r="E56" s="6"/>
      <c r="F56" s="7"/>
      <c r="G56" s="7"/>
      <c r="H56" s="6"/>
    </row>
    <row r="57" spans="1:8" x14ac:dyDescent="0.25">
      <c r="A57" s="6"/>
      <c r="B57" s="6"/>
      <c r="C57" s="6"/>
      <c r="D57" s="6"/>
      <c r="E57" s="6"/>
      <c r="F57" s="7"/>
      <c r="G57" s="7"/>
      <c r="H57" s="6"/>
    </row>
    <row r="58" spans="1:8" x14ac:dyDescent="0.25">
      <c r="A58" s="6"/>
      <c r="B58" s="6"/>
      <c r="C58" s="6"/>
      <c r="D58" s="6"/>
      <c r="E58" s="6"/>
      <c r="F58" s="7"/>
      <c r="G58" s="7"/>
      <c r="H58" s="6"/>
    </row>
    <row r="59" spans="1:8" x14ac:dyDescent="0.25">
      <c r="A59" s="6"/>
      <c r="B59" s="6"/>
      <c r="C59" s="6"/>
      <c r="D59" s="6"/>
      <c r="E59" s="6"/>
      <c r="F59" s="7"/>
      <c r="G59" s="7"/>
      <c r="H59" s="6"/>
    </row>
    <row r="60" spans="1:8" x14ac:dyDescent="0.25">
      <c r="A60" s="6"/>
      <c r="B60" s="6"/>
      <c r="C60" s="6"/>
      <c r="D60" s="6"/>
      <c r="E60" s="6"/>
      <c r="F60" s="7"/>
      <c r="G60" s="7"/>
      <c r="H60" s="6"/>
    </row>
    <row r="61" spans="1:8" x14ac:dyDescent="0.25">
      <c r="A61" s="6"/>
      <c r="B61" s="6"/>
      <c r="C61" s="6"/>
      <c r="D61" s="6"/>
      <c r="E61" s="6"/>
      <c r="F61" s="7"/>
      <c r="G61" s="7"/>
      <c r="H61" s="6"/>
    </row>
    <row r="62" spans="1:8" x14ac:dyDescent="0.25">
      <c r="A62" s="6"/>
      <c r="B62" s="6"/>
      <c r="C62" s="6"/>
      <c r="D62" s="6"/>
      <c r="E62" s="6"/>
      <c r="F62" s="7"/>
      <c r="G62" s="7"/>
      <c r="H62" s="6"/>
    </row>
    <row r="63" spans="1:8" x14ac:dyDescent="0.25">
      <c r="A63" s="6"/>
      <c r="B63" s="6"/>
      <c r="C63" s="6"/>
      <c r="D63" s="6"/>
      <c r="E63" s="6"/>
      <c r="F63" s="7"/>
      <c r="G63" s="7"/>
      <c r="H63" s="6"/>
    </row>
    <row r="64" spans="1:8" x14ac:dyDescent="0.25">
      <c r="A64" s="6"/>
      <c r="B64" s="6"/>
      <c r="C64" s="6"/>
      <c r="D64" s="6"/>
      <c r="E64" s="6"/>
      <c r="F64" s="7"/>
      <c r="G64" s="7"/>
      <c r="H64" s="6"/>
    </row>
    <row r="65" spans="1:8" x14ac:dyDescent="0.25">
      <c r="A65" s="6"/>
      <c r="B65" s="6"/>
      <c r="C65" s="6"/>
      <c r="D65" s="6"/>
      <c r="E65" s="6"/>
      <c r="F65" s="7"/>
      <c r="G65" s="7"/>
      <c r="H65" s="6"/>
    </row>
    <row r="66" spans="1:8" x14ac:dyDescent="0.25">
      <c r="A66" s="6"/>
      <c r="B66" s="6"/>
      <c r="C66" s="6"/>
      <c r="D66" s="6"/>
      <c r="E66" s="6"/>
      <c r="F66" s="7"/>
      <c r="G66" s="7"/>
      <c r="H66" s="6"/>
    </row>
    <row r="67" spans="1:8" x14ac:dyDescent="0.25">
      <c r="A67" s="6"/>
      <c r="B67" s="6"/>
      <c r="C67" s="6"/>
      <c r="D67" s="6"/>
      <c r="E67" s="6"/>
      <c r="F67" s="7"/>
      <c r="G67" s="7"/>
      <c r="H67" s="6"/>
    </row>
    <row r="68" spans="1:8" x14ac:dyDescent="0.25">
      <c r="A68" s="6"/>
      <c r="B68" s="6"/>
      <c r="C68" s="6"/>
      <c r="D68" s="6"/>
      <c r="E68" s="6"/>
      <c r="F68" s="7"/>
      <c r="G68" s="7"/>
      <c r="H68" s="6"/>
    </row>
    <row r="69" spans="1:8" x14ac:dyDescent="0.25">
      <c r="A69" s="6"/>
      <c r="B69" s="6"/>
      <c r="C69" s="6"/>
      <c r="D69" s="6"/>
      <c r="E69" s="6"/>
      <c r="F69" s="7"/>
      <c r="G69" s="7"/>
      <c r="H69" s="6"/>
    </row>
    <row r="70" spans="1:8" x14ac:dyDescent="0.25">
      <c r="A70" s="6"/>
      <c r="B70" s="6"/>
      <c r="C70" s="6"/>
      <c r="D70" s="6"/>
      <c r="E70" s="6"/>
      <c r="F70" s="7"/>
      <c r="G70" s="7"/>
      <c r="H70" s="6"/>
    </row>
    <row r="71" spans="1:8" x14ac:dyDescent="0.25">
      <c r="A71" s="6"/>
      <c r="B71" s="6"/>
      <c r="C71" s="6"/>
      <c r="D71" s="6"/>
      <c r="E71" s="6"/>
      <c r="F71" s="7"/>
      <c r="G71" s="7"/>
      <c r="H71" s="6"/>
    </row>
    <row r="72" spans="1:8" x14ac:dyDescent="0.25">
      <c r="A72" s="6"/>
      <c r="B72" s="6"/>
      <c r="C72" s="6"/>
      <c r="D72" s="6"/>
      <c r="E72" s="6"/>
      <c r="F72" s="7"/>
      <c r="G72" s="7"/>
      <c r="H72" s="6"/>
    </row>
    <row r="73" spans="1:8" x14ac:dyDescent="0.25">
      <c r="A73" s="6"/>
      <c r="B73" s="6"/>
      <c r="C73" s="6"/>
      <c r="D73" s="6"/>
      <c r="E73" s="6"/>
      <c r="F73" s="7"/>
      <c r="G73" s="7"/>
      <c r="H73" s="6"/>
    </row>
    <row r="74" spans="1:8" x14ac:dyDescent="0.25">
      <c r="A74" s="6"/>
      <c r="B74" s="6"/>
      <c r="C74" s="6"/>
      <c r="D74" s="6"/>
      <c r="E74" s="6"/>
      <c r="F74" s="7"/>
      <c r="G74" s="7"/>
      <c r="H74" s="6"/>
    </row>
    <row r="75" spans="1:8" x14ac:dyDescent="0.25">
      <c r="A75" s="6"/>
      <c r="B75" s="6"/>
      <c r="C75" s="6"/>
      <c r="D75" s="6"/>
      <c r="E75" s="6"/>
      <c r="F75" s="7"/>
      <c r="G75" s="7"/>
      <c r="H75" s="6"/>
    </row>
    <row r="76" spans="1:8" x14ac:dyDescent="0.25">
      <c r="A76" s="6"/>
      <c r="B76" s="6"/>
      <c r="C76" s="6"/>
      <c r="D76" s="6"/>
      <c r="E76" s="6"/>
      <c r="F76" s="7"/>
      <c r="G76" s="7"/>
      <c r="H76" s="6"/>
    </row>
    <row r="77" spans="1:8" x14ac:dyDescent="0.25">
      <c r="A77" s="6"/>
      <c r="B77" s="6"/>
      <c r="C77" s="6"/>
      <c r="D77" s="6"/>
      <c r="E77" s="6"/>
      <c r="F77" s="7"/>
      <c r="G77" s="7"/>
      <c r="H77" s="6"/>
    </row>
    <row r="78" spans="1:8" x14ac:dyDescent="0.25">
      <c r="A78" s="6"/>
      <c r="B78" s="6"/>
      <c r="C78" s="6"/>
      <c r="D78" s="6"/>
      <c r="E78" s="6"/>
      <c r="F78" s="7"/>
      <c r="G78" s="7"/>
      <c r="H78" s="6"/>
    </row>
    <row r="79" spans="1:8" x14ac:dyDescent="0.25">
      <c r="A79" s="6"/>
      <c r="B79" s="6"/>
      <c r="C79" s="6"/>
      <c r="D79" s="6"/>
      <c r="E79" s="6"/>
      <c r="F79" s="7"/>
      <c r="G79" s="7"/>
      <c r="H79" s="6"/>
    </row>
    <row r="80" spans="1:8" x14ac:dyDescent="0.25">
      <c r="A80" s="6"/>
      <c r="B80" s="6"/>
      <c r="C80" s="6"/>
      <c r="D80" s="6"/>
      <c r="E80" s="6"/>
      <c r="F80" s="7"/>
      <c r="G80" s="7"/>
      <c r="H80" s="6"/>
    </row>
    <row r="81" spans="1:8" x14ac:dyDescent="0.25">
      <c r="A81" s="6"/>
      <c r="B81" s="6"/>
      <c r="C81" s="6"/>
      <c r="D81" s="6"/>
      <c r="E81" s="6"/>
      <c r="F81" s="7"/>
      <c r="G81" s="7"/>
      <c r="H81" s="6"/>
    </row>
    <row r="82" spans="1:8" x14ac:dyDescent="0.25">
      <c r="A82" s="6"/>
      <c r="B82" s="6"/>
      <c r="C82" s="6"/>
      <c r="D82" s="6"/>
      <c r="E82" s="6"/>
      <c r="F82" s="7"/>
      <c r="G82" s="7"/>
      <c r="H82" s="6"/>
    </row>
    <row r="83" spans="1:8" x14ac:dyDescent="0.25">
      <c r="A83" s="6"/>
      <c r="B83" s="6"/>
      <c r="C83" s="6"/>
      <c r="D83" s="6"/>
      <c r="E83" s="6"/>
      <c r="F83" s="7"/>
      <c r="G83" s="7"/>
      <c r="H83" s="6"/>
    </row>
    <row r="84" spans="1:8" x14ac:dyDescent="0.25">
      <c r="A84" s="6"/>
      <c r="B84" s="6"/>
      <c r="C84" s="6"/>
      <c r="D84" s="6"/>
      <c r="E84" s="6"/>
      <c r="F84" s="7"/>
      <c r="G84" s="7"/>
      <c r="H84" s="6"/>
    </row>
    <row r="85" spans="1:8" x14ac:dyDescent="0.25">
      <c r="A85" s="6"/>
      <c r="B85" s="6"/>
      <c r="C85" s="6"/>
      <c r="D85" s="6"/>
      <c r="E85" s="6"/>
      <c r="F85" s="7"/>
      <c r="G85" s="7"/>
      <c r="H85" s="6"/>
    </row>
    <row r="86" spans="1:8" x14ac:dyDescent="0.25">
      <c r="A86" s="6"/>
      <c r="B86" s="6"/>
      <c r="C86" s="6"/>
      <c r="D86" s="6"/>
      <c r="E86" s="6"/>
      <c r="F86" s="7"/>
      <c r="G86" s="7"/>
      <c r="H86" s="6"/>
    </row>
    <row r="87" spans="1:8" x14ac:dyDescent="0.25">
      <c r="A87" s="6"/>
      <c r="B87" s="6"/>
      <c r="C87" s="6"/>
      <c r="D87" s="6"/>
      <c r="E87" s="6"/>
      <c r="F87" s="7"/>
      <c r="G87" s="7"/>
      <c r="H87" s="6"/>
    </row>
    <row r="88" spans="1:8" x14ac:dyDescent="0.25">
      <c r="A88" s="6"/>
      <c r="B88" s="6"/>
      <c r="C88" s="6"/>
      <c r="D88" s="6"/>
      <c r="E88" s="6"/>
      <c r="F88" s="7"/>
      <c r="G88" s="7"/>
      <c r="H88" s="6"/>
    </row>
    <row r="89" spans="1:8" x14ac:dyDescent="0.25">
      <c r="A89" s="6"/>
      <c r="B89" s="6"/>
      <c r="C89" s="6"/>
      <c r="D89" s="6"/>
      <c r="E89" s="6"/>
      <c r="F89" s="7"/>
      <c r="G89" s="7"/>
      <c r="H89" s="6"/>
    </row>
    <row r="90" spans="1:8" x14ac:dyDescent="0.25">
      <c r="A90" s="6"/>
      <c r="B90" s="6"/>
      <c r="C90" s="6"/>
      <c r="D90" s="6"/>
      <c r="E90" s="6"/>
      <c r="F90" s="7"/>
      <c r="G90" s="7"/>
      <c r="H90" s="6"/>
    </row>
    <row r="91" spans="1:8" x14ac:dyDescent="0.25">
      <c r="A91" s="6"/>
      <c r="B91" s="6"/>
      <c r="C91" s="6"/>
      <c r="D91" s="6"/>
      <c r="E91" s="6"/>
      <c r="F91" s="7"/>
      <c r="G91" s="7"/>
      <c r="H91" s="6"/>
    </row>
    <row r="92" spans="1:8" x14ac:dyDescent="0.25">
      <c r="A92" s="6"/>
      <c r="B92" s="6"/>
      <c r="C92" s="6"/>
      <c r="D92" s="6"/>
      <c r="E92" s="6"/>
      <c r="F92" s="7"/>
      <c r="G92" s="7"/>
      <c r="H92" s="6"/>
    </row>
    <row r="93" spans="1:8" x14ac:dyDescent="0.25">
      <c r="A93" s="6"/>
      <c r="B93" s="6"/>
      <c r="C93" s="6"/>
      <c r="D93" s="6"/>
      <c r="E93" s="6"/>
      <c r="F93" s="7"/>
      <c r="G93" s="7"/>
      <c r="H93" s="6"/>
    </row>
    <row r="94" spans="1:8" x14ac:dyDescent="0.25">
      <c r="A94" s="6"/>
      <c r="B94" s="6"/>
      <c r="C94" s="6"/>
      <c r="D94" s="6"/>
      <c r="E94" s="6"/>
      <c r="F94" s="7"/>
      <c r="G94" s="7"/>
      <c r="H94" s="6"/>
    </row>
    <row r="95" spans="1:8" x14ac:dyDescent="0.25">
      <c r="A95" s="6"/>
      <c r="B95" s="6"/>
      <c r="C95" s="6"/>
      <c r="D95" s="6"/>
      <c r="E95" s="6"/>
      <c r="F95" s="7"/>
      <c r="G95" s="7"/>
      <c r="H95" s="6"/>
    </row>
    <row r="96" spans="1:8" x14ac:dyDescent="0.25">
      <c r="A96" s="6"/>
      <c r="B96" s="6"/>
      <c r="C96" s="6"/>
      <c r="D96" s="6"/>
      <c r="E96" s="6"/>
      <c r="F96" s="7"/>
      <c r="G96" s="7"/>
      <c r="H96" s="6"/>
    </row>
    <row r="97" spans="1:8" x14ac:dyDescent="0.25">
      <c r="A97" s="6"/>
      <c r="B97" s="6"/>
      <c r="C97" s="6"/>
      <c r="D97" s="6"/>
      <c r="E97" s="6"/>
      <c r="F97" s="7"/>
      <c r="G97" s="7"/>
      <c r="H97" s="6"/>
    </row>
    <row r="98" spans="1:8" x14ac:dyDescent="0.25">
      <c r="A98" s="6"/>
      <c r="B98" s="6"/>
      <c r="C98" s="6"/>
      <c r="D98" s="6"/>
      <c r="E98" s="6"/>
      <c r="F98" s="7"/>
      <c r="G98" s="7"/>
      <c r="H98" s="6"/>
    </row>
    <row r="99" spans="1:8" x14ac:dyDescent="0.25">
      <c r="A99" s="6"/>
      <c r="B99" s="6"/>
      <c r="C99" s="6"/>
      <c r="D99" s="6"/>
      <c r="E99" s="6"/>
      <c r="F99" s="7"/>
      <c r="G99" s="7"/>
      <c r="H99" s="6"/>
    </row>
    <row r="100" spans="1:8" x14ac:dyDescent="0.25">
      <c r="A100" s="6"/>
      <c r="B100" s="6"/>
      <c r="C100" s="6"/>
      <c r="D100" s="6"/>
      <c r="E100" s="6"/>
      <c r="F100" s="7"/>
      <c r="G100" s="7"/>
      <c r="H100" s="6"/>
    </row>
    <row r="101" spans="1:8" x14ac:dyDescent="0.25">
      <c r="A101" s="6"/>
      <c r="B101" s="6"/>
      <c r="C101" s="6"/>
      <c r="D101" s="6"/>
      <c r="E101" s="6"/>
      <c r="F101" s="7"/>
      <c r="G101" s="7"/>
      <c r="H101" s="6"/>
    </row>
    <row r="102" spans="1:8" x14ac:dyDescent="0.25">
      <c r="A102" s="6"/>
      <c r="B102" s="6"/>
      <c r="C102" s="6"/>
      <c r="D102" s="6"/>
      <c r="E102" s="6"/>
      <c r="F102" s="7"/>
      <c r="G102" s="7"/>
      <c r="H102" s="6"/>
    </row>
    <row r="103" spans="1:8" x14ac:dyDescent="0.25">
      <c r="A103" s="6"/>
      <c r="B103" s="6"/>
      <c r="C103" s="6"/>
      <c r="D103" s="6"/>
      <c r="E103" s="6"/>
      <c r="F103" s="7"/>
      <c r="G103" s="7"/>
      <c r="H103" s="6"/>
    </row>
    <row r="104" spans="1:8" x14ac:dyDescent="0.25">
      <c r="A104" s="6"/>
      <c r="B104" s="6"/>
      <c r="C104" s="6"/>
      <c r="D104" s="6"/>
      <c r="E104" s="6"/>
      <c r="F104" s="7"/>
      <c r="G104" s="7"/>
      <c r="H104" s="6"/>
    </row>
    <row r="105" spans="1:8" x14ac:dyDescent="0.25">
      <c r="A105" s="6"/>
      <c r="B105" s="6"/>
      <c r="C105" s="6"/>
      <c r="D105" s="6"/>
      <c r="E105" s="6"/>
      <c r="F105" s="7"/>
      <c r="G105" s="7"/>
      <c r="H105" s="6"/>
    </row>
    <row r="106" spans="1:8" x14ac:dyDescent="0.25">
      <c r="A106" s="6"/>
      <c r="B106" s="6"/>
      <c r="C106" s="6"/>
      <c r="D106" s="6"/>
      <c r="E106" s="6"/>
      <c r="F106" s="7"/>
      <c r="G106" s="7"/>
      <c r="H106" s="6"/>
    </row>
    <row r="107" spans="1:8" x14ac:dyDescent="0.25">
      <c r="A107" s="6"/>
      <c r="B107" s="6"/>
      <c r="C107" s="6"/>
      <c r="D107" s="6"/>
      <c r="E107" s="6"/>
      <c r="F107" s="7"/>
      <c r="G107" s="7"/>
      <c r="H107" s="6"/>
    </row>
    <row r="108" spans="1:8" x14ac:dyDescent="0.25">
      <c r="A108" s="6"/>
      <c r="B108" s="6"/>
      <c r="C108" s="6"/>
      <c r="D108" s="6"/>
      <c r="E108" s="6"/>
      <c r="F108" s="7"/>
      <c r="G108" s="7"/>
      <c r="H108" s="6"/>
    </row>
    <row r="109" spans="1:8" x14ac:dyDescent="0.25">
      <c r="A109" s="6"/>
      <c r="B109" s="6"/>
      <c r="C109" s="6"/>
      <c r="D109" s="6"/>
      <c r="E109" s="6"/>
      <c r="F109" s="7"/>
      <c r="G109" s="7"/>
      <c r="H109" s="6"/>
    </row>
    <row r="110" spans="1:8" x14ac:dyDescent="0.25">
      <c r="A110" s="6"/>
      <c r="B110" s="6"/>
      <c r="C110" s="6"/>
      <c r="D110" s="6"/>
      <c r="E110" s="6"/>
      <c r="F110" s="7"/>
      <c r="G110" s="7"/>
      <c r="H110" s="6"/>
    </row>
    <row r="111" spans="1:8" x14ac:dyDescent="0.25">
      <c r="A111" s="6"/>
      <c r="B111" s="6"/>
      <c r="C111" s="6"/>
      <c r="D111" s="6"/>
      <c r="E111" s="6"/>
      <c r="F111" s="7"/>
      <c r="G111" s="7"/>
      <c r="H111" s="6"/>
    </row>
    <row r="112" spans="1:8" x14ac:dyDescent="0.25">
      <c r="A112" s="6"/>
      <c r="B112" s="6"/>
      <c r="C112" s="6"/>
      <c r="D112" s="6"/>
      <c r="E112" s="6"/>
      <c r="F112" s="7"/>
      <c r="G112" s="7"/>
      <c r="H112" s="6"/>
    </row>
    <row r="113" spans="1:8" x14ac:dyDescent="0.25">
      <c r="A113" s="6"/>
      <c r="B113" s="6"/>
      <c r="C113" s="6"/>
      <c r="D113" s="6"/>
      <c r="E113" s="6"/>
      <c r="F113" s="7"/>
      <c r="G113" s="7"/>
      <c r="H113" s="6"/>
    </row>
    <row r="114" spans="1:8" x14ac:dyDescent="0.25">
      <c r="A114" s="6"/>
      <c r="B114" s="6"/>
      <c r="C114" s="6"/>
      <c r="D114" s="6"/>
      <c r="E114" s="6"/>
      <c r="F114" s="7"/>
      <c r="G114" s="7"/>
      <c r="H114" s="6"/>
    </row>
    <row r="115" spans="1:8" x14ac:dyDescent="0.25">
      <c r="A115" s="6"/>
      <c r="B115" s="6"/>
      <c r="C115" s="6"/>
      <c r="D115" s="6"/>
      <c r="E115" s="6"/>
      <c r="F115" s="7"/>
      <c r="G115" s="7"/>
      <c r="H115" s="6"/>
    </row>
    <row r="116" spans="1:8" x14ac:dyDescent="0.25">
      <c r="A116" s="6"/>
      <c r="B116" s="6"/>
      <c r="C116" s="6"/>
      <c r="D116" s="6"/>
      <c r="E116" s="6"/>
      <c r="F116" s="7"/>
      <c r="G116" s="7"/>
      <c r="H116" s="6"/>
    </row>
    <row r="117" spans="1:8" x14ac:dyDescent="0.25">
      <c r="A117" s="6"/>
      <c r="B117" s="6"/>
      <c r="C117" s="6"/>
      <c r="D117" s="6"/>
      <c r="E117" s="6"/>
      <c r="F117" s="7"/>
      <c r="G117" s="7"/>
      <c r="H117" s="6"/>
    </row>
    <row r="118" spans="1:8" x14ac:dyDescent="0.25">
      <c r="A118" s="6"/>
      <c r="B118" s="6"/>
      <c r="C118" s="6"/>
      <c r="D118" s="6"/>
      <c r="E118" s="6"/>
      <c r="F118" s="7"/>
      <c r="G118" s="7"/>
      <c r="H118" s="6"/>
    </row>
    <row r="119" spans="1:8" x14ac:dyDescent="0.25">
      <c r="A119" s="6"/>
      <c r="B119" s="6"/>
      <c r="C119" s="6"/>
      <c r="D119" s="6"/>
      <c r="E119" s="6"/>
      <c r="F119" s="7"/>
      <c r="G119" s="7"/>
      <c r="H119" s="6"/>
    </row>
    <row r="120" spans="1:8" x14ac:dyDescent="0.25">
      <c r="A120" s="6"/>
      <c r="B120" s="6"/>
      <c r="C120" s="6"/>
      <c r="D120" s="6"/>
      <c r="E120" s="6"/>
      <c r="F120" s="7"/>
      <c r="G120" s="7"/>
      <c r="H120" s="6"/>
    </row>
    <row r="121" spans="1:8" x14ac:dyDescent="0.25">
      <c r="A121" s="6"/>
      <c r="B121" s="6"/>
      <c r="C121" s="6"/>
      <c r="D121" s="6"/>
      <c r="E121" s="6"/>
      <c r="F121" s="7"/>
      <c r="G121" s="7"/>
      <c r="H121" s="6"/>
    </row>
    <row r="122" spans="1:8" x14ac:dyDescent="0.25">
      <c r="A122" s="6"/>
      <c r="B122" s="6"/>
      <c r="C122" s="6"/>
      <c r="D122" s="6"/>
      <c r="E122" s="6"/>
      <c r="F122" s="7"/>
      <c r="G122" s="7"/>
      <c r="H122" s="6"/>
    </row>
    <row r="123" spans="1:8" x14ac:dyDescent="0.25">
      <c r="A123" s="6"/>
      <c r="B123" s="6"/>
      <c r="C123" s="6"/>
      <c r="D123" s="6"/>
      <c r="E123" s="6"/>
      <c r="F123" s="7"/>
      <c r="G123" s="7"/>
      <c r="H123" s="6"/>
    </row>
    <row r="124" spans="1:8" x14ac:dyDescent="0.25">
      <c r="A124" s="6"/>
      <c r="B124" s="6"/>
      <c r="C124" s="6"/>
      <c r="D124" s="6"/>
      <c r="E124" s="6"/>
      <c r="F124" s="7"/>
      <c r="G124" s="7"/>
      <c r="H124" s="6"/>
    </row>
    <row r="125" spans="1:8" x14ac:dyDescent="0.25">
      <c r="A125" s="6"/>
      <c r="B125" s="6"/>
      <c r="C125" s="6"/>
      <c r="D125" s="6"/>
      <c r="E125" s="6"/>
      <c r="F125" s="7"/>
      <c r="G125" s="7"/>
      <c r="H125" s="6"/>
    </row>
    <row r="126" spans="1:8" x14ac:dyDescent="0.25">
      <c r="A126" s="6"/>
      <c r="B126" s="6"/>
      <c r="C126" s="6"/>
      <c r="D126" s="6"/>
      <c r="E126" s="6"/>
      <c r="F126" s="7"/>
      <c r="G126" s="7"/>
      <c r="H126" s="6"/>
    </row>
    <row r="127" spans="1:8" x14ac:dyDescent="0.25">
      <c r="A127" s="6"/>
      <c r="B127" s="6"/>
      <c r="C127" s="6"/>
      <c r="D127" s="6"/>
      <c r="E127" s="6"/>
      <c r="F127" s="7"/>
      <c r="G127" s="7"/>
      <c r="H127" s="6"/>
    </row>
    <row r="128" spans="1:8" x14ac:dyDescent="0.25">
      <c r="A128" s="6"/>
      <c r="B128" s="6"/>
      <c r="C128" s="6"/>
      <c r="D128" s="6"/>
      <c r="E128" s="6"/>
      <c r="F128" s="7"/>
      <c r="G128" s="7"/>
      <c r="H128" s="6"/>
    </row>
    <row r="129" spans="1:8" x14ac:dyDescent="0.25">
      <c r="A129" s="6"/>
      <c r="B129" s="6"/>
      <c r="C129" s="6"/>
      <c r="D129" s="6"/>
      <c r="E129" s="6"/>
      <c r="F129" s="7"/>
      <c r="G129" s="7"/>
      <c r="H129" s="6"/>
    </row>
    <row r="130" spans="1:8" x14ac:dyDescent="0.25">
      <c r="A130" s="6"/>
      <c r="B130" s="6"/>
      <c r="C130" s="6"/>
      <c r="D130" s="6"/>
      <c r="E130" s="6"/>
      <c r="F130" s="7"/>
      <c r="G130" s="7"/>
      <c r="H130" s="6"/>
    </row>
    <row r="131" spans="1:8" x14ac:dyDescent="0.25">
      <c r="A131" s="6"/>
      <c r="B131" s="6"/>
      <c r="C131" s="6"/>
      <c r="D131" s="6"/>
      <c r="E131" s="6"/>
      <c r="F131" s="7"/>
      <c r="G131" s="7"/>
      <c r="H131" s="6"/>
    </row>
    <row r="132" spans="1:8" x14ac:dyDescent="0.25">
      <c r="A132" s="6"/>
      <c r="B132" s="6"/>
      <c r="C132" s="6"/>
      <c r="D132" s="6"/>
      <c r="E132" s="6"/>
      <c r="F132" s="7"/>
      <c r="G132" s="7"/>
      <c r="H132" s="6"/>
    </row>
    <row r="133" spans="1:8" x14ac:dyDescent="0.25">
      <c r="A133" s="6"/>
      <c r="B133" s="6"/>
      <c r="C133" s="6"/>
      <c r="D133" s="6"/>
      <c r="E133" s="6"/>
      <c r="F133" s="7"/>
      <c r="G133" s="7"/>
      <c r="H133" s="6"/>
    </row>
    <row r="134" spans="1:8" x14ac:dyDescent="0.25">
      <c r="A134" s="6"/>
      <c r="B134" s="6"/>
      <c r="C134" s="6"/>
      <c r="D134" s="6"/>
      <c r="E134" s="6"/>
      <c r="F134" s="7"/>
      <c r="G134" s="7"/>
      <c r="H134" s="6"/>
    </row>
    <row r="135" spans="1:8" x14ac:dyDescent="0.25">
      <c r="A135" s="6"/>
      <c r="B135" s="6"/>
      <c r="C135" s="6"/>
      <c r="D135" s="6"/>
      <c r="E135" s="6"/>
      <c r="F135" s="7"/>
      <c r="G135" s="7"/>
      <c r="H135" s="6"/>
    </row>
    <row r="136" spans="1:8" x14ac:dyDescent="0.25">
      <c r="A136" s="6"/>
      <c r="B136" s="6"/>
      <c r="C136" s="6"/>
      <c r="D136" s="6"/>
      <c r="E136" s="6"/>
      <c r="F136" s="7"/>
      <c r="G136" s="7"/>
      <c r="H136" s="6"/>
    </row>
    <row r="137" spans="1:8" x14ac:dyDescent="0.25">
      <c r="A137" s="6"/>
      <c r="B137" s="6"/>
      <c r="C137" s="6"/>
      <c r="D137" s="6"/>
      <c r="E137" s="6"/>
      <c r="F137" s="7"/>
      <c r="G137" s="7"/>
      <c r="H137" s="6"/>
    </row>
    <row r="138" spans="1:8" x14ac:dyDescent="0.25">
      <c r="A138" s="6"/>
      <c r="B138" s="6"/>
      <c r="C138" s="6"/>
      <c r="D138" s="6"/>
      <c r="E138" s="6"/>
      <c r="F138" s="7"/>
      <c r="G138" s="7"/>
      <c r="H138" s="6"/>
    </row>
    <row r="139" spans="1:8" x14ac:dyDescent="0.25">
      <c r="A139" s="6"/>
      <c r="B139" s="6"/>
      <c r="C139" s="6"/>
      <c r="D139" s="6"/>
      <c r="E139" s="6"/>
      <c r="F139" s="7"/>
      <c r="G139" s="7"/>
      <c r="H139" s="6"/>
    </row>
    <row r="140" spans="1:8" x14ac:dyDescent="0.25">
      <c r="A140" s="6"/>
      <c r="B140" s="6"/>
      <c r="C140" s="6"/>
      <c r="D140" s="6"/>
      <c r="E140" s="6"/>
      <c r="F140" s="7"/>
      <c r="G140" s="7"/>
      <c r="H140" s="6"/>
    </row>
    <row r="141" spans="1:8" x14ac:dyDescent="0.25">
      <c r="A141" s="6"/>
      <c r="B141" s="6"/>
      <c r="C141" s="6"/>
      <c r="D141" s="6"/>
      <c r="E141" s="6"/>
      <c r="F141" s="7"/>
      <c r="G141" s="7"/>
      <c r="H141" s="6"/>
    </row>
    <row r="142" spans="1:8" x14ac:dyDescent="0.25">
      <c r="A142" s="6"/>
      <c r="B142" s="6"/>
      <c r="C142" s="6"/>
      <c r="D142" s="6"/>
      <c r="E142" s="6"/>
      <c r="F142" s="7"/>
      <c r="G142" s="7"/>
      <c r="H142" s="6"/>
    </row>
    <row r="143" spans="1:8" x14ac:dyDescent="0.25">
      <c r="A143" s="6"/>
      <c r="B143" s="6"/>
      <c r="C143" s="6"/>
      <c r="D143" s="6"/>
      <c r="E143" s="6"/>
      <c r="F143" s="7"/>
      <c r="G143" s="7"/>
      <c r="H143" s="6"/>
    </row>
    <row r="144" spans="1:8" x14ac:dyDescent="0.25">
      <c r="A144" s="6"/>
      <c r="B144" s="6"/>
      <c r="C144" s="6"/>
      <c r="D144" s="6"/>
      <c r="E144" s="6"/>
      <c r="F144" s="7"/>
      <c r="G144" s="7"/>
      <c r="H144" s="6"/>
    </row>
    <row r="145" spans="1:8" x14ac:dyDescent="0.25">
      <c r="A145" s="6"/>
      <c r="B145" s="6"/>
      <c r="C145" s="6"/>
      <c r="D145" s="6"/>
      <c r="E145" s="6"/>
      <c r="F145" s="7"/>
      <c r="G145" s="7"/>
      <c r="H145" s="6"/>
    </row>
    <row r="146" spans="1:8" x14ac:dyDescent="0.25">
      <c r="A146" s="6"/>
      <c r="B146" s="6"/>
      <c r="C146" s="6"/>
      <c r="D146" s="6"/>
      <c r="E146" s="6"/>
      <c r="F146" s="7"/>
      <c r="G146" s="7"/>
      <c r="H146" s="6"/>
    </row>
    <row r="147" spans="1:8" x14ac:dyDescent="0.25">
      <c r="A147" s="6"/>
      <c r="B147" s="6"/>
      <c r="C147" s="6"/>
      <c r="D147" s="6"/>
      <c r="E147" s="6"/>
      <c r="F147" s="7"/>
      <c r="G147" s="7"/>
      <c r="H147" s="6"/>
    </row>
    <row r="148" spans="1:8" x14ac:dyDescent="0.25">
      <c r="A148" s="6"/>
      <c r="B148" s="6"/>
      <c r="C148" s="6"/>
      <c r="D148" s="6"/>
      <c r="E148" s="6"/>
      <c r="F148" s="7"/>
      <c r="G148" s="7"/>
      <c r="H148" s="6"/>
    </row>
    <row r="149" spans="1:8" x14ac:dyDescent="0.25">
      <c r="A149" s="6"/>
      <c r="B149" s="6"/>
      <c r="C149" s="6"/>
      <c r="D149" s="6"/>
      <c r="E149" s="6"/>
      <c r="F149" s="7"/>
      <c r="G149" s="7"/>
      <c r="H149" s="6"/>
    </row>
    <row r="150" spans="1:8" x14ac:dyDescent="0.25">
      <c r="A150" s="6"/>
      <c r="B150" s="6"/>
      <c r="C150" s="6"/>
      <c r="D150" s="6"/>
      <c r="E150" s="6"/>
      <c r="F150" s="7"/>
      <c r="G150" s="7"/>
      <c r="H150" s="6"/>
    </row>
    <row r="151" spans="1:8" x14ac:dyDescent="0.25">
      <c r="A151" s="6"/>
      <c r="B151" s="6"/>
      <c r="C151" s="6"/>
      <c r="D151" s="6"/>
      <c r="E151" s="6"/>
      <c r="F151" s="7"/>
      <c r="G151" s="7"/>
      <c r="H151" s="6"/>
    </row>
    <row r="152" spans="1:8" x14ac:dyDescent="0.25">
      <c r="A152" s="6"/>
      <c r="B152" s="6"/>
      <c r="C152" s="6"/>
      <c r="D152" s="6"/>
      <c r="E152" s="6"/>
      <c r="F152" s="7"/>
      <c r="G152" s="7"/>
      <c r="H152" s="6"/>
    </row>
    <row r="153" spans="1:8" x14ac:dyDescent="0.25">
      <c r="A153" s="6"/>
      <c r="B153" s="6"/>
      <c r="C153" s="6"/>
      <c r="D153" s="6"/>
      <c r="E153" s="6"/>
      <c r="F153" s="7"/>
      <c r="G153" s="7"/>
      <c r="H153" s="6"/>
    </row>
    <row r="154" spans="1:8" x14ac:dyDescent="0.25">
      <c r="A154" s="6"/>
      <c r="B154" s="6"/>
      <c r="C154" s="6"/>
      <c r="D154" s="6"/>
      <c r="E154" s="6"/>
      <c r="F154" s="7"/>
      <c r="G154" s="7"/>
      <c r="H154" s="6"/>
    </row>
    <row r="155" spans="1:8" x14ac:dyDescent="0.25">
      <c r="A155" s="6"/>
      <c r="B155" s="6"/>
      <c r="C155" s="6"/>
      <c r="D155" s="6"/>
      <c r="E155" s="6"/>
      <c r="F155" s="7"/>
      <c r="G155" s="7"/>
      <c r="H155" s="6"/>
    </row>
    <row r="156" spans="1:8" x14ac:dyDescent="0.25">
      <c r="A156" s="6"/>
      <c r="B156" s="6"/>
      <c r="C156" s="6"/>
      <c r="D156" s="6"/>
      <c r="E156" s="6"/>
      <c r="F156" s="7"/>
      <c r="G156" s="7"/>
      <c r="H156" s="6"/>
    </row>
    <row r="157" spans="1:8" x14ac:dyDescent="0.25">
      <c r="A157" s="6"/>
      <c r="B157" s="6"/>
      <c r="C157" s="6"/>
      <c r="D157" s="6"/>
      <c r="E157" s="6"/>
      <c r="F157" s="7"/>
      <c r="G157" s="7"/>
      <c r="H157" s="6"/>
    </row>
    <row r="158" spans="1:8" x14ac:dyDescent="0.25">
      <c r="A158" s="6"/>
      <c r="B158" s="6"/>
      <c r="C158" s="6"/>
      <c r="D158" s="6"/>
      <c r="E158" s="6"/>
      <c r="F158" s="7"/>
      <c r="G158" s="7"/>
      <c r="H158" s="6"/>
    </row>
    <row r="159" spans="1:8" x14ac:dyDescent="0.25">
      <c r="A159" s="6"/>
      <c r="B159" s="6"/>
      <c r="C159" s="6"/>
      <c r="D159" s="6"/>
      <c r="E159" s="6"/>
      <c r="F159" s="7"/>
      <c r="G159" s="7"/>
      <c r="H159" s="6"/>
    </row>
    <row r="160" spans="1:8" x14ac:dyDescent="0.25">
      <c r="A160" s="6"/>
      <c r="B160" s="6"/>
      <c r="C160" s="6"/>
      <c r="D160" s="6"/>
      <c r="E160" s="6"/>
      <c r="F160" s="7"/>
      <c r="G160" s="7"/>
      <c r="H160" s="6"/>
    </row>
    <row r="161" spans="1:8" x14ac:dyDescent="0.25">
      <c r="A161" s="6"/>
      <c r="B161" s="6"/>
      <c r="C161" s="6"/>
      <c r="D161" s="6"/>
      <c r="E161" s="6"/>
      <c r="F161" s="7"/>
      <c r="G161" s="7"/>
      <c r="H161" s="6"/>
    </row>
    <row r="162" spans="1:8" x14ac:dyDescent="0.25">
      <c r="A162" s="6"/>
      <c r="B162" s="6"/>
      <c r="C162" s="6"/>
      <c r="D162" s="6"/>
      <c r="E162" s="6"/>
      <c r="F162" s="7"/>
      <c r="G162" s="7"/>
      <c r="H162" s="6"/>
    </row>
    <row r="163" spans="1:8" x14ac:dyDescent="0.25">
      <c r="A163" s="6"/>
      <c r="B163" s="6"/>
      <c r="C163" s="6"/>
      <c r="D163" s="6"/>
      <c r="E163" s="6"/>
      <c r="F163" s="7"/>
      <c r="G163" s="7"/>
      <c r="H163" s="6"/>
    </row>
    <row r="164" spans="1:8" x14ac:dyDescent="0.25">
      <c r="A164" s="6"/>
      <c r="B164" s="6"/>
      <c r="C164" s="6"/>
      <c r="D164" s="6"/>
      <c r="E164" s="6"/>
      <c r="F164" s="7"/>
      <c r="G164" s="7"/>
      <c r="H164" s="6"/>
    </row>
    <row r="165" spans="1:8" x14ac:dyDescent="0.25">
      <c r="A165" s="6"/>
      <c r="B165" s="6"/>
      <c r="C165" s="6"/>
      <c r="D165" s="6"/>
      <c r="E165" s="6"/>
      <c r="F165" s="7"/>
      <c r="G165" s="7"/>
      <c r="H165" s="6"/>
    </row>
    <row r="166" spans="1:8" x14ac:dyDescent="0.25">
      <c r="A166" s="6"/>
      <c r="B166" s="6"/>
      <c r="C166" s="6"/>
      <c r="D166" s="6"/>
      <c r="E166" s="6"/>
      <c r="F166" s="7"/>
      <c r="G166" s="7"/>
      <c r="H166" s="6"/>
    </row>
    <row r="167" spans="1:8" x14ac:dyDescent="0.25">
      <c r="A167" s="6"/>
      <c r="B167" s="6"/>
      <c r="C167" s="6"/>
      <c r="D167" s="6"/>
      <c r="E167" s="6"/>
      <c r="F167" s="7"/>
      <c r="G167" s="7"/>
      <c r="H167" s="6"/>
    </row>
    <row r="168" spans="1:8" x14ac:dyDescent="0.25">
      <c r="A168" s="6"/>
      <c r="B168" s="6"/>
      <c r="C168" s="6"/>
      <c r="D168" s="6"/>
      <c r="E168" s="6"/>
      <c r="F168" s="7"/>
      <c r="G168" s="7"/>
      <c r="H168" s="6"/>
    </row>
    <row r="169" spans="1:8" x14ac:dyDescent="0.25">
      <c r="A169" s="6"/>
      <c r="B169" s="6"/>
      <c r="C169" s="6"/>
      <c r="D169" s="6"/>
      <c r="E169" s="6"/>
      <c r="F169" s="7"/>
      <c r="G169" s="7"/>
      <c r="H169" s="6"/>
    </row>
    <row r="170" spans="1:8" x14ac:dyDescent="0.25">
      <c r="A170" s="6"/>
      <c r="B170" s="6"/>
      <c r="C170" s="6"/>
      <c r="D170" s="6"/>
      <c r="E170" s="6"/>
      <c r="F170" s="7"/>
      <c r="G170" s="7"/>
      <c r="H170" s="6"/>
    </row>
    <row r="171" spans="1:8" x14ac:dyDescent="0.25">
      <c r="A171" s="6"/>
      <c r="B171" s="6"/>
      <c r="C171" s="6"/>
      <c r="D171" s="6"/>
      <c r="E171" s="6"/>
      <c r="F171" s="7"/>
      <c r="G171" s="7"/>
      <c r="H171" s="6"/>
    </row>
    <row r="172" spans="1:8" x14ac:dyDescent="0.25">
      <c r="A172" s="6"/>
      <c r="B172" s="6"/>
      <c r="C172" s="6"/>
      <c r="D172" s="6"/>
      <c r="E172" s="6"/>
      <c r="F172" s="7"/>
      <c r="G172" s="7"/>
      <c r="H172" s="6"/>
    </row>
    <row r="173" spans="1:8" x14ac:dyDescent="0.25">
      <c r="A173" s="6"/>
      <c r="B173" s="6"/>
      <c r="C173" s="6"/>
      <c r="D173" s="6"/>
      <c r="E173" s="6"/>
      <c r="F173" s="7"/>
      <c r="G173" s="7"/>
      <c r="H173" s="6"/>
    </row>
    <row r="174" spans="1:8" x14ac:dyDescent="0.25">
      <c r="A174" s="6"/>
      <c r="B174" s="6"/>
      <c r="C174" s="6"/>
      <c r="D174" s="6"/>
      <c r="E174" s="6"/>
      <c r="F174" s="7"/>
      <c r="G174" s="7"/>
      <c r="H174" s="6"/>
    </row>
    <row r="175" spans="1:8" x14ac:dyDescent="0.25">
      <c r="A175" s="6"/>
      <c r="B175" s="6"/>
      <c r="C175" s="6"/>
      <c r="D175" s="6"/>
      <c r="E175" s="6"/>
      <c r="F175" s="7"/>
      <c r="G175" s="7"/>
      <c r="H175" s="6"/>
    </row>
    <row r="176" spans="1:8" x14ac:dyDescent="0.25">
      <c r="A176" s="6"/>
      <c r="B176" s="6"/>
      <c r="C176" s="6"/>
      <c r="D176" s="6"/>
      <c r="E176" s="6"/>
      <c r="F176" s="7"/>
      <c r="G176" s="7"/>
      <c r="H176" s="6"/>
    </row>
    <row r="177" spans="1:8" x14ac:dyDescent="0.25">
      <c r="A177" s="6"/>
      <c r="B177" s="6"/>
      <c r="C177" s="6"/>
      <c r="D177" s="6"/>
      <c r="E177" s="6"/>
      <c r="F177" s="7"/>
      <c r="G177" s="7"/>
      <c r="H177" s="6"/>
    </row>
    <row r="178" spans="1:8" x14ac:dyDescent="0.25">
      <c r="A178" s="6"/>
      <c r="B178" s="6"/>
      <c r="C178" s="6"/>
      <c r="D178" s="6"/>
      <c r="E178" s="6"/>
      <c r="F178" s="7"/>
      <c r="G178" s="7"/>
      <c r="H178" s="6"/>
    </row>
    <row r="179" spans="1:8" x14ac:dyDescent="0.25">
      <c r="A179" s="6"/>
      <c r="B179" s="6"/>
      <c r="C179" s="6"/>
      <c r="D179" s="6"/>
      <c r="E179" s="6"/>
      <c r="F179" s="7"/>
      <c r="G179" s="7"/>
      <c r="H179" s="6"/>
    </row>
    <row r="180" spans="1:8" x14ac:dyDescent="0.25">
      <c r="A180" s="6"/>
      <c r="B180" s="6"/>
      <c r="C180" s="6"/>
      <c r="D180" s="6"/>
      <c r="E180" s="6"/>
      <c r="F180" s="7"/>
      <c r="G180" s="7"/>
      <c r="H180" s="6"/>
    </row>
    <row r="181" spans="1:8" x14ac:dyDescent="0.25">
      <c r="A181" s="6"/>
      <c r="B181" s="6"/>
      <c r="C181" s="6"/>
      <c r="D181" s="6"/>
      <c r="E181" s="6"/>
      <c r="F181" s="7"/>
      <c r="G181" s="7"/>
      <c r="H181" s="6"/>
    </row>
    <row r="182" spans="1:8" x14ac:dyDescent="0.25">
      <c r="A182" s="6"/>
      <c r="B182" s="6"/>
      <c r="C182" s="6"/>
      <c r="D182" s="6"/>
      <c r="E182" s="6"/>
      <c r="F182" s="7"/>
      <c r="G182" s="7"/>
      <c r="H182" s="6"/>
    </row>
    <row r="183" spans="1:8" x14ac:dyDescent="0.25">
      <c r="A183" s="6"/>
      <c r="B183" s="6"/>
      <c r="C183" s="6"/>
      <c r="D183" s="6"/>
      <c r="E183" s="6"/>
      <c r="F183" s="7"/>
      <c r="G183" s="7"/>
      <c r="H183" s="6"/>
    </row>
    <row r="184" spans="1:8" x14ac:dyDescent="0.25">
      <c r="A184" s="6"/>
      <c r="B184" s="6"/>
      <c r="C184" s="6"/>
      <c r="D184" s="6"/>
      <c r="E184" s="6"/>
      <c r="F184" s="7"/>
      <c r="G184" s="7"/>
      <c r="H184" s="6"/>
    </row>
    <row r="185" spans="1:8" x14ac:dyDescent="0.25">
      <c r="A185" s="6"/>
      <c r="B185" s="6"/>
      <c r="C185" s="6"/>
      <c r="D185" s="6"/>
      <c r="E185" s="6"/>
      <c r="F185" s="7"/>
      <c r="G185" s="7"/>
      <c r="H185" s="6"/>
    </row>
    <row r="186" spans="1:8" x14ac:dyDescent="0.25">
      <c r="A186" s="6"/>
      <c r="B186" s="6"/>
      <c r="C186" s="6"/>
      <c r="D186" s="6"/>
      <c r="E186" s="6"/>
      <c r="F186" s="7"/>
      <c r="G186" s="7"/>
      <c r="H186" s="6"/>
    </row>
    <row r="187" spans="1:8" x14ac:dyDescent="0.25">
      <c r="A187" s="6"/>
      <c r="B187" s="6"/>
      <c r="C187" s="6"/>
      <c r="D187" s="6"/>
      <c r="E187" s="6"/>
      <c r="F187" s="7"/>
      <c r="G187" s="7"/>
      <c r="H187" s="6"/>
    </row>
    <row r="188" spans="1:8" x14ac:dyDescent="0.25">
      <c r="A188" s="6"/>
      <c r="B188" s="6"/>
      <c r="C188" s="6"/>
      <c r="D188" s="6"/>
      <c r="E188" s="6"/>
      <c r="F188" s="7"/>
      <c r="G188" s="7"/>
      <c r="H188" s="6"/>
    </row>
    <row r="189" spans="1:8" x14ac:dyDescent="0.25">
      <c r="A189" s="6"/>
      <c r="B189" s="6"/>
      <c r="C189" s="6"/>
      <c r="D189" s="6"/>
      <c r="E189" s="6"/>
      <c r="F189" s="7"/>
      <c r="G189" s="7"/>
      <c r="H189" s="6"/>
    </row>
    <row r="190" spans="1:8" x14ac:dyDescent="0.25">
      <c r="A190" s="6"/>
      <c r="B190" s="6"/>
      <c r="C190" s="6"/>
      <c r="D190" s="6"/>
      <c r="E190" s="6"/>
      <c r="F190" s="7"/>
      <c r="G190" s="7"/>
      <c r="H190" s="6"/>
    </row>
    <row r="191" spans="1:8" x14ac:dyDescent="0.25">
      <c r="A191" s="6"/>
      <c r="B191" s="6"/>
      <c r="C191" s="6"/>
      <c r="D191" s="6"/>
      <c r="E191" s="6"/>
      <c r="F191" s="7"/>
      <c r="G191" s="7"/>
      <c r="H191" s="6"/>
    </row>
    <row r="192" spans="1:8" x14ac:dyDescent="0.25">
      <c r="A192" s="6"/>
      <c r="B192" s="6"/>
      <c r="C192" s="6"/>
      <c r="D192" s="6"/>
      <c r="E192" s="6"/>
      <c r="F192" s="7"/>
      <c r="G192" s="7"/>
      <c r="H192" s="6"/>
    </row>
    <row r="193" spans="1:8" x14ac:dyDescent="0.25">
      <c r="A193" s="6"/>
      <c r="B193" s="6"/>
      <c r="C193" s="6"/>
      <c r="D193" s="6"/>
      <c r="E193" s="6"/>
      <c r="F193" s="7"/>
      <c r="G193" s="7"/>
      <c r="H193" s="6"/>
    </row>
    <row r="194" spans="1:8" x14ac:dyDescent="0.25">
      <c r="A194" s="6"/>
      <c r="B194" s="6"/>
      <c r="C194" s="6"/>
      <c r="D194" s="6"/>
      <c r="E194" s="6"/>
      <c r="F194" s="7"/>
      <c r="G194" s="7"/>
      <c r="H194" s="6"/>
    </row>
    <row r="195" spans="1:8" x14ac:dyDescent="0.25">
      <c r="A195" s="6"/>
      <c r="B195" s="6"/>
      <c r="C195" s="6"/>
      <c r="D195" s="6"/>
      <c r="E195" s="6"/>
      <c r="F195" s="7"/>
      <c r="G195" s="7"/>
      <c r="H195" s="6"/>
    </row>
    <row r="196" spans="1:8" x14ac:dyDescent="0.25">
      <c r="A196" s="6"/>
      <c r="B196" s="6"/>
      <c r="C196" s="6"/>
      <c r="D196" s="6"/>
      <c r="E196" s="6"/>
      <c r="F196" s="7"/>
      <c r="G196" s="7"/>
      <c r="H196" s="6"/>
    </row>
    <row r="197" spans="1:8" x14ac:dyDescent="0.25">
      <c r="A197" s="6"/>
      <c r="B197" s="6"/>
      <c r="C197" s="6"/>
      <c r="D197" s="6"/>
      <c r="E197" s="6"/>
      <c r="F197" s="7"/>
      <c r="G197" s="7"/>
      <c r="H197" s="6"/>
    </row>
    <row r="198" spans="1:8" x14ac:dyDescent="0.25">
      <c r="A198" s="6"/>
      <c r="B198" s="6"/>
      <c r="C198" s="6"/>
      <c r="D198" s="6"/>
      <c r="E198" s="6"/>
      <c r="F198" s="7"/>
      <c r="G198" s="7"/>
      <c r="H198" s="6"/>
    </row>
    <row r="199" spans="1:8" x14ac:dyDescent="0.25">
      <c r="A199" s="6"/>
      <c r="B199" s="6"/>
      <c r="C199" s="6"/>
      <c r="D199" s="6"/>
      <c r="E199" s="6"/>
      <c r="F199" s="7"/>
      <c r="G199" s="7"/>
      <c r="H199" s="6"/>
    </row>
    <row r="200" spans="1:8" x14ac:dyDescent="0.25">
      <c r="A200" s="6"/>
      <c r="B200" s="6"/>
      <c r="C200" s="6"/>
      <c r="D200" s="6"/>
      <c r="E200" s="6"/>
      <c r="F200" s="7"/>
      <c r="G200" s="7"/>
      <c r="H200" s="6"/>
    </row>
    <row r="201" spans="1:8" x14ac:dyDescent="0.25">
      <c r="A201" s="6"/>
      <c r="B201" s="6"/>
      <c r="C201" s="6"/>
      <c r="D201" s="6"/>
      <c r="E201" s="6"/>
      <c r="F201" s="7"/>
      <c r="G201" s="7"/>
      <c r="H201" s="6"/>
    </row>
    <row r="202" spans="1:8" x14ac:dyDescent="0.25">
      <c r="A202" s="6"/>
      <c r="B202" s="6"/>
      <c r="C202" s="6"/>
      <c r="D202" s="6"/>
      <c r="E202" s="6"/>
      <c r="F202" s="7"/>
      <c r="G202" s="7"/>
      <c r="H202" s="6"/>
    </row>
    <row r="203" spans="1:8" x14ac:dyDescent="0.25">
      <c r="A203" s="6"/>
      <c r="B203" s="6"/>
      <c r="C203" s="6"/>
      <c r="D203" s="6"/>
      <c r="E203" s="6"/>
      <c r="F203" s="7"/>
      <c r="G203" s="7"/>
      <c r="H203" s="6"/>
    </row>
    <row r="204" spans="1:8" x14ac:dyDescent="0.25">
      <c r="A204" s="6"/>
      <c r="B204" s="6"/>
      <c r="C204" s="6"/>
      <c r="D204" s="6"/>
      <c r="E204" s="6"/>
      <c r="F204" s="7"/>
      <c r="G204" s="7"/>
      <c r="H204" s="6"/>
    </row>
    <row r="205" spans="1:8" x14ac:dyDescent="0.25">
      <c r="A205" s="6"/>
      <c r="B205" s="6"/>
      <c r="C205" s="6"/>
      <c r="D205" s="6"/>
      <c r="E205" s="6"/>
      <c r="F205" s="7"/>
      <c r="G205" s="7"/>
      <c r="H205" s="6"/>
    </row>
    <row r="206" spans="1:8" x14ac:dyDescent="0.25">
      <c r="A206" s="6"/>
      <c r="B206" s="6"/>
      <c r="C206" s="6"/>
      <c r="D206" s="6"/>
      <c r="E206" s="6"/>
      <c r="F206" s="7"/>
      <c r="G206" s="7"/>
      <c r="H206" s="6"/>
    </row>
    <row r="207" spans="1:8" x14ac:dyDescent="0.25">
      <c r="A207" s="6"/>
      <c r="B207" s="6"/>
      <c r="C207" s="6"/>
      <c r="D207" s="6"/>
      <c r="E207" s="6"/>
      <c r="F207" s="7"/>
      <c r="G207" s="7"/>
      <c r="H207" s="6"/>
    </row>
    <row r="208" spans="1:8" x14ac:dyDescent="0.25">
      <c r="A208" s="6"/>
      <c r="B208" s="6"/>
      <c r="C208" s="6"/>
      <c r="D208" s="6"/>
      <c r="E208" s="6"/>
      <c r="F208" s="7"/>
      <c r="G208" s="7"/>
      <c r="H208" s="6"/>
    </row>
    <row r="209" spans="1:8" x14ac:dyDescent="0.25">
      <c r="A209" s="6"/>
      <c r="B209" s="6"/>
      <c r="C209" s="6"/>
      <c r="D209" s="6"/>
      <c r="E209" s="6"/>
      <c r="F209" s="7"/>
      <c r="G209" s="7"/>
      <c r="H209" s="6"/>
    </row>
    <row r="210" spans="1:8" x14ac:dyDescent="0.25">
      <c r="A210" s="6"/>
      <c r="B210" s="6"/>
      <c r="C210" s="6"/>
      <c r="D210" s="6"/>
      <c r="E210" s="6"/>
      <c r="F210" s="7"/>
      <c r="G210" s="7"/>
      <c r="H210" s="6"/>
    </row>
    <row r="211" spans="1:8" x14ac:dyDescent="0.25">
      <c r="A211" s="6"/>
      <c r="B211" s="6"/>
      <c r="C211" s="6"/>
      <c r="D211" s="6"/>
      <c r="E211" s="6"/>
      <c r="F211" s="7"/>
      <c r="G211" s="7"/>
      <c r="H211" s="6"/>
    </row>
    <row r="212" spans="1:8" x14ac:dyDescent="0.25">
      <c r="A212" s="6"/>
      <c r="B212" s="6"/>
      <c r="C212" s="6"/>
      <c r="D212" s="6"/>
      <c r="E212" s="6"/>
      <c r="F212" s="7"/>
      <c r="G212" s="7"/>
      <c r="H212" s="6"/>
    </row>
    <row r="213" spans="1:8" x14ac:dyDescent="0.25">
      <c r="A213" s="6"/>
      <c r="B213" s="6"/>
      <c r="C213" s="6"/>
      <c r="D213" s="6"/>
      <c r="E213" s="6"/>
      <c r="F213" s="7"/>
      <c r="G213" s="7"/>
      <c r="H213" s="6"/>
    </row>
    <row r="214" spans="1:8" x14ac:dyDescent="0.25">
      <c r="A214" s="6"/>
      <c r="B214" s="6"/>
      <c r="C214" s="6"/>
      <c r="D214" s="6"/>
      <c r="E214" s="6"/>
      <c r="F214" s="7"/>
      <c r="G214" s="7"/>
      <c r="H214" s="6"/>
    </row>
    <row r="215" spans="1:8" x14ac:dyDescent="0.25">
      <c r="A215" s="6"/>
      <c r="B215" s="6"/>
      <c r="C215" s="6"/>
      <c r="D215" s="6"/>
      <c r="E215" s="6"/>
      <c r="F215" s="7"/>
      <c r="G215" s="7"/>
      <c r="H215" s="6"/>
    </row>
    <row r="216" spans="1:8" x14ac:dyDescent="0.25">
      <c r="A216" s="6"/>
      <c r="B216" s="6"/>
      <c r="C216" s="6"/>
      <c r="D216" s="6"/>
      <c r="E216" s="6"/>
      <c r="F216" s="7"/>
      <c r="G216" s="7"/>
      <c r="H216" s="6"/>
    </row>
    <row r="217" spans="1:8" x14ac:dyDescent="0.25">
      <c r="A217" s="6"/>
      <c r="B217" s="6"/>
      <c r="C217" s="6"/>
      <c r="D217" s="6"/>
      <c r="E217" s="6"/>
      <c r="F217" s="7"/>
      <c r="G217" s="7"/>
      <c r="H217" s="6"/>
    </row>
    <row r="218" spans="1:8" x14ac:dyDescent="0.25">
      <c r="A218" s="6"/>
      <c r="B218" s="6"/>
      <c r="C218" s="6"/>
      <c r="D218" s="6"/>
      <c r="E218" s="6"/>
      <c r="F218" s="7"/>
      <c r="G218" s="7"/>
      <c r="H218" s="6"/>
    </row>
    <row r="219" spans="1:8" x14ac:dyDescent="0.25">
      <c r="A219" s="6"/>
      <c r="B219" s="6"/>
      <c r="C219" s="6"/>
      <c r="D219" s="6"/>
      <c r="E219" s="6"/>
      <c r="F219" s="7"/>
      <c r="G219" s="7"/>
      <c r="H219" s="6"/>
    </row>
    <row r="220" spans="1:8" x14ac:dyDescent="0.25">
      <c r="A220" s="6"/>
      <c r="B220" s="6"/>
      <c r="C220" s="6"/>
      <c r="D220" s="6"/>
      <c r="E220" s="6"/>
      <c r="F220" s="7"/>
      <c r="G220" s="7"/>
      <c r="H220" s="6"/>
    </row>
    <row r="221" spans="1:8" x14ac:dyDescent="0.25">
      <c r="A221" s="6"/>
      <c r="B221" s="6"/>
      <c r="C221" s="6"/>
      <c r="D221" s="6"/>
      <c r="E221" s="6"/>
      <c r="F221" s="7"/>
      <c r="G221" s="7"/>
      <c r="H221" s="6"/>
    </row>
    <row r="222" spans="1:8" x14ac:dyDescent="0.25">
      <c r="A222" s="6"/>
      <c r="B222" s="6"/>
      <c r="C222" s="6"/>
      <c r="D222" s="6"/>
      <c r="E222" s="6"/>
      <c r="F222" s="7"/>
      <c r="G222" s="7"/>
      <c r="H222" s="6"/>
    </row>
    <row r="223" spans="1:8" x14ac:dyDescent="0.25">
      <c r="A223" s="6"/>
      <c r="B223" s="6"/>
      <c r="C223" s="6"/>
      <c r="D223" s="6"/>
      <c r="E223" s="6"/>
      <c r="F223" s="7"/>
      <c r="G223" s="7"/>
      <c r="H223" s="6"/>
    </row>
    <row r="224" spans="1:8" x14ac:dyDescent="0.25">
      <c r="A224" s="6"/>
      <c r="B224" s="6"/>
      <c r="C224" s="6"/>
      <c r="D224" s="6"/>
      <c r="E224" s="6"/>
      <c r="F224" s="7"/>
      <c r="G224" s="7"/>
      <c r="H224" s="6"/>
    </row>
    <row r="225" spans="1:8" x14ac:dyDescent="0.25">
      <c r="A225" s="6"/>
      <c r="B225" s="6"/>
      <c r="C225" s="6"/>
      <c r="D225" s="6"/>
      <c r="E225" s="6"/>
      <c r="F225" s="7"/>
      <c r="G225" s="7"/>
      <c r="H225" s="6"/>
    </row>
    <row r="226" spans="1:8" x14ac:dyDescent="0.25">
      <c r="A226" s="6"/>
      <c r="B226" s="6"/>
      <c r="C226" s="6"/>
      <c r="D226" s="6"/>
      <c r="E226" s="6"/>
      <c r="F226" s="7"/>
      <c r="G226" s="7"/>
      <c r="H226" s="6"/>
    </row>
    <row r="227" spans="1:8" x14ac:dyDescent="0.25">
      <c r="A227" s="6"/>
      <c r="B227" s="6"/>
      <c r="C227" s="6"/>
      <c r="D227" s="6"/>
      <c r="E227" s="6"/>
      <c r="F227" s="7"/>
      <c r="G227" s="7"/>
      <c r="H227" s="6"/>
    </row>
    <row r="228" spans="1:8" x14ac:dyDescent="0.25">
      <c r="A228" s="6"/>
      <c r="B228" s="6"/>
      <c r="C228" s="6"/>
      <c r="D228" s="6"/>
      <c r="E228" s="6"/>
      <c r="F228" s="7"/>
      <c r="G228" s="7"/>
      <c r="H228" s="6"/>
    </row>
    <row r="229" spans="1:8" x14ac:dyDescent="0.25">
      <c r="A229" s="6"/>
      <c r="B229" s="6"/>
      <c r="C229" s="6"/>
      <c r="D229" s="6"/>
      <c r="E229" s="6"/>
      <c r="F229" s="7"/>
      <c r="G229" s="7"/>
      <c r="H229" s="6"/>
    </row>
    <row r="230" spans="1:8" x14ac:dyDescent="0.25">
      <c r="A230" s="6"/>
      <c r="B230" s="6"/>
      <c r="C230" s="6"/>
      <c r="D230" s="6"/>
      <c r="E230" s="6"/>
      <c r="F230" s="7"/>
      <c r="G230" s="7"/>
      <c r="H230" s="6"/>
    </row>
    <row r="231" spans="1:8" x14ac:dyDescent="0.25">
      <c r="A231" s="6"/>
      <c r="B231" s="6"/>
      <c r="C231" s="6"/>
      <c r="D231" s="6"/>
      <c r="E231" s="6"/>
      <c r="F231" s="7"/>
      <c r="G231" s="7"/>
      <c r="H231" s="6"/>
    </row>
    <row r="232" spans="1:8" x14ac:dyDescent="0.25">
      <c r="A232" s="6"/>
      <c r="B232" s="6"/>
      <c r="C232" s="6"/>
      <c r="D232" s="6"/>
      <c r="E232" s="6"/>
      <c r="F232" s="7"/>
      <c r="G232" s="7"/>
      <c r="H232" s="6"/>
    </row>
    <row r="233" spans="1:8" x14ac:dyDescent="0.25">
      <c r="A233" s="6"/>
      <c r="B233" s="6"/>
      <c r="C233" s="6"/>
      <c r="D233" s="6"/>
      <c r="E233" s="6"/>
      <c r="F233" s="7"/>
      <c r="G233" s="7"/>
      <c r="H233" s="6"/>
    </row>
    <row r="234" spans="1:8" x14ac:dyDescent="0.25">
      <c r="A234" s="6"/>
      <c r="B234" s="6"/>
      <c r="C234" s="6"/>
      <c r="D234" s="6"/>
      <c r="E234" s="6"/>
      <c r="F234" s="7"/>
      <c r="G234" s="7"/>
      <c r="H234" s="6"/>
    </row>
    <row r="235" spans="1:8" x14ac:dyDescent="0.25">
      <c r="A235" s="6"/>
      <c r="B235" s="6"/>
      <c r="C235" s="6"/>
      <c r="D235" s="6"/>
      <c r="E235" s="6"/>
      <c r="F235" s="7"/>
      <c r="G235" s="7"/>
      <c r="H235" s="6"/>
    </row>
    <row r="236" spans="1:8" x14ac:dyDescent="0.25">
      <c r="A236" s="6"/>
      <c r="B236" s="6"/>
      <c r="C236" s="6"/>
      <c r="D236" s="6"/>
      <c r="E236" s="6"/>
      <c r="F236" s="7"/>
      <c r="G236" s="7"/>
      <c r="H236" s="6"/>
    </row>
    <row r="237" spans="1:8" x14ac:dyDescent="0.25">
      <c r="A237" s="6"/>
      <c r="B237" s="6"/>
      <c r="C237" s="6"/>
      <c r="D237" s="6"/>
      <c r="E237" s="6"/>
      <c r="F237" s="7"/>
      <c r="G237" s="7"/>
      <c r="H237" s="6"/>
    </row>
    <row r="238" spans="1:8" x14ac:dyDescent="0.25">
      <c r="A238" s="6"/>
      <c r="B238" s="6"/>
      <c r="C238" s="6"/>
      <c r="D238" s="6"/>
      <c r="E238" s="6"/>
      <c r="F238" s="7"/>
      <c r="G238" s="7"/>
      <c r="H238" s="6"/>
    </row>
    <row r="239" spans="1:8" x14ac:dyDescent="0.25">
      <c r="A239" s="6"/>
      <c r="B239" s="6"/>
      <c r="C239" s="6"/>
      <c r="D239" s="6"/>
      <c r="E239" s="6"/>
      <c r="F239" s="7"/>
      <c r="G239" s="7"/>
      <c r="H239" s="6"/>
    </row>
    <row r="240" spans="1:8" x14ac:dyDescent="0.25">
      <c r="A240" s="6"/>
      <c r="B240" s="6"/>
      <c r="C240" s="6"/>
      <c r="D240" s="6"/>
      <c r="E240" s="6"/>
      <c r="F240" s="7"/>
      <c r="G240" s="7"/>
      <c r="H240" s="6"/>
    </row>
    <row r="241" spans="1:8" x14ac:dyDescent="0.25">
      <c r="A241" s="6"/>
      <c r="B241" s="6"/>
      <c r="C241" s="6"/>
      <c r="D241" s="6"/>
      <c r="E241" s="6"/>
      <c r="F241" s="7"/>
      <c r="G241" s="7"/>
      <c r="H241" s="6"/>
    </row>
    <row r="242" spans="1:8" x14ac:dyDescent="0.25">
      <c r="A242" s="6"/>
      <c r="B242" s="6"/>
      <c r="C242" s="6"/>
      <c r="D242" s="6"/>
      <c r="E242" s="6"/>
      <c r="F242" s="7"/>
      <c r="G242" s="7"/>
      <c r="H242" s="6"/>
    </row>
    <row r="243" spans="1:8" x14ac:dyDescent="0.25">
      <c r="A243" s="6"/>
      <c r="B243" s="6"/>
      <c r="C243" s="6"/>
      <c r="D243" s="6"/>
      <c r="E243" s="6"/>
      <c r="F243" s="7"/>
      <c r="G243" s="7"/>
      <c r="H243" s="6"/>
    </row>
    <row r="244" spans="1:8" x14ac:dyDescent="0.25">
      <c r="A244" s="6"/>
      <c r="B244" s="6"/>
      <c r="C244" s="6"/>
      <c r="D244" s="6"/>
      <c r="E244" s="6"/>
      <c r="F244" s="7"/>
      <c r="G244" s="7"/>
      <c r="H244" s="6"/>
    </row>
    <row r="245" spans="1:8" x14ac:dyDescent="0.25">
      <c r="A245" s="6"/>
      <c r="B245" s="6"/>
      <c r="C245" s="6"/>
      <c r="D245" s="6"/>
      <c r="E245" s="6"/>
      <c r="F245" s="7"/>
      <c r="G245" s="7"/>
      <c r="H245" s="6"/>
    </row>
    <row r="246" spans="1:8" x14ac:dyDescent="0.25">
      <c r="A246" s="6"/>
      <c r="B246" s="6"/>
      <c r="C246" s="6"/>
      <c r="D246" s="6"/>
      <c r="E246" s="6"/>
      <c r="F246" s="7"/>
      <c r="G246" s="7"/>
      <c r="H246" s="6"/>
    </row>
    <row r="247" spans="1:8" x14ac:dyDescent="0.25">
      <c r="A247" s="6"/>
      <c r="B247" s="6"/>
      <c r="C247" s="6"/>
      <c r="D247" s="6"/>
      <c r="E247" s="6"/>
      <c r="F247" s="7"/>
      <c r="G247" s="7"/>
      <c r="H247" s="6"/>
    </row>
    <row r="248" spans="1:8" x14ac:dyDescent="0.25">
      <c r="A248" s="6"/>
      <c r="B248" s="6"/>
      <c r="C248" s="6"/>
      <c r="D248" s="6"/>
      <c r="E248" s="6"/>
      <c r="F248" s="7"/>
      <c r="G248" s="7"/>
      <c r="H248" s="6"/>
    </row>
    <row r="249" spans="1:8" x14ac:dyDescent="0.25">
      <c r="A249" s="6"/>
      <c r="B249" s="6"/>
      <c r="C249" s="6"/>
      <c r="D249" s="6"/>
      <c r="E249" s="6"/>
      <c r="F249" s="7"/>
      <c r="G249" s="7"/>
      <c r="H249" s="6"/>
    </row>
    <row r="250" spans="1:8" x14ac:dyDescent="0.25">
      <c r="A250" s="6"/>
      <c r="B250" s="6"/>
      <c r="C250" s="6"/>
      <c r="D250" s="6"/>
      <c r="E250" s="6"/>
      <c r="F250" s="7"/>
      <c r="G250" s="7"/>
      <c r="H250" s="6"/>
    </row>
    <row r="251" spans="1:8" x14ac:dyDescent="0.25">
      <c r="A251" s="6"/>
      <c r="B251" s="6"/>
      <c r="C251" s="6"/>
      <c r="D251" s="6"/>
      <c r="E251" s="6"/>
      <c r="F251" s="7"/>
      <c r="G251" s="7"/>
      <c r="H251" s="6"/>
    </row>
    <row r="252" spans="1:8" x14ac:dyDescent="0.25">
      <c r="A252" s="6"/>
      <c r="B252" s="6"/>
      <c r="C252" s="6"/>
      <c r="D252" s="6"/>
      <c r="E252" s="6"/>
      <c r="F252" s="7"/>
      <c r="G252" s="7"/>
      <c r="H252" s="6"/>
    </row>
    <row r="253" spans="1:8" x14ac:dyDescent="0.25">
      <c r="A253" s="6"/>
      <c r="B253" s="6"/>
      <c r="C253" s="6"/>
      <c r="D253" s="6"/>
      <c r="E253" s="6"/>
      <c r="F253" s="7"/>
      <c r="G253" s="7"/>
      <c r="H253" s="6"/>
    </row>
    <row r="254" spans="1:8" x14ac:dyDescent="0.25">
      <c r="A254" s="6"/>
      <c r="B254" s="6"/>
      <c r="C254" s="6"/>
      <c r="D254" s="6"/>
      <c r="E254" s="6"/>
      <c r="F254" s="7"/>
      <c r="G254" s="7"/>
      <c r="H254" s="6"/>
    </row>
    <row r="255" spans="1:8" x14ac:dyDescent="0.25">
      <c r="A255" s="6"/>
      <c r="B255" s="6"/>
      <c r="C255" s="6"/>
      <c r="D255" s="6"/>
      <c r="E255" s="6"/>
      <c r="F255" s="7"/>
      <c r="G255" s="7"/>
      <c r="H255" s="6"/>
    </row>
    <row r="256" spans="1:8" x14ac:dyDescent="0.25">
      <c r="A256" s="6"/>
      <c r="B256" s="6"/>
      <c r="C256" s="6"/>
      <c r="D256" s="6"/>
      <c r="E256" s="6"/>
      <c r="F256" s="7"/>
      <c r="G256" s="7"/>
      <c r="H256" s="6"/>
    </row>
    <row r="257" spans="1:8" x14ac:dyDescent="0.25">
      <c r="A257" s="6"/>
      <c r="B257" s="6"/>
      <c r="C257" s="6"/>
      <c r="D257" s="6"/>
      <c r="E257" s="6"/>
      <c r="F257" s="7"/>
      <c r="G257" s="7"/>
      <c r="H257" s="6"/>
    </row>
    <row r="258" spans="1:8" x14ac:dyDescent="0.25">
      <c r="A258" s="6"/>
      <c r="B258" s="6"/>
      <c r="C258" s="6"/>
      <c r="D258" s="6"/>
      <c r="E258" s="6"/>
      <c r="F258" s="7"/>
      <c r="G258" s="7"/>
      <c r="H258" s="6"/>
    </row>
    <row r="259" spans="1:8" x14ac:dyDescent="0.25">
      <c r="A259" s="6"/>
      <c r="B259" s="6"/>
      <c r="C259" s="6"/>
      <c r="D259" s="6"/>
      <c r="E259" s="6"/>
      <c r="F259" s="7"/>
      <c r="G259" s="7"/>
      <c r="H259" s="6"/>
    </row>
    <row r="260" spans="1:8" x14ac:dyDescent="0.25">
      <c r="A260" s="6"/>
      <c r="B260" s="6"/>
      <c r="C260" s="6"/>
      <c r="D260" s="6"/>
      <c r="E260" s="6"/>
      <c r="F260" s="7"/>
      <c r="G260" s="7"/>
      <c r="H260" s="6"/>
    </row>
    <row r="261" spans="1:8" x14ac:dyDescent="0.25">
      <c r="A261" s="6"/>
      <c r="B261" s="6"/>
      <c r="C261" s="6"/>
      <c r="D261" s="6"/>
      <c r="E261" s="6"/>
      <c r="F261" s="7"/>
      <c r="G261" s="7"/>
      <c r="H261" s="6"/>
    </row>
    <row r="262" spans="1:8" x14ac:dyDescent="0.25">
      <c r="A262" s="6"/>
      <c r="B262" s="6"/>
      <c r="C262" s="6"/>
      <c r="D262" s="6"/>
      <c r="E262" s="6"/>
      <c r="F262" s="7"/>
      <c r="G262" s="7"/>
      <c r="H262" s="6"/>
    </row>
    <row r="263" spans="1:8" x14ac:dyDescent="0.25">
      <c r="A263" s="6"/>
      <c r="B263" s="6"/>
      <c r="C263" s="6"/>
      <c r="D263" s="6"/>
      <c r="E263" s="6"/>
      <c r="F263" s="7"/>
      <c r="G263" s="7"/>
      <c r="H263" s="6"/>
    </row>
    <row r="264" spans="1:8" x14ac:dyDescent="0.25">
      <c r="A264" s="6"/>
      <c r="B264" s="6"/>
      <c r="C264" s="6"/>
      <c r="D264" s="6"/>
      <c r="E264" s="6"/>
      <c r="F264" s="7"/>
      <c r="G264" s="7"/>
      <c r="H264" s="6"/>
    </row>
    <row r="265" spans="1:8" x14ac:dyDescent="0.25">
      <c r="A265" s="6"/>
      <c r="B265" s="6"/>
      <c r="C265" s="6"/>
      <c r="D265" s="6"/>
      <c r="E265" s="6"/>
      <c r="F265" s="7"/>
      <c r="G265" s="7"/>
      <c r="H265" s="6"/>
    </row>
    <row r="266" spans="1:8" x14ac:dyDescent="0.25">
      <c r="A266" s="6"/>
      <c r="B266" s="6"/>
      <c r="C266" s="6"/>
      <c r="D266" s="6"/>
      <c r="E266" s="6"/>
      <c r="F266" s="7"/>
      <c r="G266" s="7"/>
      <c r="H266" s="6"/>
    </row>
    <row r="267" spans="1:8" x14ac:dyDescent="0.25">
      <c r="A267" s="6"/>
      <c r="B267" s="6"/>
      <c r="C267" s="6"/>
      <c r="D267" s="6"/>
      <c r="E267" s="6"/>
      <c r="F267" s="7"/>
      <c r="G267" s="7"/>
      <c r="H267" s="6"/>
    </row>
    <row r="268" spans="1:8" x14ac:dyDescent="0.25">
      <c r="A268" s="6"/>
      <c r="B268" s="6"/>
      <c r="C268" s="6"/>
      <c r="D268" s="6"/>
      <c r="E268" s="6"/>
      <c r="F268" s="7"/>
      <c r="G268" s="7"/>
      <c r="H268" s="6"/>
    </row>
    <row r="269" spans="1:8" x14ac:dyDescent="0.25">
      <c r="A269" s="6"/>
      <c r="B269" s="6"/>
      <c r="C269" s="6"/>
      <c r="D269" s="6"/>
      <c r="E269" s="6"/>
      <c r="F269" s="7"/>
      <c r="G269" s="7"/>
      <c r="H269" s="6"/>
    </row>
    <row r="270" spans="1:8" x14ac:dyDescent="0.25">
      <c r="A270" s="6"/>
      <c r="B270" s="6"/>
      <c r="C270" s="6"/>
      <c r="D270" s="6"/>
      <c r="E270" s="6"/>
      <c r="F270" s="7"/>
      <c r="G270" s="7"/>
      <c r="H270" s="6"/>
    </row>
    <row r="271" spans="1:8" x14ac:dyDescent="0.25">
      <c r="A271" s="6"/>
      <c r="B271" s="6"/>
      <c r="C271" s="6"/>
      <c r="D271" s="6"/>
      <c r="E271" s="6"/>
      <c r="F271" s="7"/>
      <c r="G271" s="7"/>
      <c r="H271" s="6"/>
    </row>
    <row r="272" spans="1:8" x14ac:dyDescent="0.25">
      <c r="A272" s="6"/>
      <c r="B272" s="6"/>
      <c r="C272" s="6"/>
      <c r="D272" s="6"/>
      <c r="E272" s="6"/>
      <c r="F272" s="7"/>
      <c r="G272" s="7"/>
      <c r="H272" s="6"/>
    </row>
    <row r="273" spans="1:8" x14ac:dyDescent="0.25">
      <c r="A273" s="6"/>
      <c r="B273" s="6"/>
      <c r="C273" s="6"/>
      <c r="D273" s="6"/>
      <c r="E273" s="6"/>
      <c r="F273" s="7"/>
      <c r="G273" s="7"/>
      <c r="H273" s="6"/>
    </row>
    <row r="274" spans="1:8" x14ac:dyDescent="0.25">
      <c r="A274" s="6"/>
      <c r="B274" s="6"/>
      <c r="C274" s="6"/>
      <c r="D274" s="6"/>
      <c r="E274" s="6"/>
      <c r="F274" s="7"/>
      <c r="G274" s="7"/>
      <c r="H274" s="6"/>
    </row>
    <row r="275" spans="1:8" x14ac:dyDescent="0.25">
      <c r="A275" s="6"/>
      <c r="B275" s="6"/>
      <c r="C275" s="6"/>
      <c r="D275" s="6"/>
      <c r="E275" s="6"/>
      <c r="F275" s="7"/>
      <c r="G275" s="7"/>
      <c r="H275" s="6"/>
    </row>
    <row r="276" spans="1:8" x14ac:dyDescent="0.25">
      <c r="A276" s="6"/>
      <c r="B276" s="6"/>
      <c r="C276" s="6"/>
      <c r="D276" s="6"/>
      <c r="E276" s="6"/>
      <c r="F276" s="7"/>
      <c r="G276" s="7"/>
      <c r="H276" s="6"/>
    </row>
    <row r="277" spans="1:8" x14ac:dyDescent="0.25">
      <c r="A277" s="6"/>
      <c r="B277" s="6"/>
      <c r="C277" s="6"/>
      <c r="D277" s="6"/>
      <c r="E277" s="6"/>
      <c r="F277" s="7"/>
      <c r="G277" s="7"/>
      <c r="H277" s="6"/>
    </row>
    <row r="278" spans="1:8" x14ac:dyDescent="0.25">
      <c r="A278" s="6"/>
      <c r="B278" s="6"/>
      <c r="C278" s="6"/>
      <c r="D278" s="6"/>
      <c r="E278" s="6"/>
      <c r="F278" s="7"/>
      <c r="G278" s="7"/>
      <c r="H278" s="6"/>
    </row>
    <row r="279" spans="1:8" x14ac:dyDescent="0.25">
      <c r="A279" s="6"/>
      <c r="B279" s="6"/>
      <c r="C279" s="6"/>
      <c r="D279" s="6"/>
      <c r="E279" s="6"/>
      <c r="F279" s="7"/>
      <c r="G279" s="7"/>
      <c r="H279" s="6"/>
    </row>
    <row r="280" spans="1:8" x14ac:dyDescent="0.25">
      <c r="A280" s="6"/>
      <c r="B280" s="6"/>
      <c r="C280" s="6"/>
      <c r="D280" s="6"/>
      <c r="E280" s="6"/>
      <c r="F280" s="7"/>
      <c r="G280" s="7"/>
      <c r="H280" s="6"/>
    </row>
    <row r="281" spans="1:8" x14ac:dyDescent="0.25">
      <c r="A281" s="6"/>
      <c r="B281" s="6"/>
      <c r="C281" s="6"/>
      <c r="D281" s="6"/>
      <c r="E281" s="6"/>
      <c r="F281" s="7"/>
      <c r="G281" s="7"/>
      <c r="H281" s="6"/>
    </row>
    <row r="282" spans="1:8" x14ac:dyDescent="0.25">
      <c r="A282" s="6"/>
      <c r="B282" s="6"/>
      <c r="C282" s="6"/>
      <c r="D282" s="6"/>
      <c r="E282" s="6"/>
      <c r="F282" s="7"/>
      <c r="G282" s="7"/>
      <c r="H282" s="6"/>
    </row>
    <row r="283" spans="1:8" x14ac:dyDescent="0.25">
      <c r="A283" s="6"/>
      <c r="B283" s="6"/>
      <c r="C283" s="6"/>
      <c r="D283" s="6"/>
      <c r="E283" s="6"/>
      <c r="F283" s="7"/>
      <c r="G283" s="7"/>
      <c r="H283" s="6"/>
    </row>
    <row r="284" spans="1:8" x14ac:dyDescent="0.25">
      <c r="A284" s="6"/>
      <c r="B284" s="6"/>
      <c r="C284" s="6"/>
      <c r="D284" s="6"/>
      <c r="E284" s="6"/>
      <c r="F284" s="7"/>
      <c r="G284" s="7"/>
      <c r="H284" s="6"/>
    </row>
    <row r="285" spans="1:8" x14ac:dyDescent="0.25">
      <c r="A285" s="6"/>
      <c r="B285" s="6"/>
      <c r="C285" s="6"/>
      <c r="D285" s="6"/>
      <c r="E285" s="6"/>
      <c r="F285" s="7"/>
      <c r="G285" s="7"/>
      <c r="H285" s="6"/>
    </row>
    <row r="286" spans="1:8" x14ac:dyDescent="0.25">
      <c r="A286" s="6"/>
      <c r="B286" s="6"/>
      <c r="C286" s="6"/>
      <c r="D286" s="6"/>
      <c r="E286" s="6"/>
      <c r="F286" s="7"/>
      <c r="G286" s="7"/>
      <c r="H286" s="6"/>
    </row>
    <row r="287" spans="1:8" x14ac:dyDescent="0.25">
      <c r="A287" s="6"/>
      <c r="B287" s="6"/>
      <c r="C287" s="6"/>
      <c r="D287" s="6"/>
      <c r="E287" s="6"/>
      <c r="F287" s="7"/>
      <c r="G287" s="7"/>
      <c r="H287" s="6"/>
    </row>
    <row r="288" spans="1:8" x14ac:dyDescent="0.25">
      <c r="A288" s="6"/>
      <c r="B288" s="6"/>
      <c r="C288" s="6"/>
      <c r="D288" s="6"/>
      <c r="E288" s="6"/>
      <c r="F288" s="7"/>
      <c r="G288" s="7"/>
      <c r="H288" s="6"/>
    </row>
    <row r="289" spans="1:8" x14ac:dyDescent="0.25">
      <c r="A289" s="6"/>
      <c r="B289" s="6"/>
      <c r="C289" s="6"/>
      <c r="D289" s="6"/>
      <c r="E289" s="6"/>
      <c r="F289" s="7"/>
      <c r="G289" s="7"/>
      <c r="H289" s="6"/>
    </row>
    <row r="290" spans="1:8" x14ac:dyDescent="0.25">
      <c r="A290" s="6"/>
      <c r="B290" s="6"/>
      <c r="C290" s="6"/>
      <c r="D290" s="6"/>
      <c r="E290" s="6"/>
      <c r="F290" s="7"/>
      <c r="G290" s="7"/>
      <c r="H290" s="6"/>
    </row>
    <row r="291" spans="1:8" x14ac:dyDescent="0.25">
      <c r="A291" s="6"/>
      <c r="B291" s="6"/>
      <c r="C291" s="6"/>
      <c r="D291" s="6"/>
      <c r="E291" s="6"/>
      <c r="F291" s="7"/>
      <c r="G291" s="7"/>
      <c r="H291" s="6"/>
    </row>
    <row r="292" spans="1:8" x14ac:dyDescent="0.25">
      <c r="A292" s="6"/>
      <c r="B292" s="6"/>
      <c r="C292" s="6"/>
      <c r="D292" s="6"/>
      <c r="E292" s="6"/>
      <c r="F292" s="7"/>
      <c r="G292" s="7"/>
      <c r="H292" s="6"/>
    </row>
    <row r="293" spans="1:8" x14ac:dyDescent="0.25">
      <c r="A293" s="6"/>
      <c r="B293" s="6"/>
      <c r="C293" s="6"/>
      <c r="D293" s="6"/>
      <c r="E293" s="6"/>
      <c r="F293" s="7"/>
      <c r="G293" s="7"/>
      <c r="H293" s="6"/>
    </row>
    <row r="294" spans="1:8" x14ac:dyDescent="0.25">
      <c r="A294" s="6"/>
      <c r="B294" s="6"/>
      <c r="C294" s="6"/>
      <c r="D294" s="6"/>
      <c r="E294" s="6"/>
      <c r="F294" s="7"/>
      <c r="G294" s="7"/>
      <c r="H294" s="6"/>
    </row>
    <row r="295" spans="1:8" x14ac:dyDescent="0.25">
      <c r="A295" s="6"/>
      <c r="B295" s="6"/>
      <c r="C295" s="6"/>
      <c r="D295" s="6"/>
      <c r="E295" s="6"/>
      <c r="F295" s="7"/>
      <c r="G295" s="7"/>
      <c r="H295" s="6"/>
    </row>
    <row r="296" spans="1:8" x14ac:dyDescent="0.25">
      <c r="A296" s="6"/>
      <c r="B296" s="6"/>
      <c r="C296" s="6"/>
      <c r="D296" s="6"/>
      <c r="E296" s="6"/>
      <c r="F296" s="7"/>
      <c r="G296" s="7"/>
      <c r="H296" s="6"/>
    </row>
    <row r="297" spans="1:8" x14ac:dyDescent="0.25">
      <c r="A297" s="6"/>
      <c r="B297" s="6"/>
      <c r="C297" s="6"/>
      <c r="D297" s="6"/>
      <c r="E297" s="6"/>
      <c r="F297" s="7"/>
      <c r="G297" s="7"/>
      <c r="H297" s="6"/>
    </row>
    <row r="298" spans="1:8" x14ac:dyDescent="0.25">
      <c r="A298" s="6"/>
      <c r="B298" s="6"/>
      <c r="C298" s="6"/>
      <c r="D298" s="6"/>
      <c r="E298" s="6"/>
      <c r="F298" s="7"/>
      <c r="G298" s="7"/>
      <c r="H298" s="6"/>
    </row>
    <row r="299" spans="1:8" x14ac:dyDescent="0.25">
      <c r="A299" s="6"/>
      <c r="B299" s="6"/>
      <c r="C299" s="6"/>
      <c r="D299" s="6"/>
      <c r="E299" s="6"/>
      <c r="F299" s="7"/>
      <c r="G299" s="7"/>
      <c r="H299" s="6"/>
    </row>
    <row r="300" spans="1:8" x14ac:dyDescent="0.25">
      <c r="A300" s="6"/>
      <c r="B300" s="6"/>
      <c r="C300" s="6"/>
      <c r="D300" s="6"/>
      <c r="E300" s="6"/>
      <c r="F300" s="7"/>
      <c r="G300" s="7"/>
      <c r="H300" s="6"/>
    </row>
  </sheetData>
  <conditionalFormatting sqref="A2:H300">
    <cfRule type="expression" dxfId="0" priority="10">
      <formula>MOD(ROW(),2)=0</formula>
    </cfRule>
  </conditionalFormatting>
  <conditionalFormatting sqref="A2:H300">
    <cfRule type="expression" dxfId="1" priority="1">
      <formula>$E2="Ativo"</formula>
    </cfRule>
    <cfRule type="expression" dxfId="2" priority="2">
      <formula>$E2="Alta"</formula>
    </cfRule>
  </conditionalFormatting>
  <dataValidations count="4">
    <dataValidation type="list" allowBlank="1" sqref="C10:C300">
      <formula1>Listas!$A$2:$A$4</formula1>
    </dataValidation>
    <dataValidation type="list" allowBlank="1" sqref="C2:C300">
      <formula1>Listas!$A$2:$A$4</formula1>
    </dataValidation>
    <dataValidation type="list" allowBlank="1" sqref="E10:E300">
      <formula1>Listas!$B$2:$B$3</formula1>
    </dataValidation>
    <dataValidation type="list" allowBlank="1" sqref="E2:E300">
      <formula1>Listas!$B$2:$B$3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12" customWidth="1"/>
    <col min="5" max="5" width="16" customWidth="1"/>
    <col min="6" max="6" width="11" customWidth="1"/>
    <col min="7" max="7" width="15" customWidth="1"/>
    <col min="8" max="8" width="20" customWidth="1"/>
    <col min="9" max="9" width="15" customWidth="1"/>
    <col min="10" max="10" width="20" customWidth="1"/>
    <col min="11" max="11" width="13" customWidth="1"/>
    <col min="12" max="12" width="20" customWidth="1"/>
    <col min="13" max="13" width="10" customWidth="1"/>
    <col min="14" max="14" width="14" customWidth="1"/>
    <col min="15" max="15" width="20" customWidth="1"/>
    <col min="16" max="16" width="10" customWidth="1"/>
    <col min="17" max="17" width="18" customWidth="1"/>
    <col min="18" max="18" width="20" customWidth="1"/>
    <col min="19" max="19" width="10" customWidth="1"/>
    <col min="20" max="20" width="22" customWidth="1"/>
    <col min="21" max="21" width="26" customWidth="1"/>
    <col min="22" max="22" width="18" customWidth="1"/>
    <col min="23" max="23" width="24" customWidth="1"/>
    <col min="24" max="24" width="55" customWidth="1"/>
  </cols>
  <sheetData>
    <row r="1" ht="40" customHeight="1" spans="1:24" x14ac:dyDescent="0.25">
      <c r="A1" s="5" t="s">
        <v>97</v>
      </c>
      <c r="B1" s="8" t="s">
        <v>119</v>
      </c>
      <c r="C1" s="8" t="s">
        <v>120</v>
      </c>
      <c r="D1" s="8" t="s">
        <v>121</v>
      </c>
      <c r="E1" s="8" t="s">
        <v>122</v>
      </c>
      <c r="F1" s="4" t="s">
        <v>123</v>
      </c>
      <c r="G1" s="5" t="s">
        <v>124</v>
      </c>
      <c r="H1" s="4" t="s">
        <v>125</v>
      </c>
      <c r="I1" s="5" t="s">
        <v>126</v>
      </c>
      <c r="J1" s="4" t="s">
        <v>127</v>
      </c>
      <c r="K1" s="5" t="s">
        <v>128</v>
      </c>
      <c r="L1" s="4" t="s">
        <v>129</v>
      </c>
      <c r="M1" s="5" t="s">
        <v>22</v>
      </c>
      <c r="N1" s="5" t="s">
        <v>130</v>
      </c>
      <c r="O1" s="4" t="s">
        <v>131</v>
      </c>
      <c r="P1" s="5" t="s">
        <v>24</v>
      </c>
      <c r="Q1" s="4" t="s">
        <v>132</v>
      </c>
      <c r="R1" s="4" t="s">
        <v>133</v>
      </c>
      <c r="S1" s="5" t="s">
        <v>134</v>
      </c>
      <c r="T1" s="4" t="s">
        <v>135</v>
      </c>
      <c r="U1" s="4" t="s">
        <v>136</v>
      </c>
      <c r="V1" s="4" t="s">
        <v>137</v>
      </c>
      <c r="W1" s="4" t="s">
        <v>138</v>
      </c>
      <c r="X1" s="4" t="s">
        <v>139</v>
      </c>
    </row>
    <row r="2" ht="230" customHeight="1" spans="1:24" x14ac:dyDescent="0.25">
      <c r="A2" s="6" t="s">
        <v>104</v>
      </c>
      <c r="B2" s="9">
        <f>IFERROR(INDEX(Pacientes!$A:$A,MATCH($A2,Pacientes!$B:$B,0)),"")</f>
      </c>
      <c r="C2" s="9">
        <f>IFERROR(INDEX(Pacientes!$C:$C,MATCH($A2,Pacientes!$B:$B,0)),"")</f>
      </c>
      <c r="D2" s="9">
        <f>IFERROR(INDEX(Pacientes!$D:$D,MATCH($A2,Pacientes!$B:$B,0)),"")</f>
      </c>
      <c r="E2" s="9">
        <f>IFERROR(INDEX(Pacientes!$E:$E,MATCH($A2,Pacientes!$B:$B,0)),"")</f>
      </c>
      <c r="F2" s="7" t="s">
        <v>140</v>
      </c>
      <c r="G2" s="6" t="s">
        <v>46</v>
      </c>
      <c r="H2" s="6" t="s">
        <v>141</v>
      </c>
      <c r="I2" s="6" t="s">
        <v>47</v>
      </c>
      <c r="J2" s="6" t="s">
        <v>142</v>
      </c>
      <c r="K2" s="6" t="s">
        <v>34</v>
      </c>
      <c r="L2" s="6" t="s">
        <v>143</v>
      </c>
      <c r="M2" s="6" t="s">
        <v>50</v>
      </c>
      <c r="N2" s="6" t="s">
        <v>37</v>
      </c>
      <c r="O2" s="6" t="s">
        <v>1</v>
      </c>
      <c r="P2" s="6" t="s">
        <v>24</v>
      </c>
      <c r="Q2" s="6" t="s">
        <v>144</v>
      </c>
      <c r="R2" s="6" t="s">
        <v>145</v>
      </c>
      <c r="S2" s="6" t="s">
        <v>35</v>
      </c>
      <c r="T2" s="6" t="s">
        <v>146</v>
      </c>
      <c r="U2" s="6" t="s">
        <v>147</v>
      </c>
      <c r="V2" s="6" t="s">
        <v>1</v>
      </c>
      <c r="W2" s="6" t="s">
        <v>148</v>
      </c>
      <c r="X2" s="10">
        <f>"1. Evolução Clínica"&amp;CHAR(10)&amp;TEXTJOIN(" ",TRUE,"Paciente "&amp;G2&amp;", "&amp;IF(H2="","sem DVA","em uso de "&amp;H2)&amp;".",IF(I2&lt;&gt;"","Em "&amp;I2&amp;IF(J2&lt;&gt;""," ("&amp;J2&amp;")","")&amp;IF(K2&lt;&gt;"", ", "&amp;K2,"")&amp;IF(L2&lt;&gt;"", ", sob analgosedação com "&amp;L2,"")&amp;".",""),IF(M2&lt;&gt;"","Dieta "&amp;M2&amp;IF(N2&lt;&gt;"", ", com "&amp;LOWER(N2),"")&amp;IF(O2&lt;&gt;"", " — "&amp;O2,"")&amp;".",""),IF(P2="Febre","Apresentou episódio febril nas últimas 24h"&amp;IF(Q2&lt;&gt;""," ("&amp;Q2&amp;")","")&amp;".",IF(P2="Afebril","Encontra-se afebril.","")),IF(R2&lt;&gt;"",IF(S2="Sim","Apresenta disfunção renal aguda ","Função renal preservada ")&amp;"("&amp;R2&amp;").",""),IF(T2&lt;&gt;"","Em uso do esquema antimicrobiano com "&amp;T2&amp;".",""),IF(U2&lt;&gt;"","Em uso de profilaxia: "&amp;U2&amp;".",""))&amp;CHAR(10)&amp;CHAR(10)&amp;"2. Farmacoterapia"&amp;CHAR(10)&amp;IF(V2&lt;&gt;"","Corticoide/DART: "&amp;V2,"Sem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("&amp;Intervenções!$G$2:$G$500&amp;")",(Intervenções!$B$2:$B$500=A2)*(Intervenções!$A$2:$A$500=F2))),"Nenhuma intervenção registrada hoje.")&amp;CHAR(10)&amp;CHAR(10)&amp;"4. Plano Terapêutico"&amp;CHAR(10)&amp;IF(W2&lt;&gt;"",W2,"Não definido.")</f>
      </c>
    </row>
    <row r="3" spans="1:24" x14ac:dyDescent="0.25">
      <c r="A3" s="6"/>
      <c r="B3" s="9">
        <f>IFERROR(INDEX(Pacientes!$A:$A,MATCH($A3,Pacientes!$B:$B,0)),"")</f>
      </c>
      <c r="C3" s="9">
        <f>IFERROR(INDEX(Pacientes!$C:$C,MATCH($A3,Pacientes!$B:$B,0)),"")</f>
      </c>
      <c r="D3" s="9">
        <f>IFERROR(INDEX(Pacientes!$D:$D,MATCH($A3,Pacientes!$B:$B,0)),"")</f>
      </c>
      <c r="E3" s="9">
        <f>IFERROR(INDEX(Pacientes!$E:$E,MATCH($A3,Pacientes!$B:$B,0)),"")</f>
      </c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>
        <f>"1. Evolução Clínica"&amp;CHAR(10)&amp;TEXTJOIN(" ",TRUE,"Paciente "&amp;G3&amp;", "&amp;IF(H3="","sem DVA","em uso de "&amp;H3)&amp;".",IF(I3&lt;&gt;"","Em "&amp;I3&amp;IF(J3&lt;&gt;""," ("&amp;J3&amp;")","")&amp;IF(K3&lt;&gt;"", ", "&amp;K3,"")&amp;IF(L3&lt;&gt;"", ", sob analgosedação com "&amp;L3,"")&amp;".",""),IF(M3&lt;&gt;"","Dieta "&amp;M3&amp;IF(N3&lt;&gt;"", ", com "&amp;LOWER(N3),"")&amp;IF(O3&lt;&gt;"", " — "&amp;O3,"")&amp;".",""),IF(P3="Febre","Apresentou episódio febril nas últimas 24h"&amp;IF(Q3&lt;&gt;""," ("&amp;Q3&amp;")","")&amp;".",IF(P3="Afebril","Encontra-se afebril.","")),IF(R3&lt;&gt;"",IF(S3="Sim","Apresenta disfunção renal aguda ","Função renal preservada ")&amp;"("&amp;R3&amp;").",""),IF(T3&lt;&gt;"","Em uso do esquema antimicrobiano com "&amp;T3&amp;".",""),IF(U3&lt;&gt;"","Em uso de profilaxia: "&amp;U3&amp;".",""))&amp;CHAR(10)&amp;CHAR(10)&amp;"2. Farmacoterapia"&amp;CHAR(10)&amp;IF(V3&lt;&gt;"","Corticoide/DART: "&amp;V3,"Sem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("&amp;Intervenções!$G$2:$G$500&amp;")",(Intervenções!$B$2:$B$500=A3)*(Intervenções!$A$2:$A$500=F3))),"Nenhuma intervenção registrada hoje.")&amp;CHAR(10)&amp;CHAR(10)&amp;"4. Plano Terapêutico"&amp;CHAR(10)&amp;IF(W3&lt;&gt;"",W3,"Não definido.")</f>
      </c>
    </row>
    <row r="4" spans="1:24" x14ac:dyDescent="0.25">
      <c r="A4" s="6"/>
      <c r="B4" s="9">
        <f>IFERROR(INDEX(Pacientes!$A:$A,MATCH($A4,Pacientes!$B:$B,0)),"")</f>
      </c>
      <c r="C4" s="9">
        <f>IFERROR(INDEX(Pacientes!$C:$C,MATCH($A4,Pacientes!$B:$B,0)),"")</f>
      </c>
      <c r="D4" s="9">
        <f>IFERROR(INDEX(Pacientes!$D:$D,MATCH($A4,Pacientes!$B:$B,0)),"")</f>
      </c>
      <c r="E4" s="9">
        <f>IFERROR(INDEX(Pacientes!$E:$E,MATCH($A4,Pacientes!$B:$B,0)),"")</f>
      </c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f>"1. Evolução Clínica"&amp;CHAR(10)&amp;TEXTJOIN(" ",TRUE,"Paciente "&amp;G4&amp;", "&amp;IF(H4="","sem DVA","em uso de "&amp;H4)&amp;".",IF(I4&lt;&gt;"","Em "&amp;I4&amp;IF(J4&lt;&gt;""," ("&amp;J4&amp;")","")&amp;IF(K4&lt;&gt;"", ", "&amp;K4,"")&amp;IF(L4&lt;&gt;"", ", sob analgosedação com "&amp;L4,"")&amp;".",""),IF(M4&lt;&gt;"","Dieta "&amp;M4&amp;IF(N4&lt;&gt;"", ", com "&amp;LOWER(N4),"")&amp;IF(O4&lt;&gt;"", " — "&amp;O4,"")&amp;".",""),IF(P4="Febre","Apresentou episódio febril nas últimas 24h"&amp;IF(Q4&lt;&gt;""," ("&amp;Q4&amp;")","")&amp;".",IF(P4="Afebril","Encontra-se afebril.","")),IF(R4&lt;&gt;"",IF(S4="Sim","Apresenta disfunção renal aguda ","Função renal preservada ")&amp;"("&amp;R4&amp;").",""),IF(T4&lt;&gt;"","Em uso do esquema antimicrobiano com "&amp;T4&amp;".",""),IF(U4&lt;&gt;"","Em uso de profilaxia: "&amp;U4&amp;".",""))&amp;CHAR(10)&amp;CHAR(10)&amp;"2. Farmacoterapia"&amp;CHAR(10)&amp;IF(V4&lt;&gt;"","Corticoide/DART: "&amp;V4,"Sem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("&amp;Intervenções!$G$2:$G$500&amp;")",(Intervenções!$B$2:$B$500=A4)*(Intervenções!$A$2:$A$500=F4))),"Nenhuma intervenção registrada hoje.")&amp;CHAR(10)&amp;CHAR(10)&amp;"4. Plano Terapêutico"&amp;CHAR(10)&amp;IF(W4&lt;&gt;"",W4,"Não definido.")</f>
      </c>
    </row>
    <row r="5" spans="1:24" x14ac:dyDescent="0.25">
      <c r="A5" s="6"/>
      <c r="B5" s="9">
        <f>IFERROR(INDEX(Pacientes!$A:$A,MATCH($A5,Pacientes!$B:$B,0)),"")</f>
      </c>
      <c r="C5" s="9">
        <f>IFERROR(INDEX(Pacientes!$C:$C,MATCH($A5,Pacientes!$B:$B,0)),"")</f>
      </c>
      <c r="D5" s="9">
        <f>IFERROR(INDEX(Pacientes!$D:$D,MATCH($A5,Pacientes!$B:$B,0)),"")</f>
      </c>
      <c r="E5" s="9">
        <f>IFERROR(INDEX(Pacientes!$E:$E,MATCH($A5,Pacientes!$B:$B,0)),"")</f>
      </c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f>"1. Evolução Clínica"&amp;CHAR(10)&amp;TEXTJOIN(" ",TRUE,"Paciente "&amp;G5&amp;", "&amp;IF(H5="","sem DVA","em uso de "&amp;H5)&amp;".",IF(I5&lt;&gt;"","Em "&amp;I5&amp;IF(J5&lt;&gt;""," ("&amp;J5&amp;")","")&amp;IF(K5&lt;&gt;"", ", "&amp;K5,"")&amp;IF(L5&lt;&gt;"", ", sob analgosedação com "&amp;L5,"")&amp;".",""),IF(M5&lt;&gt;"","Dieta "&amp;M5&amp;IF(N5&lt;&gt;"", ", com "&amp;LOWER(N5),"")&amp;IF(O5&lt;&gt;"", " — "&amp;O5,"")&amp;".",""),IF(P5="Febre","Apresentou episódio febril nas últimas 24h"&amp;IF(Q5&lt;&gt;""," ("&amp;Q5&amp;")","")&amp;".",IF(P5="Afebril","Encontra-se afebril.","")),IF(R5&lt;&gt;"",IF(S5="Sim","Apresenta disfunção renal aguda ","Função renal preservada ")&amp;"("&amp;R5&amp;").",""),IF(T5&lt;&gt;"","Em uso do esquema antimicrobiano com "&amp;T5&amp;".",""),IF(U5&lt;&gt;"","Em uso de profilaxia: "&amp;U5&amp;".",""))&amp;CHAR(10)&amp;CHAR(10)&amp;"2. Farmacoterapia"&amp;CHAR(10)&amp;IF(V5&lt;&gt;"","Corticoide/DART: "&amp;V5,"Sem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("&amp;Intervenções!$G$2:$G$500&amp;")",(Intervenções!$B$2:$B$500=A5)*(Intervenções!$A$2:$A$500=F5))),"Nenhuma intervenção registrada hoje.")&amp;CHAR(10)&amp;CHAR(10)&amp;"4. Plano Terapêutico"&amp;CHAR(10)&amp;IF(W5&lt;&gt;"",W5,"Não definido.")</f>
      </c>
    </row>
    <row r="6" spans="1:24" x14ac:dyDescent="0.25">
      <c r="A6" s="6"/>
      <c r="B6" s="9">
        <f>IFERROR(INDEX(Pacientes!$A:$A,MATCH($A6,Pacientes!$B:$B,0)),"")</f>
      </c>
      <c r="C6" s="9">
        <f>IFERROR(INDEX(Pacientes!$C:$C,MATCH($A6,Pacientes!$B:$B,0)),"")</f>
      </c>
      <c r="D6" s="9">
        <f>IFERROR(INDEX(Pacientes!$D:$D,MATCH($A6,Pacientes!$B:$B,0)),"")</f>
      </c>
      <c r="E6" s="9">
        <f>IFERROR(INDEX(Pacientes!$E:$E,MATCH($A6,Pacientes!$B:$B,0)),"")</f>
      </c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f>"1. Evolução Clínica"&amp;CHAR(10)&amp;TEXTJOIN(" ",TRUE,"Paciente "&amp;G6&amp;", "&amp;IF(H6="","sem DVA","em uso de "&amp;H6)&amp;".",IF(I6&lt;&gt;"","Em "&amp;I6&amp;IF(J6&lt;&gt;""," ("&amp;J6&amp;")","")&amp;IF(K6&lt;&gt;"", ", "&amp;K6,"")&amp;IF(L6&lt;&gt;"", ", sob analgosedação com "&amp;L6,"")&amp;".",""),IF(M6&lt;&gt;"","Dieta "&amp;M6&amp;IF(N6&lt;&gt;"", ", com "&amp;LOWER(N6),"")&amp;IF(O6&lt;&gt;"", " — "&amp;O6,"")&amp;".",""),IF(P6="Febre","Apresentou episódio febril nas últimas 24h"&amp;IF(Q6&lt;&gt;""," ("&amp;Q6&amp;")","")&amp;".",IF(P6="Afebril","Encontra-se afebril.","")),IF(R6&lt;&gt;"",IF(S6="Sim","Apresenta disfunção renal aguda ","Função renal preservada ")&amp;"("&amp;R6&amp;").",""),IF(T6&lt;&gt;"","Em uso do esquema antimicrobiano com "&amp;T6&amp;".",""),IF(U6&lt;&gt;"","Em uso de profilaxia: "&amp;U6&amp;".",""))&amp;CHAR(10)&amp;CHAR(10)&amp;"2. Farmacoterapia"&amp;CHAR(10)&amp;IF(V6&lt;&gt;"","Corticoide/DART: "&amp;V6,"Sem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("&amp;Intervenções!$G$2:$G$500&amp;")",(Intervenções!$B$2:$B$500=A6)*(Intervenções!$A$2:$A$500=F6))),"Nenhuma intervenção registrada hoje.")&amp;CHAR(10)&amp;CHAR(10)&amp;"4. Plano Terapêutico"&amp;CHAR(10)&amp;IF(W6&lt;&gt;"",W6,"Não definido.")</f>
      </c>
    </row>
    <row r="7" spans="1:24" x14ac:dyDescent="0.25">
      <c r="A7" s="6"/>
      <c r="B7" s="9">
        <f>IFERROR(INDEX(Pacientes!$A:$A,MATCH($A7,Pacientes!$B:$B,0)),"")</f>
      </c>
      <c r="C7" s="9">
        <f>IFERROR(INDEX(Pacientes!$C:$C,MATCH($A7,Pacientes!$B:$B,0)),"")</f>
      </c>
      <c r="D7" s="9">
        <f>IFERROR(INDEX(Pacientes!$D:$D,MATCH($A7,Pacientes!$B:$B,0)),"")</f>
      </c>
      <c r="E7" s="9">
        <f>IFERROR(INDEX(Pacientes!$E:$E,MATCH($A7,Pacientes!$B:$B,0)),"")</f>
      </c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f>"1. Evolução Clínica"&amp;CHAR(10)&amp;TEXTJOIN(" ",TRUE,"Paciente "&amp;G7&amp;", "&amp;IF(H7="","sem DVA","em uso de "&amp;H7)&amp;".",IF(I7&lt;&gt;"","Em "&amp;I7&amp;IF(J7&lt;&gt;""," ("&amp;J7&amp;")","")&amp;IF(K7&lt;&gt;"", ", "&amp;K7,"")&amp;IF(L7&lt;&gt;"", ", sob analgosedação com "&amp;L7,"")&amp;".",""),IF(M7&lt;&gt;"","Dieta "&amp;M7&amp;IF(N7&lt;&gt;"", ", com "&amp;LOWER(N7),"")&amp;IF(O7&lt;&gt;"", " — "&amp;O7,"")&amp;".",""),IF(P7="Febre","Apresentou episódio febril nas últimas 24h"&amp;IF(Q7&lt;&gt;""," ("&amp;Q7&amp;")","")&amp;".",IF(P7="Afebril","Encontra-se afebril.","")),IF(R7&lt;&gt;"",IF(S7="Sim","Apresenta disfunção renal aguda ","Função renal preservada ")&amp;"("&amp;R7&amp;").",""),IF(T7&lt;&gt;"","Em uso do esquema antimicrobiano com "&amp;T7&amp;".",""),IF(U7&lt;&gt;"","Em uso de profilaxia: "&amp;U7&amp;".",""))&amp;CHAR(10)&amp;CHAR(10)&amp;"2. Farmacoterapia"&amp;CHAR(10)&amp;IF(V7&lt;&gt;"","Corticoide/DART: "&amp;V7,"Sem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("&amp;Intervenções!$G$2:$G$500&amp;")",(Intervenções!$B$2:$B$500=A7)*(Intervenções!$A$2:$A$500=F7))),"Nenhuma intervenção registrada hoje.")&amp;CHAR(10)&amp;CHAR(10)&amp;"4. Plano Terapêutico"&amp;CHAR(10)&amp;IF(W7&lt;&gt;"",W7,"Não definido.")</f>
      </c>
    </row>
    <row r="8" spans="1:24" x14ac:dyDescent="0.25">
      <c r="A8" s="6"/>
      <c r="B8" s="9">
        <f>IFERROR(INDEX(Pacientes!$A:$A,MATCH($A8,Pacientes!$B:$B,0)),"")</f>
      </c>
      <c r="C8" s="9">
        <f>IFERROR(INDEX(Pacientes!$C:$C,MATCH($A8,Pacientes!$B:$B,0)),"")</f>
      </c>
      <c r="D8" s="9">
        <f>IFERROR(INDEX(Pacientes!$D:$D,MATCH($A8,Pacientes!$B:$B,0)),"")</f>
      </c>
      <c r="E8" s="9">
        <f>IFERROR(INDEX(Pacientes!$E:$E,MATCH($A8,Pacientes!$B:$B,0)),"")</f>
      </c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f>"1. Evolução Clínica"&amp;CHAR(10)&amp;TEXTJOIN(" ",TRUE,"Paciente "&amp;G8&amp;", "&amp;IF(H8="","sem DVA","em uso de "&amp;H8)&amp;".",IF(I8&lt;&gt;"","Em "&amp;I8&amp;IF(J8&lt;&gt;""," ("&amp;J8&amp;")","")&amp;IF(K8&lt;&gt;"", ", "&amp;K8,"")&amp;IF(L8&lt;&gt;"", ", sob analgosedação com "&amp;L8,"")&amp;".",""),IF(M8&lt;&gt;"","Dieta "&amp;M8&amp;IF(N8&lt;&gt;"", ", com "&amp;LOWER(N8),"")&amp;IF(O8&lt;&gt;"", " — "&amp;O8,"")&amp;".",""),IF(P8="Febre","Apresentou episódio febril nas últimas 24h"&amp;IF(Q8&lt;&gt;""," ("&amp;Q8&amp;")","")&amp;".",IF(P8="Afebril","Encontra-se afebril.","")),IF(R8&lt;&gt;"",IF(S8="Sim","Apresenta disfunção renal aguda ","Função renal preservada ")&amp;"("&amp;R8&amp;").",""),IF(T8&lt;&gt;"","Em uso do esquema antimicrobiano com "&amp;T8&amp;".",""),IF(U8&lt;&gt;"","Em uso de profilaxia: "&amp;U8&amp;".",""))&amp;CHAR(10)&amp;CHAR(10)&amp;"2. Farmacoterapia"&amp;CHAR(10)&amp;IF(V8&lt;&gt;"","Corticoide/DART: "&amp;V8,"Sem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("&amp;Intervenções!$G$2:$G$500&amp;")",(Intervenções!$B$2:$B$500=A8)*(Intervenções!$A$2:$A$500=F8))),"Nenhuma intervenção registrada hoje.")&amp;CHAR(10)&amp;CHAR(10)&amp;"4. Plano Terapêutico"&amp;CHAR(10)&amp;IF(W8&lt;&gt;"",W8,"Não definido.")</f>
      </c>
    </row>
    <row r="9" spans="1:24" x14ac:dyDescent="0.25">
      <c r="A9" s="6"/>
      <c r="B9" s="9">
        <f>IFERROR(INDEX(Pacientes!$A:$A,MATCH($A9,Pacientes!$B:$B,0)),"")</f>
      </c>
      <c r="C9" s="9">
        <f>IFERROR(INDEX(Pacientes!$C:$C,MATCH($A9,Pacientes!$B:$B,0)),"")</f>
      </c>
      <c r="D9" s="9">
        <f>IFERROR(INDEX(Pacientes!$D:$D,MATCH($A9,Pacientes!$B:$B,0)),"")</f>
      </c>
      <c r="E9" s="9">
        <f>IFERROR(INDEX(Pacientes!$E:$E,MATCH($A9,Pacientes!$B:$B,0)),"")</f>
      </c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>
        <f>"1. Evolução Clínica"&amp;CHAR(10)&amp;TEXTJOIN(" ",TRUE,"Paciente "&amp;G9&amp;", "&amp;IF(H9="","sem DVA","em uso de "&amp;H9)&amp;".",IF(I9&lt;&gt;"","Em "&amp;I9&amp;IF(J9&lt;&gt;""," ("&amp;J9&amp;")","")&amp;IF(K9&lt;&gt;"", ", "&amp;K9,"")&amp;IF(L9&lt;&gt;"", ", sob analgosedação com "&amp;L9,"")&amp;".",""),IF(M9&lt;&gt;"","Dieta "&amp;M9&amp;IF(N9&lt;&gt;"", ", com "&amp;LOWER(N9),"")&amp;IF(O9&lt;&gt;"", " — "&amp;O9,"")&amp;".",""),IF(P9="Febre","Apresentou episódio febril nas últimas 24h"&amp;IF(Q9&lt;&gt;""," ("&amp;Q9&amp;")","")&amp;".",IF(P9="Afebril","Encontra-se afebril.","")),IF(R9&lt;&gt;"",IF(S9="Sim","Apresenta disfunção renal aguda ","Função renal preservada ")&amp;"("&amp;R9&amp;").",""),IF(T9&lt;&gt;"","Em uso do esquema antimicrobiano com "&amp;T9&amp;".",""),IF(U9&lt;&gt;"","Em uso de profilaxia: "&amp;U9&amp;".",""))&amp;CHAR(10)&amp;CHAR(10)&amp;"2. Farmacoterapia"&amp;CHAR(10)&amp;IF(V9&lt;&gt;"","Corticoide/DART: "&amp;V9,"Sem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("&amp;Intervenções!$G$2:$G$500&amp;")",(Intervenções!$B$2:$B$500=A9)*(Intervenções!$A$2:$A$500=F9))),"Nenhuma intervenção registrada hoje.")&amp;CHAR(10)&amp;CHAR(10)&amp;"4. Plano Terapêutico"&amp;CHAR(10)&amp;IF(W9&lt;&gt;"",W9,"Não definido.")</f>
      </c>
    </row>
    <row r="10" spans="1:24" x14ac:dyDescent="0.25">
      <c r="A10" s="6"/>
      <c r="B10" s="9">
        <f>IFERROR(INDEX(Pacientes!$A:$A,MATCH($A10,Pacientes!$B:$B,0)),"")</f>
      </c>
      <c r="C10" s="9">
        <f>IFERROR(INDEX(Pacientes!$C:$C,MATCH($A10,Pacientes!$B:$B,0)),"")</f>
      </c>
      <c r="D10" s="9">
        <f>IFERROR(INDEX(Pacientes!$D:$D,MATCH($A10,Pacientes!$B:$B,0)),"")</f>
      </c>
      <c r="E10" s="9">
        <f>IFERROR(INDEX(Pacientes!$E:$E,MATCH($A10,Pacientes!$B:$B,0)),"")</f>
      </c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f>"1. Evolução Clínica"&amp;CHAR(10)&amp;TEXTJOIN(" ",TRUE,"Paciente "&amp;G10&amp;", "&amp;IF(H10="","sem DVA","em uso de "&amp;H10)&amp;".",IF(I10&lt;&gt;"","Em "&amp;I10&amp;IF(J10&lt;&gt;""," ("&amp;J10&amp;")","")&amp;IF(K10&lt;&gt;"", ", "&amp;K10,"")&amp;IF(L10&lt;&gt;"", ", sob analgosedação com "&amp;L10,"")&amp;".",""),IF(M10&lt;&gt;"","Dieta "&amp;M10&amp;IF(N10&lt;&gt;"", ", com "&amp;LOWER(N10),"")&amp;IF(O10&lt;&gt;"", " — "&amp;O10,"")&amp;".",""),IF(P10="Febre","Apresentou episódio febril nas últimas 24h"&amp;IF(Q10&lt;&gt;""," ("&amp;Q10&amp;")","")&amp;".",IF(P10="Afebril","Encontra-se afebril.","")),IF(R10&lt;&gt;"",IF(S10="Sim","Apresenta disfunção renal aguda ","Função renal preservada ")&amp;"("&amp;R10&amp;").",""),IF(T10&lt;&gt;"","Em uso do esquema antimicrobiano com "&amp;T10&amp;".",""),IF(U10&lt;&gt;"","Em uso de profilaxia: "&amp;U10&amp;".",""))&amp;CHAR(10)&amp;CHAR(10)&amp;"2. Farmacoterapia"&amp;CHAR(10)&amp;IF(V10&lt;&gt;"","Corticoide/DART: "&amp;V10,"Sem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("&amp;Intervenções!$G$2:$G$500&amp;")",(Intervenções!$B$2:$B$500=A10)*(Intervenções!$A$2:$A$500=F10))),"Nenhuma intervenção registrada hoje.")&amp;CHAR(10)&amp;CHAR(10)&amp;"4. Plano Terapêutico"&amp;CHAR(10)&amp;IF(W10&lt;&gt;"",W10,"Não definido.")</f>
      </c>
    </row>
    <row r="11" spans="1:24" x14ac:dyDescent="0.25">
      <c r="A11" s="6"/>
      <c r="B11" s="9">
        <f>IFERROR(INDEX(Pacientes!$A:$A,MATCH($A11,Pacientes!$B:$B,0)),"")</f>
      </c>
      <c r="C11" s="9">
        <f>IFERROR(INDEX(Pacientes!$C:$C,MATCH($A11,Pacientes!$B:$B,0)),"")</f>
      </c>
      <c r="D11" s="9">
        <f>IFERROR(INDEX(Pacientes!$D:$D,MATCH($A11,Pacientes!$B:$B,0)),"")</f>
      </c>
      <c r="E11" s="9">
        <f>IFERROR(INDEX(Pacientes!$E:$E,MATCH($A11,Pacientes!$B:$B,0)),"")</f>
      </c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f>"1. Evolução Clínica"&amp;CHAR(10)&amp;TEXTJOIN(" ",TRUE,"Paciente "&amp;G11&amp;", "&amp;IF(H11="","sem DVA","em uso de "&amp;H11)&amp;".",IF(I11&lt;&gt;"","Em "&amp;I11&amp;IF(J11&lt;&gt;""," ("&amp;J11&amp;")","")&amp;IF(K11&lt;&gt;"", ", "&amp;K11,"")&amp;IF(L11&lt;&gt;"", ", sob analgosedação com "&amp;L11,"")&amp;".",""),IF(M11&lt;&gt;"","Dieta "&amp;M11&amp;IF(N11&lt;&gt;"", ", com "&amp;LOWER(N11),"")&amp;IF(O11&lt;&gt;"", " — "&amp;O11,"")&amp;".",""),IF(P11="Febre","Apresentou episódio febril nas últimas 24h"&amp;IF(Q11&lt;&gt;""," ("&amp;Q11&amp;")","")&amp;".",IF(P11="Afebril","Encontra-se afebril.","")),IF(R11&lt;&gt;"",IF(S11="Sim","Apresenta disfunção renal aguda ","Função renal preservada ")&amp;"("&amp;R11&amp;").",""),IF(T11&lt;&gt;"","Em uso do esquema antimicrobiano com "&amp;T11&amp;".",""),IF(U11&lt;&gt;"","Em uso de profilaxia: "&amp;U11&amp;".",""))&amp;CHAR(10)&amp;CHAR(10)&amp;"2. Farmacoterapia"&amp;CHAR(10)&amp;IF(V11&lt;&gt;"","Corticoide/DART: "&amp;V11,"Sem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("&amp;Intervenções!$G$2:$G$500&amp;")",(Intervenções!$B$2:$B$500=A11)*(Intervenções!$A$2:$A$500=F11))),"Nenhuma intervenção registrada hoje.")&amp;CHAR(10)&amp;CHAR(10)&amp;"4. Plano Terapêutico"&amp;CHAR(10)&amp;IF(W11&lt;&gt;"",W11,"Não definido.")</f>
      </c>
    </row>
    <row r="12" spans="1:24" x14ac:dyDescent="0.25">
      <c r="A12" s="6"/>
      <c r="B12" s="9">
        <f>IFERROR(INDEX(Pacientes!$A:$A,MATCH($A12,Pacientes!$B:$B,0)),"")</f>
      </c>
      <c r="C12" s="9">
        <f>IFERROR(INDEX(Pacientes!$C:$C,MATCH($A12,Pacientes!$B:$B,0)),"")</f>
      </c>
      <c r="D12" s="9">
        <f>IFERROR(INDEX(Pacientes!$D:$D,MATCH($A12,Pacientes!$B:$B,0)),"")</f>
      </c>
      <c r="E12" s="9">
        <f>IFERROR(INDEX(Pacientes!$E:$E,MATCH($A12,Pacientes!$B:$B,0)),"")</f>
      </c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f>"1. Evolução Clínica"&amp;CHAR(10)&amp;TEXTJOIN(" ",TRUE,"Paciente "&amp;G12&amp;", "&amp;IF(H12="","sem DVA","em uso de "&amp;H12)&amp;".",IF(I12&lt;&gt;"","Em "&amp;I12&amp;IF(J12&lt;&gt;""," ("&amp;J12&amp;")","")&amp;IF(K12&lt;&gt;"", ", "&amp;K12,"")&amp;IF(L12&lt;&gt;"", ", sob analgosedação com "&amp;L12,"")&amp;".",""),IF(M12&lt;&gt;"","Dieta "&amp;M12&amp;IF(N12&lt;&gt;"", ", com "&amp;LOWER(N12),"")&amp;IF(O12&lt;&gt;"", " — "&amp;O12,"")&amp;".",""),IF(P12="Febre","Apresentou episódio febril nas últimas 24h"&amp;IF(Q12&lt;&gt;""," ("&amp;Q12&amp;")","")&amp;".",IF(P12="Afebril","Encontra-se afebril.","")),IF(R12&lt;&gt;"",IF(S12="Sim","Apresenta disfunção renal aguda ","Função renal preservada ")&amp;"("&amp;R12&amp;").",""),IF(T12&lt;&gt;"","Em uso do esquema antimicrobiano com "&amp;T12&amp;".",""),IF(U12&lt;&gt;"","Em uso de profilaxia: "&amp;U12&amp;".",""))&amp;CHAR(10)&amp;CHAR(10)&amp;"2. Farmacoterapia"&amp;CHAR(10)&amp;IF(V12&lt;&gt;"","Corticoide/DART: "&amp;V12,"Sem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("&amp;Intervenções!$G$2:$G$500&amp;")",(Intervenções!$B$2:$B$500=A12)*(Intervenções!$A$2:$A$500=F12))),"Nenhuma intervenção registrada hoje.")&amp;CHAR(10)&amp;CHAR(10)&amp;"4. Plano Terapêutico"&amp;CHAR(10)&amp;IF(W12&lt;&gt;"",W12,"Não definido.")</f>
      </c>
    </row>
    <row r="13" spans="1:24" x14ac:dyDescent="0.25">
      <c r="A13" s="6"/>
      <c r="B13" s="9">
        <f>IFERROR(INDEX(Pacientes!$A:$A,MATCH($A13,Pacientes!$B:$B,0)),"")</f>
      </c>
      <c r="C13" s="9">
        <f>IFERROR(INDEX(Pacientes!$C:$C,MATCH($A13,Pacientes!$B:$B,0)),"")</f>
      </c>
      <c r="D13" s="9">
        <f>IFERROR(INDEX(Pacientes!$D:$D,MATCH($A13,Pacientes!$B:$B,0)),"")</f>
      </c>
      <c r="E13" s="9">
        <f>IFERROR(INDEX(Pacientes!$E:$E,MATCH($A13,Pacientes!$B:$B,0)),"")</f>
      </c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f>"1. Evolução Clínica"&amp;CHAR(10)&amp;TEXTJOIN(" ",TRUE,"Paciente "&amp;G13&amp;", "&amp;IF(H13="","sem DVA","em uso de "&amp;H13)&amp;".",IF(I13&lt;&gt;"","Em "&amp;I13&amp;IF(J13&lt;&gt;""," ("&amp;J13&amp;")","")&amp;IF(K13&lt;&gt;"", ", "&amp;K13,"")&amp;IF(L13&lt;&gt;"", ", sob analgosedação com "&amp;L13,"")&amp;".",""),IF(M13&lt;&gt;"","Dieta "&amp;M13&amp;IF(N13&lt;&gt;"", ", com "&amp;LOWER(N13),"")&amp;IF(O13&lt;&gt;"", " — "&amp;O13,"")&amp;".",""),IF(P13="Febre","Apresentou episódio febril nas últimas 24h"&amp;IF(Q13&lt;&gt;""," ("&amp;Q13&amp;")","")&amp;".",IF(P13="Afebril","Encontra-se afebril.","")),IF(R13&lt;&gt;"",IF(S13="Sim","Apresenta disfunção renal aguda ","Função renal preservada ")&amp;"("&amp;R13&amp;").",""),IF(T13&lt;&gt;"","Em uso do esquema antimicrobiano com "&amp;T13&amp;".",""),IF(U13&lt;&gt;"","Em uso de profilaxia: "&amp;U13&amp;".",""))&amp;CHAR(10)&amp;CHAR(10)&amp;"2. Farmacoterapia"&amp;CHAR(10)&amp;IF(V13&lt;&gt;"","Corticoide/DART: "&amp;V13,"Sem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("&amp;Intervenções!$G$2:$G$500&amp;")",(Intervenções!$B$2:$B$500=A13)*(Intervenções!$A$2:$A$500=F13))),"Nenhuma intervenção registrada hoje.")&amp;CHAR(10)&amp;CHAR(10)&amp;"4. Plano Terapêutico"&amp;CHAR(10)&amp;IF(W13&lt;&gt;"",W13,"Não definido.")</f>
      </c>
    </row>
    <row r="14" spans="1:24" x14ac:dyDescent="0.25">
      <c r="A14" s="6"/>
      <c r="B14" s="9">
        <f>IFERROR(INDEX(Pacientes!$A:$A,MATCH($A14,Pacientes!$B:$B,0)),"")</f>
      </c>
      <c r="C14" s="9">
        <f>IFERROR(INDEX(Pacientes!$C:$C,MATCH($A14,Pacientes!$B:$B,0)),"")</f>
      </c>
      <c r="D14" s="9">
        <f>IFERROR(INDEX(Pacientes!$D:$D,MATCH($A14,Pacientes!$B:$B,0)),"")</f>
      </c>
      <c r="E14" s="9">
        <f>IFERROR(INDEX(Pacientes!$E:$E,MATCH($A14,Pacientes!$B:$B,0)),"")</f>
      </c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f>"1. Evolução Clínica"&amp;CHAR(10)&amp;TEXTJOIN(" ",TRUE,"Paciente "&amp;G14&amp;", "&amp;IF(H14="","sem DVA","em uso de "&amp;H14)&amp;".",IF(I14&lt;&gt;"","Em "&amp;I14&amp;IF(J14&lt;&gt;""," ("&amp;J14&amp;")","")&amp;IF(K14&lt;&gt;"", ", "&amp;K14,"")&amp;IF(L14&lt;&gt;"", ", sob analgosedação com "&amp;L14,"")&amp;".",""),IF(M14&lt;&gt;"","Dieta "&amp;M14&amp;IF(N14&lt;&gt;"", ", com "&amp;LOWER(N14),"")&amp;IF(O14&lt;&gt;"", " — "&amp;O14,"")&amp;".",""),IF(P14="Febre","Apresentou episódio febril nas últimas 24h"&amp;IF(Q14&lt;&gt;""," ("&amp;Q14&amp;")","")&amp;".",IF(P14="Afebril","Encontra-se afebril.","")),IF(R14&lt;&gt;"",IF(S14="Sim","Apresenta disfunção renal aguda ","Função renal preservada ")&amp;"("&amp;R14&amp;").",""),IF(T14&lt;&gt;"","Em uso do esquema antimicrobiano com "&amp;T14&amp;".",""),IF(U14&lt;&gt;"","Em uso de profilaxia: "&amp;U14&amp;".",""))&amp;CHAR(10)&amp;CHAR(10)&amp;"2. Farmacoterapia"&amp;CHAR(10)&amp;IF(V14&lt;&gt;"","Corticoide/DART: "&amp;V14,"Sem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("&amp;Intervenções!$G$2:$G$500&amp;")",(Intervenções!$B$2:$B$500=A14)*(Intervenções!$A$2:$A$500=F14))),"Nenhuma intervenção registrada hoje.")&amp;CHAR(10)&amp;CHAR(10)&amp;"4. Plano Terapêutico"&amp;CHAR(10)&amp;IF(W14&lt;&gt;"",W14,"Não definido.")</f>
      </c>
    </row>
    <row r="15" spans="1:24" x14ac:dyDescent="0.25">
      <c r="A15" s="6"/>
      <c r="B15" s="9">
        <f>IFERROR(INDEX(Pacientes!$A:$A,MATCH($A15,Pacientes!$B:$B,0)),"")</f>
      </c>
      <c r="C15" s="9">
        <f>IFERROR(INDEX(Pacientes!$C:$C,MATCH($A15,Pacientes!$B:$B,0)),"")</f>
      </c>
      <c r="D15" s="9">
        <f>IFERROR(INDEX(Pacientes!$D:$D,MATCH($A15,Pacientes!$B:$B,0)),"")</f>
      </c>
      <c r="E15" s="9">
        <f>IFERROR(INDEX(Pacientes!$E:$E,MATCH($A15,Pacientes!$B:$B,0)),"")</f>
      </c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f>"1. Evolução Clínica"&amp;CHAR(10)&amp;TEXTJOIN(" ",TRUE,"Paciente "&amp;G15&amp;", "&amp;IF(H15="","sem DVA","em uso de "&amp;H15)&amp;".",IF(I15&lt;&gt;"","Em "&amp;I15&amp;IF(J15&lt;&gt;""," ("&amp;J15&amp;")","")&amp;IF(K15&lt;&gt;"", ", "&amp;K15,"")&amp;IF(L15&lt;&gt;"", ", sob analgosedação com "&amp;L15,"")&amp;".",""),IF(M15&lt;&gt;"","Dieta "&amp;M15&amp;IF(N15&lt;&gt;"", ", com "&amp;LOWER(N15),"")&amp;IF(O15&lt;&gt;"", " — "&amp;O15,"")&amp;".",""),IF(P15="Febre","Apresentou episódio febril nas últimas 24h"&amp;IF(Q15&lt;&gt;""," ("&amp;Q15&amp;")","")&amp;".",IF(P15="Afebril","Encontra-se afebril.","")),IF(R15&lt;&gt;"",IF(S15="Sim","Apresenta disfunção renal aguda ","Função renal preservada ")&amp;"("&amp;R15&amp;").",""),IF(T15&lt;&gt;"","Em uso do esquema antimicrobiano com "&amp;T15&amp;".",""),IF(U15&lt;&gt;"","Em uso de profilaxia: "&amp;U15&amp;".",""))&amp;CHAR(10)&amp;CHAR(10)&amp;"2. Farmacoterapia"&amp;CHAR(10)&amp;IF(V15&lt;&gt;"","Corticoide/DART: "&amp;V15,"Sem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("&amp;Intervenções!$G$2:$G$500&amp;")",(Intervenções!$B$2:$B$500=A15)*(Intervenções!$A$2:$A$500=F15))),"Nenhuma intervenção registrada hoje.")&amp;CHAR(10)&amp;CHAR(10)&amp;"4. Plano Terapêutico"&amp;CHAR(10)&amp;IF(W15&lt;&gt;"",W15,"Não definido.")</f>
      </c>
    </row>
    <row r="16" spans="1:24" x14ac:dyDescent="0.25">
      <c r="A16" s="6"/>
      <c r="B16" s="9">
        <f>IFERROR(INDEX(Pacientes!$A:$A,MATCH($A16,Pacientes!$B:$B,0)),"")</f>
      </c>
      <c r="C16" s="9">
        <f>IFERROR(INDEX(Pacientes!$C:$C,MATCH($A16,Pacientes!$B:$B,0)),"")</f>
      </c>
      <c r="D16" s="9">
        <f>IFERROR(INDEX(Pacientes!$D:$D,MATCH($A16,Pacientes!$B:$B,0)),"")</f>
      </c>
      <c r="E16" s="9">
        <f>IFERROR(INDEX(Pacientes!$E:$E,MATCH($A16,Pacientes!$B:$B,0)),"")</f>
      </c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f>"1. Evolução Clínica"&amp;CHAR(10)&amp;TEXTJOIN(" ",TRUE,"Paciente "&amp;G16&amp;", "&amp;IF(H16="","sem DVA","em uso de "&amp;H16)&amp;".",IF(I16&lt;&gt;"","Em "&amp;I16&amp;IF(J16&lt;&gt;""," ("&amp;J16&amp;")","")&amp;IF(K16&lt;&gt;"", ", "&amp;K16,"")&amp;IF(L16&lt;&gt;"", ", sob analgosedação com "&amp;L16,"")&amp;".",""),IF(M16&lt;&gt;"","Dieta "&amp;M16&amp;IF(N16&lt;&gt;"", ", com "&amp;LOWER(N16),"")&amp;IF(O16&lt;&gt;"", " — "&amp;O16,"")&amp;".",""),IF(P16="Febre","Apresentou episódio febril nas últimas 24h"&amp;IF(Q16&lt;&gt;""," ("&amp;Q16&amp;")","")&amp;".",IF(P16="Afebril","Encontra-se afebril.","")),IF(R16&lt;&gt;"",IF(S16="Sim","Apresenta disfunção renal aguda ","Função renal preservada ")&amp;"("&amp;R16&amp;").",""),IF(T16&lt;&gt;"","Em uso do esquema antimicrobiano com "&amp;T16&amp;".",""),IF(U16&lt;&gt;"","Em uso de profilaxia: "&amp;U16&amp;".",""))&amp;CHAR(10)&amp;CHAR(10)&amp;"2. Farmacoterapia"&amp;CHAR(10)&amp;IF(V16&lt;&gt;"","Corticoide/DART: "&amp;V16,"Sem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("&amp;Intervenções!$G$2:$G$500&amp;")",(Intervenções!$B$2:$B$500=A16)*(Intervenções!$A$2:$A$500=F16))),"Nenhuma intervenção registrada hoje.")&amp;CHAR(10)&amp;CHAR(10)&amp;"4. Plano Terapêutico"&amp;CHAR(10)&amp;IF(W16&lt;&gt;"",W16,"Não definido.")</f>
      </c>
    </row>
    <row r="17" spans="1:24" x14ac:dyDescent="0.25">
      <c r="A17" s="6"/>
      <c r="B17" s="9">
        <f>IFERROR(INDEX(Pacientes!$A:$A,MATCH($A17,Pacientes!$B:$B,0)),"")</f>
      </c>
      <c r="C17" s="9">
        <f>IFERROR(INDEX(Pacientes!$C:$C,MATCH($A17,Pacientes!$B:$B,0)),"")</f>
      </c>
      <c r="D17" s="9">
        <f>IFERROR(INDEX(Pacientes!$D:$D,MATCH($A17,Pacientes!$B:$B,0)),"")</f>
      </c>
      <c r="E17" s="9">
        <f>IFERROR(INDEX(Pacientes!$E:$E,MATCH($A17,Pacientes!$B:$B,0)),"")</f>
      </c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f>"1. Evolução Clínica"&amp;CHAR(10)&amp;TEXTJOIN(" ",TRUE,"Paciente "&amp;G17&amp;", "&amp;IF(H17="","sem DVA","em uso de "&amp;H17)&amp;".",IF(I17&lt;&gt;"","Em "&amp;I17&amp;IF(J17&lt;&gt;""," ("&amp;J17&amp;")","")&amp;IF(K17&lt;&gt;"", ", "&amp;K17,"")&amp;IF(L17&lt;&gt;"", ", sob analgosedação com "&amp;L17,"")&amp;".",""),IF(M17&lt;&gt;"","Dieta "&amp;M17&amp;IF(N17&lt;&gt;"", ", com "&amp;LOWER(N17),"")&amp;IF(O17&lt;&gt;"", " — "&amp;O17,"")&amp;".",""),IF(P17="Febre","Apresentou episódio febril nas últimas 24h"&amp;IF(Q17&lt;&gt;""," ("&amp;Q17&amp;")","")&amp;".",IF(P17="Afebril","Encontra-se afebril.","")),IF(R17&lt;&gt;"",IF(S17="Sim","Apresenta disfunção renal aguda ","Função renal preservada ")&amp;"("&amp;R17&amp;").",""),IF(T17&lt;&gt;"","Em uso do esquema antimicrobiano com "&amp;T17&amp;".",""),IF(U17&lt;&gt;"","Em uso de profilaxia: "&amp;U17&amp;".",""))&amp;CHAR(10)&amp;CHAR(10)&amp;"2. Farmacoterapia"&amp;CHAR(10)&amp;IF(V17&lt;&gt;"","Corticoide/DART: "&amp;V17,"Sem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("&amp;Intervenções!$G$2:$G$500&amp;")",(Intervenções!$B$2:$B$500=A17)*(Intervenções!$A$2:$A$500=F17))),"Nenhuma intervenção registrada hoje.")&amp;CHAR(10)&amp;CHAR(10)&amp;"4. Plano Terapêutico"&amp;CHAR(10)&amp;IF(W17&lt;&gt;"",W17,"Não definido.")</f>
      </c>
    </row>
    <row r="18" spans="1:24" x14ac:dyDescent="0.25">
      <c r="A18" s="6"/>
      <c r="B18" s="9">
        <f>IFERROR(INDEX(Pacientes!$A:$A,MATCH($A18,Pacientes!$B:$B,0)),"")</f>
      </c>
      <c r="C18" s="9">
        <f>IFERROR(INDEX(Pacientes!$C:$C,MATCH($A18,Pacientes!$B:$B,0)),"")</f>
      </c>
      <c r="D18" s="9">
        <f>IFERROR(INDEX(Pacientes!$D:$D,MATCH($A18,Pacientes!$B:$B,0)),"")</f>
      </c>
      <c r="E18" s="9">
        <f>IFERROR(INDEX(Pacientes!$E:$E,MATCH($A18,Pacientes!$B:$B,0)),"")</f>
      </c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f>"1. Evolução Clínica"&amp;CHAR(10)&amp;TEXTJOIN(" ",TRUE,"Paciente "&amp;G18&amp;", "&amp;IF(H18="","sem DVA","em uso de "&amp;H18)&amp;".",IF(I18&lt;&gt;"","Em "&amp;I18&amp;IF(J18&lt;&gt;""," ("&amp;J18&amp;")","")&amp;IF(K18&lt;&gt;"", ", "&amp;K18,"")&amp;IF(L18&lt;&gt;"", ", sob analgosedação com "&amp;L18,"")&amp;".",""),IF(M18&lt;&gt;"","Dieta "&amp;M18&amp;IF(N18&lt;&gt;"", ", com "&amp;LOWER(N18),"")&amp;IF(O18&lt;&gt;"", " — "&amp;O18,"")&amp;".",""),IF(P18="Febre","Apresentou episódio febril nas últimas 24h"&amp;IF(Q18&lt;&gt;""," ("&amp;Q18&amp;")","")&amp;".",IF(P18="Afebril","Encontra-se afebril.","")),IF(R18&lt;&gt;"",IF(S18="Sim","Apresenta disfunção renal aguda ","Função renal preservada ")&amp;"("&amp;R18&amp;").",""),IF(T18&lt;&gt;"","Em uso do esquema antimicrobiano com "&amp;T18&amp;".",""),IF(U18&lt;&gt;"","Em uso de profilaxia: "&amp;U18&amp;".",""))&amp;CHAR(10)&amp;CHAR(10)&amp;"2. Farmacoterapia"&amp;CHAR(10)&amp;IF(V18&lt;&gt;"","Corticoide/DART: "&amp;V18,"Sem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("&amp;Intervenções!$G$2:$G$500&amp;")",(Intervenções!$B$2:$B$500=A18)*(Intervenções!$A$2:$A$500=F18))),"Nenhuma intervenção registrada hoje.")&amp;CHAR(10)&amp;CHAR(10)&amp;"4. Plano Terapêutico"&amp;CHAR(10)&amp;IF(W18&lt;&gt;"",W18,"Não definido.")</f>
      </c>
    </row>
    <row r="19" spans="1:24" x14ac:dyDescent="0.25">
      <c r="A19" s="6"/>
      <c r="B19" s="9">
        <f>IFERROR(INDEX(Pacientes!$A:$A,MATCH($A19,Pacientes!$B:$B,0)),"")</f>
      </c>
      <c r="C19" s="9">
        <f>IFERROR(INDEX(Pacientes!$C:$C,MATCH($A19,Pacientes!$B:$B,0)),"")</f>
      </c>
      <c r="D19" s="9">
        <f>IFERROR(INDEX(Pacientes!$D:$D,MATCH($A19,Pacientes!$B:$B,0)),"")</f>
      </c>
      <c r="E19" s="9">
        <f>IFERROR(INDEX(Pacientes!$E:$E,MATCH($A19,Pacientes!$B:$B,0)),"")</f>
      </c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>
        <f>"1. Evolução Clínica"&amp;CHAR(10)&amp;TEXTJOIN(" ",TRUE,"Paciente "&amp;G19&amp;", "&amp;IF(H19="","sem DVA","em uso de "&amp;H19)&amp;".",IF(I19&lt;&gt;"","Em "&amp;I19&amp;IF(J19&lt;&gt;""," ("&amp;J19&amp;")","")&amp;IF(K19&lt;&gt;"", ", "&amp;K19,"")&amp;IF(L19&lt;&gt;"", ", sob analgosedação com "&amp;L19,"")&amp;".",""),IF(M19&lt;&gt;"","Dieta "&amp;M19&amp;IF(N19&lt;&gt;"", ", com "&amp;LOWER(N19),"")&amp;IF(O19&lt;&gt;"", " — "&amp;O19,"")&amp;".",""),IF(P19="Febre","Apresentou episódio febril nas últimas 24h"&amp;IF(Q19&lt;&gt;""," ("&amp;Q19&amp;")","")&amp;".",IF(P19="Afebril","Encontra-se afebril.","")),IF(R19&lt;&gt;"",IF(S19="Sim","Apresenta disfunção renal aguda ","Função renal preservada ")&amp;"("&amp;R19&amp;").",""),IF(T19&lt;&gt;"","Em uso do esquema antimicrobiano com "&amp;T19&amp;".",""),IF(U19&lt;&gt;"","Em uso de profilaxia: "&amp;U19&amp;".",""))&amp;CHAR(10)&amp;CHAR(10)&amp;"2. Farmacoterapia"&amp;CHAR(10)&amp;IF(V19&lt;&gt;"","Corticoide/DART: "&amp;V19,"Sem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("&amp;Intervenções!$G$2:$G$500&amp;")",(Intervenções!$B$2:$B$500=A19)*(Intervenções!$A$2:$A$500=F19))),"Nenhuma intervenção registrada hoje.")&amp;CHAR(10)&amp;CHAR(10)&amp;"4. Plano Terapêutico"&amp;CHAR(10)&amp;IF(W19&lt;&gt;"",W19,"Não definido.")</f>
      </c>
    </row>
    <row r="20" spans="1:24" x14ac:dyDescent="0.25">
      <c r="A20" s="6"/>
      <c r="B20" s="9">
        <f>IFERROR(INDEX(Pacientes!$A:$A,MATCH($A20,Pacientes!$B:$B,0)),"")</f>
      </c>
      <c r="C20" s="9">
        <f>IFERROR(INDEX(Pacientes!$C:$C,MATCH($A20,Pacientes!$B:$B,0)),"")</f>
      </c>
      <c r="D20" s="9">
        <f>IFERROR(INDEX(Pacientes!$D:$D,MATCH($A20,Pacientes!$B:$B,0)),"")</f>
      </c>
      <c r="E20" s="9">
        <f>IFERROR(INDEX(Pacientes!$E:$E,MATCH($A20,Pacientes!$B:$B,0)),"")</f>
      </c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f>"1. Evolução Clínica"&amp;CHAR(10)&amp;TEXTJOIN(" ",TRUE,"Paciente "&amp;G20&amp;", "&amp;IF(H20="","sem DVA","em uso de "&amp;H20)&amp;".",IF(I20&lt;&gt;"","Em "&amp;I20&amp;IF(J20&lt;&gt;""," ("&amp;J20&amp;")","")&amp;IF(K20&lt;&gt;"", ", "&amp;K20,"")&amp;IF(L20&lt;&gt;"", ", sob analgosedação com "&amp;L20,"")&amp;".",""),IF(M20&lt;&gt;"","Dieta "&amp;M20&amp;IF(N20&lt;&gt;"", ", com "&amp;LOWER(N20),"")&amp;IF(O20&lt;&gt;"", " — "&amp;O20,"")&amp;".",""),IF(P20="Febre","Apresentou episódio febril nas últimas 24h"&amp;IF(Q20&lt;&gt;""," ("&amp;Q20&amp;")","")&amp;".",IF(P20="Afebril","Encontra-se afebril.","")),IF(R20&lt;&gt;"",IF(S20="Sim","Apresenta disfunção renal aguda ","Função renal preservada ")&amp;"("&amp;R20&amp;").",""),IF(T20&lt;&gt;"","Em uso do esquema antimicrobiano com "&amp;T20&amp;".",""),IF(U20&lt;&gt;"","Em uso de profilaxia: "&amp;U20&amp;".",""))&amp;CHAR(10)&amp;CHAR(10)&amp;"2. Farmacoterapia"&amp;CHAR(10)&amp;IF(V20&lt;&gt;"","Corticoide/DART: "&amp;V20,"Sem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("&amp;Intervenções!$G$2:$G$500&amp;")",(Intervenções!$B$2:$B$500=A20)*(Intervenções!$A$2:$A$500=F20))),"Nenhuma intervenção registrada hoje.")&amp;CHAR(10)&amp;CHAR(10)&amp;"4. Plano Terapêutico"&amp;CHAR(10)&amp;IF(W20&lt;&gt;"",W20,"Não definido.")</f>
      </c>
    </row>
    <row r="21" spans="1:24" x14ac:dyDescent="0.25">
      <c r="A21" s="6"/>
      <c r="B21" s="9">
        <f>IFERROR(INDEX(Pacientes!$A:$A,MATCH($A21,Pacientes!$B:$B,0)),"")</f>
      </c>
      <c r="C21" s="9">
        <f>IFERROR(INDEX(Pacientes!$C:$C,MATCH($A21,Pacientes!$B:$B,0)),"")</f>
      </c>
      <c r="D21" s="9">
        <f>IFERROR(INDEX(Pacientes!$D:$D,MATCH($A21,Pacientes!$B:$B,0)),"")</f>
      </c>
      <c r="E21" s="9">
        <f>IFERROR(INDEX(Pacientes!$E:$E,MATCH($A21,Pacientes!$B:$B,0)),"")</f>
      </c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f>"1. Evolução Clínica"&amp;CHAR(10)&amp;TEXTJOIN(" ",TRUE,"Paciente "&amp;G21&amp;", "&amp;IF(H21="","sem DVA","em uso de "&amp;H21)&amp;".",IF(I21&lt;&gt;"","Em "&amp;I21&amp;IF(J21&lt;&gt;""," ("&amp;J21&amp;")","")&amp;IF(K21&lt;&gt;"", ", "&amp;K21,"")&amp;IF(L21&lt;&gt;"", ", sob analgosedação com "&amp;L21,"")&amp;".",""),IF(M21&lt;&gt;"","Dieta "&amp;M21&amp;IF(N21&lt;&gt;"", ", com "&amp;LOWER(N21),"")&amp;IF(O21&lt;&gt;"", " — "&amp;O21,"")&amp;".",""),IF(P21="Febre","Apresentou episódio febril nas últimas 24h"&amp;IF(Q21&lt;&gt;""," ("&amp;Q21&amp;")","")&amp;".",IF(P21="Afebril","Encontra-se afebril.","")),IF(R21&lt;&gt;"",IF(S21="Sim","Apresenta disfunção renal aguda ","Função renal preservada ")&amp;"("&amp;R21&amp;").",""),IF(T21&lt;&gt;"","Em uso do esquema antimicrobiano com "&amp;T21&amp;".",""),IF(U21&lt;&gt;"","Em uso de profilaxia: "&amp;U21&amp;".",""))&amp;CHAR(10)&amp;CHAR(10)&amp;"2. Farmacoterapia"&amp;CHAR(10)&amp;IF(V21&lt;&gt;"","Corticoide/DART: "&amp;V21,"Sem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("&amp;Intervenções!$G$2:$G$500&amp;")",(Intervenções!$B$2:$B$500=A21)*(Intervenções!$A$2:$A$500=F21))),"Nenhuma intervenção registrada hoje.")&amp;CHAR(10)&amp;CHAR(10)&amp;"4. Plano Terapêutico"&amp;CHAR(10)&amp;IF(W21&lt;&gt;"",W21,"Não definido.")</f>
      </c>
    </row>
    <row r="22" spans="1:24" x14ac:dyDescent="0.25">
      <c r="A22" s="6"/>
      <c r="B22" s="9">
        <f>IFERROR(INDEX(Pacientes!$A:$A,MATCH($A22,Pacientes!$B:$B,0)),"")</f>
      </c>
      <c r="C22" s="9">
        <f>IFERROR(INDEX(Pacientes!$C:$C,MATCH($A22,Pacientes!$B:$B,0)),"")</f>
      </c>
      <c r="D22" s="9">
        <f>IFERROR(INDEX(Pacientes!$D:$D,MATCH($A22,Pacientes!$B:$B,0)),"")</f>
      </c>
      <c r="E22" s="9">
        <f>IFERROR(INDEX(Pacientes!$E:$E,MATCH($A22,Pacientes!$B:$B,0)),"")</f>
      </c>
      <c r="F22" s="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f>"1. Evolução Clínica"&amp;CHAR(10)&amp;TEXTJOIN(" ",TRUE,"Paciente "&amp;G22&amp;", "&amp;IF(H22="","sem DVA","em uso de "&amp;H22)&amp;".",IF(I22&lt;&gt;"","Em "&amp;I22&amp;IF(J22&lt;&gt;""," ("&amp;J22&amp;")","")&amp;IF(K22&lt;&gt;"", ", "&amp;K22,"")&amp;IF(L22&lt;&gt;"", ", sob analgosedação com "&amp;L22,"")&amp;".",""),IF(M22&lt;&gt;"","Dieta "&amp;M22&amp;IF(N22&lt;&gt;"", ", com "&amp;LOWER(N22),"")&amp;IF(O22&lt;&gt;"", " — "&amp;O22,"")&amp;".",""),IF(P22="Febre","Apresentou episódio febril nas últimas 24h"&amp;IF(Q22&lt;&gt;""," ("&amp;Q22&amp;")","")&amp;".",IF(P22="Afebril","Encontra-se afebril.","")),IF(R22&lt;&gt;"",IF(S22="Sim","Apresenta disfunção renal aguda ","Função renal preservada ")&amp;"("&amp;R22&amp;").",""),IF(T22&lt;&gt;"","Em uso do esquema antimicrobiano com "&amp;T22&amp;".",""),IF(U22&lt;&gt;"","Em uso de profilaxia: "&amp;U22&amp;".",""))&amp;CHAR(10)&amp;CHAR(10)&amp;"2. Farmacoterapia"&amp;CHAR(10)&amp;IF(V22&lt;&gt;"","Corticoide/DART: "&amp;V22,"Sem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("&amp;Intervenções!$G$2:$G$500&amp;")",(Intervenções!$B$2:$B$500=A22)*(Intervenções!$A$2:$A$500=F22))),"Nenhuma intervenção registrada hoje.")&amp;CHAR(10)&amp;CHAR(10)&amp;"4. Plano Terapêutico"&amp;CHAR(10)&amp;IF(W22&lt;&gt;"",W22,"Não definido.")</f>
      </c>
    </row>
    <row r="23" spans="1:24" x14ac:dyDescent="0.25">
      <c r="A23" s="6"/>
      <c r="B23" s="9">
        <f>IFERROR(INDEX(Pacientes!$A:$A,MATCH($A23,Pacientes!$B:$B,0)),"")</f>
      </c>
      <c r="C23" s="9">
        <f>IFERROR(INDEX(Pacientes!$C:$C,MATCH($A23,Pacientes!$B:$B,0)),"")</f>
      </c>
      <c r="D23" s="9">
        <f>IFERROR(INDEX(Pacientes!$D:$D,MATCH($A23,Pacientes!$B:$B,0)),"")</f>
      </c>
      <c r="E23" s="9">
        <f>IFERROR(INDEX(Pacientes!$E:$E,MATCH($A23,Pacientes!$B:$B,0)),"")</f>
      </c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>
        <f>"1. Evolução Clínica"&amp;CHAR(10)&amp;TEXTJOIN(" ",TRUE,"Paciente "&amp;G23&amp;", "&amp;IF(H23="","sem DVA","em uso de "&amp;H23)&amp;".",IF(I23&lt;&gt;"","Em "&amp;I23&amp;IF(J23&lt;&gt;""," ("&amp;J23&amp;")","")&amp;IF(K23&lt;&gt;"", ", "&amp;K23,"")&amp;IF(L23&lt;&gt;"", ", sob analgosedação com "&amp;L23,"")&amp;".",""),IF(M23&lt;&gt;"","Dieta "&amp;M23&amp;IF(N23&lt;&gt;"", ", com "&amp;LOWER(N23),"")&amp;IF(O23&lt;&gt;"", " — "&amp;O23,"")&amp;".",""),IF(P23="Febre","Apresentou episódio febril nas últimas 24h"&amp;IF(Q23&lt;&gt;""," ("&amp;Q23&amp;")","")&amp;".",IF(P23="Afebril","Encontra-se afebril.","")),IF(R23&lt;&gt;"",IF(S23="Sim","Apresenta disfunção renal aguda ","Função renal preservada ")&amp;"("&amp;R23&amp;").",""),IF(T23&lt;&gt;"","Em uso do esquema antimicrobiano com "&amp;T23&amp;".",""),IF(U23&lt;&gt;"","Em uso de profilaxia: "&amp;U23&amp;".",""))&amp;CHAR(10)&amp;CHAR(10)&amp;"2. Farmacoterapia"&amp;CHAR(10)&amp;IF(V23&lt;&gt;"","Corticoide/DART: "&amp;V23,"Sem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("&amp;Intervenções!$G$2:$G$500&amp;")",(Intervenções!$B$2:$B$500=A23)*(Intervenções!$A$2:$A$500=F23))),"Nenhuma intervenção registrada hoje.")&amp;CHAR(10)&amp;CHAR(10)&amp;"4. Plano Terapêutico"&amp;CHAR(10)&amp;IF(W23&lt;&gt;"",W23,"Não definido.")</f>
      </c>
    </row>
    <row r="24" spans="1:24" x14ac:dyDescent="0.25">
      <c r="A24" s="6"/>
      <c r="B24" s="9">
        <f>IFERROR(INDEX(Pacientes!$A:$A,MATCH($A24,Pacientes!$B:$B,0)),"")</f>
      </c>
      <c r="C24" s="9">
        <f>IFERROR(INDEX(Pacientes!$C:$C,MATCH($A24,Pacientes!$B:$B,0)),"")</f>
      </c>
      <c r="D24" s="9">
        <f>IFERROR(INDEX(Pacientes!$D:$D,MATCH($A24,Pacientes!$B:$B,0)),"")</f>
      </c>
      <c r="E24" s="9">
        <f>IFERROR(INDEX(Pacientes!$E:$E,MATCH($A24,Pacientes!$B:$B,0)),"")</f>
      </c>
      <c r="F24" s="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>
        <f>"1. Evolução Clínica"&amp;CHAR(10)&amp;TEXTJOIN(" ",TRUE,"Paciente "&amp;G24&amp;", "&amp;IF(H24="","sem DVA","em uso de "&amp;H24)&amp;".",IF(I24&lt;&gt;"","Em "&amp;I24&amp;IF(J24&lt;&gt;""," ("&amp;J24&amp;")","")&amp;IF(K24&lt;&gt;"", ", "&amp;K24,"")&amp;IF(L24&lt;&gt;"", ", sob analgosedação com "&amp;L24,"")&amp;".",""),IF(M24&lt;&gt;"","Dieta "&amp;M24&amp;IF(N24&lt;&gt;"", ", com "&amp;LOWER(N24),"")&amp;IF(O24&lt;&gt;"", " — "&amp;O24,"")&amp;".",""),IF(P24="Febre","Apresentou episódio febril nas últimas 24h"&amp;IF(Q24&lt;&gt;""," ("&amp;Q24&amp;")","")&amp;".",IF(P24="Afebril","Encontra-se afebril.","")),IF(R24&lt;&gt;"",IF(S24="Sim","Apresenta disfunção renal aguda ","Função renal preservada ")&amp;"("&amp;R24&amp;").",""),IF(T24&lt;&gt;"","Em uso do esquema antimicrobiano com "&amp;T24&amp;".",""),IF(U24&lt;&gt;"","Em uso de profilaxia: "&amp;U24&amp;".",""))&amp;CHAR(10)&amp;CHAR(10)&amp;"2. Farmacoterapia"&amp;CHAR(10)&amp;IF(V24&lt;&gt;"","Corticoide/DART: "&amp;V24,"Sem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("&amp;Intervenções!$G$2:$G$500&amp;")",(Intervenções!$B$2:$B$500=A24)*(Intervenções!$A$2:$A$500=F24))),"Nenhuma intervenção registrada hoje.")&amp;CHAR(10)&amp;CHAR(10)&amp;"4. Plano Terapêutico"&amp;CHAR(10)&amp;IF(W24&lt;&gt;"",W24,"Não definido.")</f>
      </c>
    </row>
    <row r="25" spans="1:24" x14ac:dyDescent="0.25">
      <c r="A25" s="6"/>
      <c r="B25" s="9">
        <f>IFERROR(INDEX(Pacientes!$A:$A,MATCH($A25,Pacientes!$B:$B,0)),"")</f>
      </c>
      <c r="C25" s="9">
        <f>IFERROR(INDEX(Pacientes!$C:$C,MATCH($A25,Pacientes!$B:$B,0)),"")</f>
      </c>
      <c r="D25" s="9">
        <f>IFERROR(INDEX(Pacientes!$D:$D,MATCH($A25,Pacientes!$B:$B,0)),"")</f>
      </c>
      <c r="E25" s="9">
        <f>IFERROR(INDEX(Pacientes!$E:$E,MATCH($A25,Pacientes!$B:$B,0)),"")</f>
      </c>
      <c r="F25" s="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f>"1. Evolução Clínica"&amp;CHAR(10)&amp;TEXTJOIN(" ",TRUE,"Paciente "&amp;G25&amp;", "&amp;IF(H25="","sem DVA","em uso de "&amp;H25)&amp;".",IF(I25&lt;&gt;"","Em "&amp;I25&amp;IF(J25&lt;&gt;""," ("&amp;J25&amp;")","")&amp;IF(K25&lt;&gt;"", ", "&amp;K25,"")&amp;IF(L25&lt;&gt;"", ", sob analgosedação com "&amp;L25,"")&amp;".",""),IF(M25&lt;&gt;"","Dieta "&amp;M25&amp;IF(N25&lt;&gt;"", ", com "&amp;LOWER(N25),"")&amp;IF(O25&lt;&gt;"", " — "&amp;O25,"")&amp;".",""),IF(P25="Febre","Apresentou episódio febril nas últimas 24h"&amp;IF(Q25&lt;&gt;""," ("&amp;Q25&amp;")","")&amp;".",IF(P25="Afebril","Encontra-se afebril.","")),IF(R25&lt;&gt;"",IF(S25="Sim","Apresenta disfunção renal aguda ","Função renal preservada ")&amp;"("&amp;R25&amp;").",""),IF(T25&lt;&gt;"","Em uso do esquema antimicrobiano com "&amp;T25&amp;".",""),IF(U25&lt;&gt;"","Em uso de profilaxia: "&amp;U25&amp;".",""))&amp;CHAR(10)&amp;CHAR(10)&amp;"2. Farmacoterapia"&amp;CHAR(10)&amp;IF(V25&lt;&gt;"","Corticoide/DART: "&amp;V25,"Sem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("&amp;Intervenções!$G$2:$G$500&amp;")",(Intervenções!$B$2:$B$500=A25)*(Intervenções!$A$2:$A$500=F25))),"Nenhuma intervenção registrada hoje.")&amp;CHAR(10)&amp;CHAR(10)&amp;"4. Plano Terapêutico"&amp;CHAR(10)&amp;IF(W25&lt;&gt;"",W25,"Não definido.")</f>
      </c>
    </row>
    <row r="26" spans="1:24" x14ac:dyDescent="0.25">
      <c r="A26" s="6"/>
      <c r="B26" s="9">
        <f>IFERROR(INDEX(Pacientes!$A:$A,MATCH($A26,Pacientes!$B:$B,0)),"")</f>
      </c>
      <c r="C26" s="9">
        <f>IFERROR(INDEX(Pacientes!$C:$C,MATCH($A26,Pacientes!$B:$B,0)),"")</f>
      </c>
      <c r="D26" s="9">
        <f>IFERROR(INDEX(Pacientes!$D:$D,MATCH($A26,Pacientes!$B:$B,0)),"")</f>
      </c>
      <c r="E26" s="9">
        <f>IFERROR(INDEX(Pacientes!$E:$E,MATCH($A26,Pacientes!$B:$B,0)),"")</f>
      </c>
      <c r="F26" s="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>
        <f>"1. Evolução Clínica"&amp;CHAR(10)&amp;TEXTJOIN(" ",TRUE,"Paciente "&amp;G26&amp;", "&amp;IF(H26="","sem DVA","em uso de "&amp;H26)&amp;".",IF(I26&lt;&gt;"","Em "&amp;I26&amp;IF(J26&lt;&gt;""," ("&amp;J26&amp;")","")&amp;IF(K26&lt;&gt;"", ", "&amp;K26,"")&amp;IF(L26&lt;&gt;"", ", sob analgosedação com "&amp;L26,"")&amp;".",""),IF(M26&lt;&gt;"","Dieta "&amp;M26&amp;IF(N26&lt;&gt;"", ", com "&amp;LOWER(N26),"")&amp;IF(O26&lt;&gt;"", " — "&amp;O26,"")&amp;".",""),IF(P26="Febre","Apresentou episódio febril nas últimas 24h"&amp;IF(Q26&lt;&gt;""," ("&amp;Q26&amp;")","")&amp;".",IF(P26="Afebril","Encontra-se afebril.","")),IF(R26&lt;&gt;"",IF(S26="Sim","Apresenta disfunção renal aguda ","Função renal preservada ")&amp;"("&amp;R26&amp;").",""),IF(T26&lt;&gt;"","Em uso do esquema antimicrobiano com "&amp;T26&amp;".",""),IF(U26&lt;&gt;"","Em uso de profilaxia: "&amp;U26&amp;".",""))&amp;CHAR(10)&amp;CHAR(10)&amp;"2. Farmacoterapia"&amp;CHAR(10)&amp;IF(V26&lt;&gt;"","Corticoide/DART: "&amp;V26,"Sem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("&amp;Intervenções!$G$2:$G$500&amp;")",(Intervenções!$B$2:$B$500=A26)*(Intervenções!$A$2:$A$500=F26))),"Nenhuma intervenção registrada hoje.")&amp;CHAR(10)&amp;CHAR(10)&amp;"4. Plano Terapêutico"&amp;CHAR(10)&amp;IF(W26&lt;&gt;"",W26,"Não definido.")</f>
      </c>
    </row>
    <row r="27" spans="1:24" x14ac:dyDescent="0.25">
      <c r="A27" s="6"/>
      <c r="B27" s="9">
        <f>IFERROR(INDEX(Pacientes!$A:$A,MATCH($A27,Pacientes!$B:$B,0)),"")</f>
      </c>
      <c r="C27" s="9">
        <f>IFERROR(INDEX(Pacientes!$C:$C,MATCH($A27,Pacientes!$B:$B,0)),"")</f>
      </c>
      <c r="D27" s="9">
        <f>IFERROR(INDEX(Pacientes!$D:$D,MATCH($A27,Pacientes!$B:$B,0)),"")</f>
      </c>
      <c r="E27" s="9">
        <f>IFERROR(INDEX(Pacientes!$E:$E,MATCH($A27,Pacientes!$B:$B,0)),"")</f>
      </c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f>"1. Evolução Clínica"&amp;CHAR(10)&amp;TEXTJOIN(" ",TRUE,"Paciente "&amp;G27&amp;", "&amp;IF(H27="","sem DVA","em uso de "&amp;H27)&amp;".",IF(I27&lt;&gt;"","Em "&amp;I27&amp;IF(J27&lt;&gt;""," ("&amp;J27&amp;")","")&amp;IF(K27&lt;&gt;"", ", "&amp;K27,"")&amp;IF(L27&lt;&gt;"", ", sob analgosedação com "&amp;L27,"")&amp;".",""),IF(M27&lt;&gt;"","Dieta "&amp;M27&amp;IF(N27&lt;&gt;"", ", com "&amp;LOWER(N27),"")&amp;IF(O27&lt;&gt;"", " — "&amp;O27,"")&amp;".",""),IF(P27="Febre","Apresentou episódio febril nas últimas 24h"&amp;IF(Q27&lt;&gt;""," ("&amp;Q27&amp;")","")&amp;".",IF(P27="Afebril","Encontra-se afebril.","")),IF(R27&lt;&gt;"",IF(S27="Sim","Apresenta disfunção renal aguda ","Função renal preservada ")&amp;"("&amp;R27&amp;").",""),IF(T27&lt;&gt;"","Em uso do esquema antimicrobiano com "&amp;T27&amp;".",""),IF(U27&lt;&gt;"","Em uso de profilaxia: "&amp;U27&amp;".",""))&amp;CHAR(10)&amp;CHAR(10)&amp;"2. Farmacoterapia"&amp;CHAR(10)&amp;IF(V27&lt;&gt;"","Corticoide/DART: "&amp;V27,"Sem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("&amp;Intervenções!$G$2:$G$500&amp;")",(Intervenções!$B$2:$B$500=A27)*(Intervenções!$A$2:$A$500=F27))),"Nenhuma intervenção registrada hoje.")&amp;CHAR(10)&amp;CHAR(10)&amp;"4. Plano Terapêutico"&amp;CHAR(10)&amp;IF(W27&lt;&gt;"",W27,"Não definido.")</f>
      </c>
    </row>
    <row r="28" spans="1:24" x14ac:dyDescent="0.25">
      <c r="A28" s="6"/>
      <c r="B28" s="9">
        <f>IFERROR(INDEX(Pacientes!$A:$A,MATCH($A28,Pacientes!$B:$B,0)),"")</f>
      </c>
      <c r="C28" s="9">
        <f>IFERROR(INDEX(Pacientes!$C:$C,MATCH($A28,Pacientes!$B:$B,0)),"")</f>
      </c>
      <c r="D28" s="9">
        <f>IFERROR(INDEX(Pacientes!$D:$D,MATCH($A28,Pacientes!$B:$B,0)),"")</f>
      </c>
      <c r="E28" s="9">
        <f>IFERROR(INDEX(Pacientes!$E:$E,MATCH($A28,Pacientes!$B:$B,0)),"")</f>
      </c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f>"1. Evolução Clínica"&amp;CHAR(10)&amp;TEXTJOIN(" ",TRUE,"Paciente "&amp;G28&amp;", "&amp;IF(H28="","sem DVA","em uso de "&amp;H28)&amp;".",IF(I28&lt;&gt;"","Em "&amp;I28&amp;IF(J28&lt;&gt;""," ("&amp;J28&amp;")","")&amp;IF(K28&lt;&gt;"", ", "&amp;K28,"")&amp;IF(L28&lt;&gt;"", ", sob analgosedação com "&amp;L28,"")&amp;".",""),IF(M28&lt;&gt;"","Dieta "&amp;M28&amp;IF(N28&lt;&gt;"", ", com "&amp;LOWER(N28),"")&amp;IF(O28&lt;&gt;"", " — "&amp;O28,"")&amp;".",""),IF(P28="Febre","Apresentou episódio febril nas últimas 24h"&amp;IF(Q28&lt;&gt;""," ("&amp;Q28&amp;")","")&amp;".",IF(P28="Afebril","Encontra-se afebril.","")),IF(R28&lt;&gt;"",IF(S28="Sim","Apresenta disfunção renal aguda ","Função renal preservada ")&amp;"("&amp;R28&amp;").",""),IF(T28&lt;&gt;"","Em uso do esquema antimicrobiano com "&amp;T28&amp;".",""),IF(U28&lt;&gt;"","Em uso de profilaxia: "&amp;U28&amp;".",""))&amp;CHAR(10)&amp;CHAR(10)&amp;"2. Farmacoterapia"&amp;CHAR(10)&amp;IF(V28&lt;&gt;"","Corticoide/DART: "&amp;V28,"Sem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("&amp;Intervenções!$G$2:$G$500&amp;")",(Intervenções!$B$2:$B$500=A28)*(Intervenções!$A$2:$A$500=F28))),"Nenhuma intervenção registrada hoje.")&amp;CHAR(10)&amp;CHAR(10)&amp;"4. Plano Terapêutico"&amp;CHAR(10)&amp;IF(W28&lt;&gt;"",W28,"Não definido.")</f>
      </c>
    </row>
    <row r="29" spans="1:24" x14ac:dyDescent="0.25">
      <c r="A29" s="6"/>
      <c r="B29" s="9">
        <f>IFERROR(INDEX(Pacientes!$A:$A,MATCH($A29,Pacientes!$B:$B,0)),"")</f>
      </c>
      <c r="C29" s="9">
        <f>IFERROR(INDEX(Pacientes!$C:$C,MATCH($A29,Pacientes!$B:$B,0)),"")</f>
      </c>
      <c r="D29" s="9">
        <f>IFERROR(INDEX(Pacientes!$D:$D,MATCH($A29,Pacientes!$B:$B,0)),"")</f>
      </c>
      <c r="E29" s="9">
        <f>IFERROR(INDEX(Pacientes!$E:$E,MATCH($A29,Pacientes!$B:$B,0)),"")</f>
      </c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f>"1. Evolução Clínica"&amp;CHAR(10)&amp;TEXTJOIN(" ",TRUE,"Paciente "&amp;G29&amp;", "&amp;IF(H29="","sem DVA","em uso de "&amp;H29)&amp;".",IF(I29&lt;&gt;"","Em "&amp;I29&amp;IF(J29&lt;&gt;""," ("&amp;J29&amp;")","")&amp;IF(K29&lt;&gt;"", ", "&amp;K29,"")&amp;IF(L29&lt;&gt;"", ", sob analgosedação com "&amp;L29,"")&amp;".",""),IF(M29&lt;&gt;"","Dieta "&amp;M29&amp;IF(N29&lt;&gt;"", ", com "&amp;LOWER(N29),"")&amp;IF(O29&lt;&gt;"", " — "&amp;O29,"")&amp;".",""),IF(P29="Febre","Apresentou episódio febril nas últimas 24h"&amp;IF(Q29&lt;&gt;""," ("&amp;Q29&amp;")","")&amp;".",IF(P29="Afebril","Encontra-se afebril.","")),IF(R29&lt;&gt;"",IF(S29="Sim","Apresenta disfunção renal aguda ","Função renal preservada ")&amp;"("&amp;R29&amp;").",""),IF(T29&lt;&gt;"","Em uso do esquema antimicrobiano com "&amp;T29&amp;".",""),IF(U29&lt;&gt;"","Em uso de profilaxia: "&amp;U29&amp;".",""))&amp;CHAR(10)&amp;CHAR(10)&amp;"2. Farmacoterapia"&amp;CHAR(10)&amp;IF(V29&lt;&gt;"","Corticoide/DART: "&amp;V29,"Sem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("&amp;Intervenções!$G$2:$G$500&amp;")",(Intervenções!$B$2:$B$500=A29)*(Intervenções!$A$2:$A$500=F29))),"Nenhuma intervenção registrada hoje.")&amp;CHAR(10)&amp;CHAR(10)&amp;"4. Plano Terapêutico"&amp;CHAR(10)&amp;IF(W29&lt;&gt;"",W29,"Não definido.")</f>
      </c>
    </row>
    <row r="30" spans="1:24" x14ac:dyDescent="0.25">
      <c r="A30" s="6"/>
      <c r="B30" s="9">
        <f>IFERROR(INDEX(Pacientes!$A:$A,MATCH($A30,Pacientes!$B:$B,0)),"")</f>
      </c>
      <c r="C30" s="9">
        <f>IFERROR(INDEX(Pacientes!$C:$C,MATCH($A30,Pacientes!$B:$B,0)),"")</f>
      </c>
      <c r="D30" s="9">
        <f>IFERROR(INDEX(Pacientes!$D:$D,MATCH($A30,Pacientes!$B:$B,0)),"")</f>
      </c>
      <c r="E30" s="9">
        <f>IFERROR(INDEX(Pacientes!$E:$E,MATCH($A30,Pacientes!$B:$B,0)),"")</f>
      </c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f>"1. Evolução Clínica"&amp;CHAR(10)&amp;TEXTJOIN(" ",TRUE,"Paciente "&amp;G30&amp;", "&amp;IF(H30="","sem DVA","em uso de "&amp;H30)&amp;".",IF(I30&lt;&gt;"","Em "&amp;I30&amp;IF(J30&lt;&gt;""," ("&amp;J30&amp;")","")&amp;IF(K30&lt;&gt;"", ", "&amp;K30,"")&amp;IF(L30&lt;&gt;"", ", sob analgosedação com "&amp;L30,"")&amp;".",""),IF(M30&lt;&gt;"","Dieta "&amp;M30&amp;IF(N30&lt;&gt;"", ", com "&amp;LOWER(N30),"")&amp;IF(O30&lt;&gt;"", " — "&amp;O30,"")&amp;".",""),IF(P30="Febre","Apresentou episódio febril nas últimas 24h"&amp;IF(Q30&lt;&gt;""," ("&amp;Q30&amp;")","")&amp;".",IF(P30="Afebril","Encontra-se afebril.","")),IF(R30&lt;&gt;"",IF(S30="Sim","Apresenta disfunção renal aguda ","Função renal preservada ")&amp;"("&amp;R30&amp;").",""),IF(T30&lt;&gt;"","Em uso do esquema antimicrobiano com "&amp;T30&amp;".",""),IF(U30&lt;&gt;"","Em uso de profilaxia: "&amp;U30&amp;".",""))&amp;CHAR(10)&amp;CHAR(10)&amp;"2. Farmacoterapia"&amp;CHAR(10)&amp;IF(V30&lt;&gt;"","Corticoide/DART: "&amp;V30,"Sem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("&amp;Intervenções!$G$2:$G$500&amp;")",(Intervenções!$B$2:$B$500=A30)*(Intervenções!$A$2:$A$500=F30))),"Nenhuma intervenção registrada hoje.")&amp;CHAR(10)&amp;CHAR(10)&amp;"4. Plano Terapêutico"&amp;CHAR(10)&amp;IF(W30&lt;&gt;"",W30,"Não definido.")</f>
      </c>
    </row>
    <row r="31" spans="1:24" x14ac:dyDescent="0.25">
      <c r="A31" s="6"/>
      <c r="B31" s="9">
        <f>IFERROR(INDEX(Pacientes!$A:$A,MATCH($A31,Pacientes!$B:$B,0)),"")</f>
      </c>
      <c r="C31" s="9">
        <f>IFERROR(INDEX(Pacientes!$C:$C,MATCH($A31,Pacientes!$B:$B,0)),"")</f>
      </c>
      <c r="D31" s="9">
        <f>IFERROR(INDEX(Pacientes!$D:$D,MATCH($A31,Pacientes!$B:$B,0)),"")</f>
      </c>
      <c r="E31" s="9">
        <f>IFERROR(INDEX(Pacientes!$E:$E,MATCH($A31,Pacientes!$B:$B,0)),"")</f>
      </c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f>"1. Evolução Clínica"&amp;CHAR(10)&amp;TEXTJOIN(" ",TRUE,"Paciente "&amp;G31&amp;", "&amp;IF(H31="","sem DVA","em uso de "&amp;H31)&amp;".",IF(I31&lt;&gt;"","Em "&amp;I31&amp;IF(J31&lt;&gt;""," ("&amp;J31&amp;")","")&amp;IF(K31&lt;&gt;"", ", "&amp;K31,"")&amp;IF(L31&lt;&gt;"", ", sob analgosedação com "&amp;L31,"")&amp;".",""),IF(M31&lt;&gt;"","Dieta "&amp;M31&amp;IF(N31&lt;&gt;"", ", com "&amp;LOWER(N31),"")&amp;IF(O31&lt;&gt;"", " — "&amp;O31,"")&amp;".",""),IF(P31="Febre","Apresentou episódio febril nas últimas 24h"&amp;IF(Q31&lt;&gt;""," ("&amp;Q31&amp;")","")&amp;".",IF(P31="Afebril","Encontra-se afebril.","")),IF(R31&lt;&gt;"",IF(S31="Sim","Apresenta disfunção renal aguda ","Função renal preservada ")&amp;"("&amp;R31&amp;").",""),IF(T31&lt;&gt;"","Em uso do esquema antimicrobiano com "&amp;T31&amp;".",""),IF(U31&lt;&gt;"","Em uso de profilaxia: "&amp;U31&amp;".",""))&amp;CHAR(10)&amp;CHAR(10)&amp;"2. Farmacoterapia"&amp;CHAR(10)&amp;IF(V31&lt;&gt;"","Corticoide/DART: "&amp;V31,"Sem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("&amp;Intervenções!$G$2:$G$500&amp;")",(Intervenções!$B$2:$B$500=A31)*(Intervenções!$A$2:$A$500=F31))),"Nenhuma intervenção registrada hoje.")&amp;CHAR(10)&amp;CHAR(10)&amp;"4. Plano Terapêutico"&amp;CHAR(10)&amp;IF(W31&lt;&gt;"",W31,"Não definido.")</f>
      </c>
    </row>
    <row r="32" spans="1:24" x14ac:dyDescent="0.25">
      <c r="A32" s="6"/>
      <c r="B32" s="9">
        <f>IFERROR(INDEX(Pacientes!$A:$A,MATCH($A32,Pacientes!$B:$B,0)),"")</f>
      </c>
      <c r="C32" s="9">
        <f>IFERROR(INDEX(Pacientes!$C:$C,MATCH($A32,Pacientes!$B:$B,0)),"")</f>
      </c>
      <c r="D32" s="9">
        <f>IFERROR(INDEX(Pacientes!$D:$D,MATCH($A32,Pacientes!$B:$B,0)),"")</f>
      </c>
      <c r="E32" s="9">
        <f>IFERROR(INDEX(Pacientes!$E:$E,MATCH($A32,Pacientes!$B:$B,0)),"")</f>
      </c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f>"1. Evolução Clínica"&amp;CHAR(10)&amp;TEXTJOIN(" ",TRUE,"Paciente "&amp;G32&amp;", "&amp;IF(H32="","sem DVA","em uso de "&amp;H32)&amp;".",IF(I32&lt;&gt;"","Em "&amp;I32&amp;IF(J32&lt;&gt;""," ("&amp;J32&amp;")","")&amp;IF(K32&lt;&gt;"", ", "&amp;K32,"")&amp;IF(L32&lt;&gt;"", ", sob analgosedação com "&amp;L32,"")&amp;".",""),IF(M32&lt;&gt;"","Dieta "&amp;M32&amp;IF(N32&lt;&gt;"", ", com "&amp;LOWER(N32),"")&amp;IF(O32&lt;&gt;"", " — "&amp;O32,"")&amp;".",""),IF(P32="Febre","Apresentou episódio febril nas últimas 24h"&amp;IF(Q32&lt;&gt;""," ("&amp;Q32&amp;")","")&amp;".",IF(P32="Afebril","Encontra-se afebril.","")),IF(R32&lt;&gt;"",IF(S32="Sim","Apresenta disfunção renal aguda ","Função renal preservada ")&amp;"("&amp;R32&amp;").",""),IF(T32&lt;&gt;"","Em uso do esquema antimicrobiano com "&amp;T32&amp;".",""),IF(U32&lt;&gt;"","Em uso de profilaxia: "&amp;U32&amp;".",""))&amp;CHAR(10)&amp;CHAR(10)&amp;"2. Farmacoterapia"&amp;CHAR(10)&amp;IF(V32&lt;&gt;"","Corticoide/DART: "&amp;V32,"Sem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("&amp;Intervenções!$G$2:$G$500&amp;")",(Intervenções!$B$2:$B$500=A32)*(Intervenções!$A$2:$A$500=F32))),"Nenhuma intervenção registrada hoje.")&amp;CHAR(10)&amp;CHAR(10)&amp;"4. Plano Terapêutico"&amp;CHAR(10)&amp;IF(W32&lt;&gt;"",W32,"Não definido.")</f>
      </c>
    </row>
    <row r="33" spans="1:24" x14ac:dyDescent="0.25">
      <c r="A33" s="6"/>
      <c r="B33" s="9">
        <f>IFERROR(INDEX(Pacientes!$A:$A,MATCH($A33,Pacientes!$B:$B,0)),"")</f>
      </c>
      <c r="C33" s="9">
        <f>IFERROR(INDEX(Pacientes!$C:$C,MATCH($A33,Pacientes!$B:$B,0)),"")</f>
      </c>
      <c r="D33" s="9">
        <f>IFERROR(INDEX(Pacientes!$D:$D,MATCH($A33,Pacientes!$B:$B,0)),"")</f>
      </c>
      <c r="E33" s="9">
        <f>IFERROR(INDEX(Pacientes!$E:$E,MATCH($A33,Pacientes!$B:$B,0)),"")</f>
      </c>
      <c r="F33" s="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>
        <f>"1. Evolução Clínica"&amp;CHAR(10)&amp;TEXTJOIN(" ",TRUE,"Paciente "&amp;G33&amp;", "&amp;IF(H33="","sem DVA","em uso de "&amp;H33)&amp;".",IF(I33&lt;&gt;"","Em "&amp;I33&amp;IF(J33&lt;&gt;""," ("&amp;J33&amp;")","")&amp;IF(K33&lt;&gt;"", ", "&amp;K33,"")&amp;IF(L33&lt;&gt;"", ", sob analgosedação com "&amp;L33,"")&amp;".",""),IF(M33&lt;&gt;"","Dieta "&amp;M33&amp;IF(N33&lt;&gt;"", ", com "&amp;LOWER(N33),"")&amp;IF(O33&lt;&gt;"", " — "&amp;O33,"")&amp;".",""),IF(P33="Febre","Apresentou episódio febril nas últimas 24h"&amp;IF(Q33&lt;&gt;""," ("&amp;Q33&amp;")","")&amp;".",IF(P33="Afebril","Encontra-se afebril.","")),IF(R33&lt;&gt;"",IF(S33="Sim","Apresenta disfunção renal aguda ","Função renal preservada ")&amp;"("&amp;R33&amp;").",""),IF(T33&lt;&gt;"","Em uso do esquema antimicrobiano com "&amp;T33&amp;".",""),IF(U33&lt;&gt;"","Em uso de profilaxia: "&amp;U33&amp;".",""))&amp;CHAR(10)&amp;CHAR(10)&amp;"2. Farmacoterapia"&amp;CHAR(10)&amp;IF(V33&lt;&gt;"","Corticoide/DART: "&amp;V33,"Sem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("&amp;Intervenções!$G$2:$G$500&amp;")",(Intervenções!$B$2:$B$500=A33)*(Intervenções!$A$2:$A$500=F33))),"Nenhuma intervenção registrada hoje.")&amp;CHAR(10)&amp;CHAR(10)&amp;"4. Plano Terapêutico"&amp;CHAR(10)&amp;IF(W33&lt;&gt;"",W33,"Não definido.")</f>
      </c>
    </row>
    <row r="34" spans="1:24" x14ac:dyDescent="0.25">
      <c r="A34" s="6"/>
      <c r="B34" s="9">
        <f>IFERROR(INDEX(Pacientes!$A:$A,MATCH($A34,Pacientes!$B:$B,0)),"")</f>
      </c>
      <c r="C34" s="9">
        <f>IFERROR(INDEX(Pacientes!$C:$C,MATCH($A34,Pacientes!$B:$B,0)),"")</f>
      </c>
      <c r="D34" s="9">
        <f>IFERROR(INDEX(Pacientes!$D:$D,MATCH($A34,Pacientes!$B:$B,0)),"")</f>
      </c>
      <c r="E34" s="9">
        <f>IFERROR(INDEX(Pacientes!$E:$E,MATCH($A34,Pacientes!$B:$B,0)),"")</f>
      </c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>
        <f>"1. Evolução Clínica"&amp;CHAR(10)&amp;TEXTJOIN(" ",TRUE,"Paciente "&amp;G34&amp;", "&amp;IF(H34="","sem DVA","em uso de "&amp;H34)&amp;".",IF(I34&lt;&gt;"","Em "&amp;I34&amp;IF(J34&lt;&gt;""," ("&amp;J34&amp;")","")&amp;IF(K34&lt;&gt;"", ", "&amp;K34,"")&amp;IF(L34&lt;&gt;"", ", sob analgosedação com "&amp;L34,"")&amp;".",""),IF(M34&lt;&gt;"","Dieta "&amp;M34&amp;IF(N34&lt;&gt;"", ", com "&amp;LOWER(N34),"")&amp;IF(O34&lt;&gt;"", " — "&amp;O34,"")&amp;".",""),IF(P34="Febre","Apresentou episódio febril nas últimas 24h"&amp;IF(Q34&lt;&gt;""," ("&amp;Q34&amp;")","")&amp;".",IF(P34="Afebril","Encontra-se afebril.","")),IF(R34&lt;&gt;"",IF(S34="Sim","Apresenta disfunção renal aguda ","Função renal preservada ")&amp;"("&amp;R34&amp;").",""),IF(T34&lt;&gt;"","Em uso do esquema antimicrobiano com "&amp;T34&amp;".",""),IF(U34&lt;&gt;"","Em uso de profilaxia: "&amp;U34&amp;".",""))&amp;CHAR(10)&amp;CHAR(10)&amp;"2. Farmacoterapia"&amp;CHAR(10)&amp;IF(V34&lt;&gt;"","Corticoide/DART: "&amp;V34,"Sem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("&amp;Intervenções!$G$2:$G$500&amp;")",(Intervenções!$B$2:$B$500=A34)*(Intervenções!$A$2:$A$500=F34))),"Nenhuma intervenção registrada hoje.")&amp;CHAR(10)&amp;CHAR(10)&amp;"4. Plano Terapêutico"&amp;CHAR(10)&amp;IF(W34&lt;&gt;"",W34,"Não definido.")</f>
      </c>
    </row>
    <row r="35" spans="1:24" x14ac:dyDescent="0.25">
      <c r="A35" s="6"/>
      <c r="B35" s="9">
        <f>IFERROR(INDEX(Pacientes!$A:$A,MATCH($A35,Pacientes!$B:$B,0)),"")</f>
      </c>
      <c r="C35" s="9">
        <f>IFERROR(INDEX(Pacientes!$C:$C,MATCH($A35,Pacientes!$B:$B,0)),"")</f>
      </c>
      <c r="D35" s="9">
        <f>IFERROR(INDEX(Pacientes!$D:$D,MATCH($A35,Pacientes!$B:$B,0)),"")</f>
      </c>
      <c r="E35" s="9">
        <f>IFERROR(INDEX(Pacientes!$E:$E,MATCH($A35,Pacientes!$B:$B,0)),"")</f>
      </c>
      <c r="F35" s="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>
        <f>"1. Evolução Clínica"&amp;CHAR(10)&amp;TEXTJOIN(" ",TRUE,"Paciente "&amp;G35&amp;", "&amp;IF(H35="","sem DVA","em uso de "&amp;H35)&amp;".",IF(I35&lt;&gt;"","Em "&amp;I35&amp;IF(J35&lt;&gt;""," ("&amp;J35&amp;")","")&amp;IF(K35&lt;&gt;"", ", "&amp;K35,"")&amp;IF(L35&lt;&gt;"", ", sob analgosedação com "&amp;L35,"")&amp;".",""),IF(M35&lt;&gt;"","Dieta "&amp;M35&amp;IF(N35&lt;&gt;"", ", com "&amp;LOWER(N35),"")&amp;IF(O35&lt;&gt;"", " — "&amp;O35,"")&amp;".",""),IF(P35="Febre","Apresentou episódio febril nas últimas 24h"&amp;IF(Q35&lt;&gt;""," ("&amp;Q35&amp;")","")&amp;".",IF(P35="Afebril","Encontra-se afebril.","")),IF(R35&lt;&gt;"",IF(S35="Sim","Apresenta disfunção renal aguda ","Função renal preservada ")&amp;"("&amp;R35&amp;").",""),IF(T35&lt;&gt;"","Em uso do esquema antimicrobiano com "&amp;T35&amp;".",""),IF(U35&lt;&gt;"","Em uso de profilaxia: "&amp;U35&amp;".",""))&amp;CHAR(10)&amp;CHAR(10)&amp;"2. Farmacoterapia"&amp;CHAR(10)&amp;IF(V35&lt;&gt;"","Corticoide/DART: "&amp;V35,"Sem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("&amp;Intervenções!$G$2:$G$500&amp;")",(Intervenções!$B$2:$B$500=A35)*(Intervenções!$A$2:$A$500=F35))),"Nenhuma intervenção registrada hoje.")&amp;CHAR(10)&amp;CHAR(10)&amp;"4. Plano Terapêutico"&amp;CHAR(10)&amp;IF(W35&lt;&gt;"",W35,"Não definido.")</f>
      </c>
    </row>
    <row r="36" spans="1:24" x14ac:dyDescent="0.25">
      <c r="A36" s="6"/>
      <c r="B36" s="9">
        <f>IFERROR(INDEX(Pacientes!$A:$A,MATCH($A36,Pacientes!$B:$B,0)),"")</f>
      </c>
      <c r="C36" s="9">
        <f>IFERROR(INDEX(Pacientes!$C:$C,MATCH($A36,Pacientes!$B:$B,0)),"")</f>
      </c>
      <c r="D36" s="9">
        <f>IFERROR(INDEX(Pacientes!$D:$D,MATCH($A36,Pacientes!$B:$B,0)),"")</f>
      </c>
      <c r="E36" s="9">
        <f>IFERROR(INDEX(Pacientes!$E:$E,MATCH($A36,Pacientes!$B:$B,0)),"")</f>
      </c>
      <c r="F36" s="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>
        <f>"1. Evolução Clínica"&amp;CHAR(10)&amp;TEXTJOIN(" ",TRUE,"Paciente "&amp;G36&amp;", "&amp;IF(H36="","sem DVA","em uso de "&amp;H36)&amp;".",IF(I36&lt;&gt;"","Em "&amp;I36&amp;IF(J36&lt;&gt;""," ("&amp;J36&amp;")","")&amp;IF(K36&lt;&gt;"", ", "&amp;K36,"")&amp;IF(L36&lt;&gt;"", ", sob analgosedação com "&amp;L36,"")&amp;".",""),IF(M36&lt;&gt;"","Dieta "&amp;M36&amp;IF(N36&lt;&gt;"", ", com "&amp;LOWER(N36),"")&amp;IF(O36&lt;&gt;"", " — "&amp;O36,"")&amp;".",""),IF(P36="Febre","Apresentou episódio febril nas últimas 24h"&amp;IF(Q36&lt;&gt;""," ("&amp;Q36&amp;")","")&amp;".",IF(P36="Afebril","Encontra-se afebril.","")),IF(R36&lt;&gt;"",IF(S36="Sim","Apresenta disfunção renal aguda ","Função renal preservada ")&amp;"("&amp;R36&amp;").",""),IF(T36&lt;&gt;"","Em uso do esquema antimicrobiano com "&amp;T36&amp;".",""),IF(U36&lt;&gt;"","Em uso de profilaxia: "&amp;U36&amp;".",""))&amp;CHAR(10)&amp;CHAR(10)&amp;"2. Farmacoterapia"&amp;CHAR(10)&amp;IF(V36&lt;&gt;"","Corticoide/DART: "&amp;V36,"Sem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("&amp;Intervenções!$G$2:$G$500&amp;")",(Intervenções!$B$2:$B$500=A36)*(Intervenções!$A$2:$A$500=F36))),"Nenhuma intervenção registrada hoje.")&amp;CHAR(10)&amp;CHAR(10)&amp;"4. Plano Terapêutico"&amp;CHAR(10)&amp;IF(W36&lt;&gt;"",W36,"Não definido.")</f>
      </c>
    </row>
    <row r="37" spans="1:24" x14ac:dyDescent="0.25">
      <c r="A37" s="6"/>
      <c r="B37" s="9">
        <f>IFERROR(INDEX(Pacientes!$A:$A,MATCH($A37,Pacientes!$B:$B,0)),"")</f>
      </c>
      <c r="C37" s="9">
        <f>IFERROR(INDEX(Pacientes!$C:$C,MATCH($A37,Pacientes!$B:$B,0)),"")</f>
      </c>
      <c r="D37" s="9">
        <f>IFERROR(INDEX(Pacientes!$D:$D,MATCH($A37,Pacientes!$B:$B,0)),"")</f>
      </c>
      <c r="E37" s="9">
        <f>IFERROR(INDEX(Pacientes!$E:$E,MATCH($A37,Pacientes!$B:$B,0)),"")</f>
      </c>
      <c r="F37" s="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>
        <f>"1. Evolução Clínica"&amp;CHAR(10)&amp;TEXTJOIN(" ",TRUE,"Paciente "&amp;G37&amp;", "&amp;IF(H37="","sem DVA","em uso de "&amp;H37)&amp;".",IF(I37&lt;&gt;"","Em "&amp;I37&amp;IF(J37&lt;&gt;""," ("&amp;J37&amp;")","")&amp;IF(K37&lt;&gt;"", ", "&amp;K37,"")&amp;IF(L37&lt;&gt;"", ", sob analgosedação com "&amp;L37,"")&amp;".",""),IF(M37&lt;&gt;"","Dieta "&amp;M37&amp;IF(N37&lt;&gt;"", ", com "&amp;LOWER(N37),"")&amp;IF(O37&lt;&gt;"", " — "&amp;O37,"")&amp;".",""),IF(P37="Febre","Apresentou episódio febril nas últimas 24h"&amp;IF(Q37&lt;&gt;""," ("&amp;Q37&amp;")","")&amp;".",IF(P37="Afebril","Encontra-se afebril.","")),IF(R37&lt;&gt;"",IF(S37="Sim","Apresenta disfunção renal aguda ","Função renal preservada ")&amp;"("&amp;R37&amp;").",""),IF(T37&lt;&gt;"","Em uso do esquema antimicrobiano com "&amp;T37&amp;".",""),IF(U37&lt;&gt;"","Em uso de profilaxia: "&amp;U37&amp;".",""))&amp;CHAR(10)&amp;CHAR(10)&amp;"2. Farmacoterapia"&amp;CHAR(10)&amp;IF(V37&lt;&gt;"","Corticoide/DART: "&amp;V37,"Sem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("&amp;Intervenções!$G$2:$G$500&amp;")",(Intervenções!$B$2:$B$500=A37)*(Intervenções!$A$2:$A$500=F37))),"Nenhuma intervenção registrada hoje.")&amp;CHAR(10)&amp;CHAR(10)&amp;"4. Plano Terapêutico"&amp;CHAR(10)&amp;IF(W37&lt;&gt;"",W37,"Não definido.")</f>
      </c>
    </row>
    <row r="38" spans="1:24" x14ac:dyDescent="0.25">
      <c r="A38" s="6"/>
      <c r="B38" s="9">
        <f>IFERROR(INDEX(Pacientes!$A:$A,MATCH($A38,Pacientes!$B:$B,0)),"")</f>
      </c>
      <c r="C38" s="9">
        <f>IFERROR(INDEX(Pacientes!$C:$C,MATCH($A38,Pacientes!$B:$B,0)),"")</f>
      </c>
      <c r="D38" s="9">
        <f>IFERROR(INDEX(Pacientes!$D:$D,MATCH($A38,Pacientes!$B:$B,0)),"")</f>
      </c>
      <c r="E38" s="9">
        <f>IFERROR(INDEX(Pacientes!$E:$E,MATCH($A38,Pacientes!$B:$B,0)),"")</f>
      </c>
      <c r="F38" s="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>
        <f>"1. Evolução Clínica"&amp;CHAR(10)&amp;TEXTJOIN(" ",TRUE,"Paciente "&amp;G38&amp;", "&amp;IF(H38="","sem DVA","em uso de "&amp;H38)&amp;".",IF(I38&lt;&gt;"","Em "&amp;I38&amp;IF(J38&lt;&gt;""," ("&amp;J38&amp;")","")&amp;IF(K38&lt;&gt;"", ", "&amp;K38,"")&amp;IF(L38&lt;&gt;"", ", sob analgosedação com "&amp;L38,"")&amp;".",""),IF(M38&lt;&gt;"","Dieta "&amp;M38&amp;IF(N38&lt;&gt;"", ", com "&amp;LOWER(N38),"")&amp;IF(O38&lt;&gt;"", " — "&amp;O38,"")&amp;".",""),IF(P38="Febre","Apresentou episódio febril nas últimas 24h"&amp;IF(Q38&lt;&gt;""," ("&amp;Q38&amp;")","")&amp;".",IF(P38="Afebril","Encontra-se afebril.","")),IF(R38&lt;&gt;"",IF(S38="Sim","Apresenta disfunção renal aguda ","Função renal preservada ")&amp;"("&amp;R38&amp;").",""),IF(T38&lt;&gt;"","Em uso do esquema antimicrobiano com "&amp;T38&amp;".",""),IF(U38&lt;&gt;"","Em uso de profilaxia: "&amp;U38&amp;".",""))&amp;CHAR(10)&amp;CHAR(10)&amp;"2. Farmacoterapia"&amp;CHAR(10)&amp;IF(V38&lt;&gt;"","Corticoide/DART: "&amp;V38,"Sem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("&amp;Intervenções!$G$2:$G$500&amp;")",(Intervenções!$B$2:$B$500=A38)*(Intervenções!$A$2:$A$500=F38))),"Nenhuma intervenção registrada hoje.")&amp;CHAR(10)&amp;CHAR(10)&amp;"4. Plano Terapêutico"&amp;CHAR(10)&amp;IF(W38&lt;&gt;"",W38,"Não definido.")</f>
      </c>
    </row>
    <row r="39" spans="1:24" x14ac:dyDescent="0.25">
      <c r="A39" s="6"/>
      <c r="B39" s="9">
        <f>IFERROR(INDEX(Pacientes!$A:$A,MATCH($A39,Pacientes!$B:$B,0)),"")</f>
      </c>
      <c r="C39" s="9">
        <f>IFERROR(INDEX(Pacientes!$C:$C,MATCH($A39,Pacientes!$B:$B,0)),"")</f>
      </c>
      <c r="D39" s="9">
        <f>IFERROR(INDEX(Pacientes!$D:$D,MATCH($A39,Pacientes!$B:$B,0)),"")</f>
      </c>
      <c r="E39" s="9">
        <f>IFERROR(INDEX(Pacientes!$E:$E,MATCH($A39,Pacientes!$B:$B,0)),"")</f>
      </c>
      <c r="F39" s="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>
        <f>"1. Evolução Clínica"&amp;CHAR(10)&amp;TEXTJOIN(" ",TRUE,"Paciente "&amp;G39&amp;", "&amp;IF(H39="","sem DVA","em uso de "&amp;H39)&amp;".",IF(I39&lt;&gt;"","Em "&amp;I39&amp;IF(J39&lt;&gt;""," ("&amp;J39&amp;")","")&amp;IF(K39&lt;&gt;"", ", "&amp;K39,"")&amp;IF(L39&lt;&gt;"", ", sob analgosedação com "&amp;L39,"")&amp;".",""),IF(M39&lt;&gt;"","Dieta "&amp;M39&amp;IF(N39&lt;&gt;"", ", com "&amp;LOWER(N39),"")&amp;IF(O39&lt;&gt;"", " — "&amp;O39,"")&amp;".",""),IF(P39="Febre","Apresentou episódio febril nas últimas 24h"&amp;IF(Q39&lt;&gt;""," ("&amp;Q39&amp;")","")&amp;".",IF(P39="Afebril","Encontra-se afebril.","")),IF(R39&lt;&gt;"",IF(S39="Sim","Apresenta disfunção renal aguda ","Função renal preservada ")&amp;"("&amp;R39&amp;").",""),IF(T39&lt;&gt;"","Em uso do esquema antimicrobiano com "&amp;T39&amp;".",""),IF(U39&lt;&gt;"","Em uso de profilaxia: "&amp;U39&amp;".",""))&amp;CHAR(10)&amp;CHAR(10)&amp;"2. Farmacoterapia"&amp;CHAR(10)&amp;IF(V39&lt;&gt;"","Corticoide/DART: "&amp;V39,"Sem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("&amp;Intervenções!$G$2:$G$500&amp;")",(Intervenções!$B$2:$B$500=A39)*(Intervenções!$A$2:$A$500=F39))),"Nenhuma intervenção registrada hoje.")&amp;CHAR(10)&amp;CHAR(10)&amp;"4. Plano Terapêutico"&amp;CHAR(10)&amp;IF(W39&lt;&gt;"",W39,"Não definido.")</f>
      </c>
    </row>
    <row r="40" spans="1:24" x14ac:dyDescent="0.25">
      <c r="A40" s="6"/>
      <c r="B40" s="9">
        <f>IFERROR(INDEX(Pacientes!$A:$A,MATCH($A40,Pacientes!$B:$B,0)),"")</f>
      </c>
      <c r="C40" s="9">
        <f>IFERROR(INDEX(Pacientes!$C:$C,MATCH($A40,Pacientes!$B:$B,0)),"")</f>
      </c>
      <c r="D40" s="9">
        <f>IFERROR(INDEX(Pacientes!$D:$D,MATCH($A40,Pacientes!$B:$B,0)),"")</f>
      </c>
      <c r="E40" s="9">
        <f>IFERROR(INDEX(Pacientes!$E:$E,MATCH($A40,Pacientes!$B:$B,0)),"")</f>
      </c>
      <c r="F40" s="7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>
        <f>"1. Evolução Clínica"&amp;CHAR(10)&amp;TEXTJOIN(" ",TRUE,"Paciente "&amp;G40&amp;", "&amp;IF(H40="","sem DVA","em uso de "&amp;H40)&amp;".",IF(I40&lt;&gt;"","Em "&amp;I40&amp;IF(J40&lt;&gt;""," ("&amp;J40&amp;")","")&amp;IF(K40&lt;&gt;"", ", "&amp;K40,"")&amp;IF(L40&lt;&gt;"", ", sob analgosedação com "&amp;L40,"")&amp;".",""),IF(M40&lt;&gt;"","Dieta "&amp;M40&amp;IF(N40&lt;&gt;"", ", com "&amp;LOWER(N40),"")&amp;IF(O40&lt;&gt;"", " — "&amp;O40,"")&amp;".",""),IF(P40="Febre","Apresentou episódio febril nas últimas 24h"&amp;IF(Q40&lt;&gt;""," ("&amp;Q40&amp;")","")&amp;".",IF(P40="Afebril","Encontra-se afebril.","")),IF(R40&lt;&gt;"",IF(S40="Sim","Apresenta disfunção renal aguda ","Função renal preservada ")&amp;"("&amp;R40&amp;").",""),IF(T40&lt;&gt;"","Em uso do esquema antimicrobiano com "&amp;T40&amp;".",""),IF(U40&lt;&gt;"","Em uso de profilaxia: "&amp;U40&amp;".",""))&amp;CHAR(10)&amp;CHAR(10)&amp;"2. Farmacoterapia"&amp;CHAR(10)&amp;IF(V40&lt;&gt;"","Corticoide/DART: "&amp;V40,"Sem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("&amp;Intervenções!$G$2:$G$500&amp;")",(Intervenções!$B$2:$B$500=A40)*(Intervenções!$A$2:$A$500=F40))),"Nenhuma intervenção registrada hoje.")&amp;CHAR(10)&amp;CHAR(10)&amp;"4. Plano Terapêutico"&amp;CHAR(10)&amp;IF(W40&lt;&gt;"",W40,"Não definido.")</f>
      </c>
    </row>
    <row r="41" spans="1:24" x14ac:dyDescent="0.25">
      <c r="A41" s="6"/>
      <c r="B41" s="9">
        <f>IFERROR(INDEX(Pacientes!$A:$A,MATCH($A41,Pacientes!$B:$B,0)),"")</f>
      </c>
      <c r="C41" s="9">
        <f>IFERROR(INDEX(Pacientes!$C:$C,MATCH($A41,Pacientes!$B:$B,0)),"")</f>
      </c>
      <c r="D41" s="9">
        <f>IFERROR(INDEX(Pacientes!$D:$D,MATCH($A41,Pacientes!$B:$B,0)),"")</f>
      </c>
      <c r="E41" s="9">
        <f>IFERROR(INDEX(Pacientes!$E:$E,MATCH($A41,Pacientes!$B:$B,0)),"")</f>
      </c>
      <c r="F41" s="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>
        <f>"1. Evolução Clínica"&amp;CHAR(10)&amp;TEXTJOIN(" ",TRUE,"Paciente "&amp;G41&amp;", "&amp;IF(H41="","sem DVA","em uso de "&amp;H41)&amp;".",IF(I41&lt;&gt;"","Em "&amp;I41&amp;IF(J41&lt;&gt;""," ("&amp;J41&amp;")","")&amp;IF(K41&lt;&gt;"", ", "&amp;K41,"")&amp;IF(L41&lt;&gt;"", ", sob analgosedação com "&amp;L41,"")&amp;".",""),IF(M41&lt;&gt;"","Dieta "&amp;M41&amp;IF(N41&lt;&gt;"", ", com "&amp;LOWER(N41),"")&amp;IF(O41&lt;&gt;"", " — "&amp;O41,"")&amp;".",""),IF(P41="Febre","Apresentou episódio febril nas últimas 24h"&amp;IF(Q41&lt;&gt;""," ("&amp;Q41&amp;")","")&amp;".",IF(P41="Afebril","Encontra-se afebril.","")),IF(R41&lt;&gt;"",IF(S41="Sim","Apresenta disfunção renal aguda ","Função renal preservada ")&amp;"("&amp;R41&amp;").",""),IF(T41&lt;&gt;"","Em uso do esquema antimicrobiano com "&amp;T41&amp;".",""),IF(U41&lt;&gt;"","Em uso de profilaxia: "&amp;U41&amp;".",""))&amp;CHAR(10)&amp;CHAR(10)&amp;"2. Farmacoterapia"&amp;CHAR(10)&amp;IF(V41&lt;&gt;"","Corticoide/DART: "&amp;V41,"Sem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("&amp;Intervenções!$G$2:$G$500&amp;")",(Intervenções!$B$2:$B$500=A41)*(Intervenções!$A$2:$A$500=F41))),"Nenhuma intervenção registrada hoje.")&amp;CHAR(10)&amp;CHAR(10)&amp;"4. Plano Terapêutico"&amp;CHAR(10)&amp;IF(W41&lt;&gt;"",W41,"Não definido.")</f>
      </c>
    </row>
    <row r="42" spans="1:24" x14ac:dyDescent="0.25">
      <c r="A42" s="6"/>
      <c r="B42" s="9">
        <f>IFERROR(INDEX(Pacientes!$A:$A,MATCH($A42,Pacientes!$B:$B,0)),"")</f>
      </c>
      <c r="C42" s="9">
        <f>IFERROR(INDEX(Pacientes!$C:$C,MATCH($A42,Pacientes!$B:$B,0)),"")</f>
      </c>
      <c r="D42" s="9">
        <f>IFERROR(INDEX(Pacientes!$D:$D,MATCH($A42,Pacientes!$B:$B,0)),"")</f>
      </c>
      <c r="E42" s="9">
        <f>IFERROR(INDEX(Pacientes!$E:$E,MATCH($A42,Pacientes!$B:$B,0)),"")</f>
      </c>
      <c r="F42" s="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>
        <f>"1. Evolução Clínica"&amp;CHAR(10)&amp;TEXTJOIN(" ",TRUE,"Paciente "&amp;G42&amp;", "&amp;IF(H42="","sem DVA","em uso de "&amp;H42)&amp;".",IF(I42&lt;&gt;"","Em "&amp;I42&amp;IF(J42&lt;&gt;""," ("&amp;J42&amp;")","")&amp;IF(K42&lt;&gt;"", ", "&amp;K42,"")&amp;IF(L42&lt;&gt;"", ", sob analgosedação com "&amp;L42,"")&amp;".",""),IF(M42&lt;&gt;"","Dieta "&amp;M42&amp;IF(N42&lt;&gt;"", ", com "&amp;LOWER(N42),"")&amp;IF(O42&lt;&gt;"", " — "&amp;O42,"")&amp;".",""),IF(P42="Febre","Apresentou episódio febril nas últimas 24h"&amp;IF(Q42&lt;&gt;""," ("&amp;Q42&amp;")","")&amp;".",IF(P42="Afebril","Encontra-se afebril.","")),IF(R42&lt;&gt;"",IF(S42="Sim","Apresenta disfunção renal aguda ","Função renal preservada ")&amp;"("&amp;R42&amp;").",""),IF(T42&lt;&gt;"","Em uso do esquema antimicrobiano com "&amp;T42&amp;".",""),IF(U42&lt;&gt;"","Em uso de profilaxia: "&amp;U42&amp;".",""))&amp;CHAR(10)&amp;CHAR(10)&amp;"2. Farmacoterapia"&amp;CHAR(10)&amp;IF(V42&lt;&gt;"","Corticoide/DART: "&amp;V42,"Sem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("&amp;Intervenções!$G$2:$G$500&amp;")",(Intervenções!$B$2:$B$500=A42)*(Intervenções!$A$2:$A$500=F42))),"Nenhuma intervenção registrada hoje.")&amp;CHAR(10)&amp;CHAR(10)&amp;"4. Plano Terapêutico"&amp;CHAR(10)&amp;IF(W42&lt;&gt;"",W42,"Não definido.")</f>
      </c>
    </row>
    <row r="43" spans="1:24" x14ac:dyDescent="0.25">
      <c r="A43" s="6"/>
      <c r="B43" s="9">
        <f>IFERROR(INDEX(Pacientes!$A:$A,MATCH($A43,Pacientes!$B:$B,0)),"")</f>
      </c>
      <c r="C43" s="9">
        <f>IFERROR(INDEX(Pacientes!$C:$C,MATCH($A43,Pacientes!$B:$B,0)),"")</f>
      </c>
      <c r="D43" s="9">
        <f>IFERROR(INDEX(Pacientes!$D:$D,MATCH($A43,Pacientes!$B:$B,0)),"")</f>
      </c>
      <c r="E43" s="9">
        <f>IFERROR(INDEX(Pacientes!$E:$E,MATCH($A43,Pacientes!$B:$B,0)),"")</f>
      </c>
      <c r="F43" s="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f>"1. Evolução Clínica"&amp;CHAR(10)&amp;TEXTJOIN(" ",TRUE,"Paciente "&amp;G43&amp;", "&amp;IF(H43="","sem DVA","em uso de "&amp;H43)&amp;".",IF(I43&lt;&gt;"","Em "&amp;I43&amp;IF(J43&lt;&gt;""," ("&amp;J43&amp;")","")&amp;IF(K43&lt;&gt;"", ", "&amp;K43,"")&amp;IF(L43&lt;&gt;"", ", sob analgosedação com "&amp;L43,"")&amp;".",""),IF(M43&lt;&gt;"","Dieta "&amp;M43&amp;IF(N43&lt;&gt;"", ", com "&amp;LOWER(N43),"")&amp;IF(O43&lt;&gt;"", " — "&amp;O43,"")&amp;".",""),IF(P43="Febre","Apresentou episódio febril nas últimas 24h"&amp;IF(Q43&lt;&gt;""," ("&amp;Q43&amp;")","")&amp;".",IF(P43="Afebril","Encontra-se afebril.","")),IF(R43&lt;&gt;"",IF(S43="Sim","Apresenta disfunção renal aguda ","Função renal preservada ")&amp;"("&amp;R43&amp;").",""),IF(T43&lt;&gt;"","Em uso do esquema antimicrobiano com "&amp;T43&amp;".",""),IF(U43&lt;&gt;"","Em uso de profilaxia: "&amp;U43&amp;".",""))&amp;CHAR(10)&amp;CHAR(10)&amp;"2. Farmacoterapia"&amp;CHAR(10)&amp;IF(V43&lt;&gt;"","Corticoide/DART: "&amp;V43,"Sem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("&amp;Intervenções!$G$2:$G$500&amp;")",(Intervenções!$B$2:$B$500=A43)*(Intervenções!$A$2:$A$500=F43))),"Nenhuma intervenção registrada hoje.")&amp;CHAR(10)&amp;CHAR(10)&amp;"4. Plano Terapêutico"&amp;CHAR(10)&amp;IF(W43&lt;&gt;"",W43,"Não definido.")</f>
      </c>
    </row>
    <row r="44" spans="1:24" x14ac:dyDescent="0.25">
      <c r="A44" s="6"/>
      <c r="B44" s="9">
        <f>IFERROR(INDEX(Pacientes!$A:$A,MATCH($A44,Pacientes!$B:$B,0)),"")</f>
      </c>
      <c r="C44" s="9">
        <f>IFERROR(INDEX(Pacientes!$C:$C,MATCH($A44,Pacientes!$B:$B,0)),"")</f>
      </c>
      <c r="D44" s="9">
        <f>IFERROR(INDEX(Pacientes!$D:$D,MATCH($A44,Pacientes!$B:$B,0)),"")</f>
      </c>
      <c r="E44" s="9">
        <f>IFERROR(INDEX(Pacientes!$E:$E,MATCH($A44,Pacientes!$B:$B,0)),"")</f>
      </c>
      <c r="F44" s="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>
        <f>"1. Evolução Clínica"&amp;CHAR(10)&amp;TEXTJOIN(" ",TRUE,"Paciente "&amp;G44&amp;", "&amp;IF(H44="","sem DVA","em uso de "&amp;H44)&amp;".",IF(I44&lt;&gt;"","Em "&amp;I44&amp;IF(J44&lt;&gt;""," ("&amp;J44&amp;")","")&amp;IF(K44&lt;&gt;"", ", "&amp;K44,"")&amp;IF(L44&lt;&gt;"", ", sob analgosedação com "&amp;L44,"")&amp;".",""),IF(M44&lt;&gt;"","Dieta "&amp;M44&amp;IF(N44&lt;&gt;"", ", com "&amp;LOWER(N44),"")&amp;IF(O44&lt;&gt;"", " — "&amp;O44,"")&amp;".",""),IF(P44="Febre","Apresentou episódio febril nas últimas 24h"&amp;IF(Q44&lt;&gt;""," ("&amp;Q44&amp;")","")&amp;".",IF(P44="Afebril","Encontra-se afebril.","")),IF(R44&lt;&gt;"",IF(S44="Sim","Apresenta disfunção renal aguda ","Função renal preservada ")&amp;"("&amp;R44&amp;").",""),IF(T44&lt;&gt;"","Em uso do esquema antimicrobiano com "&amp;T44&amp;".",""),IF(U44&lt;&gt;"","Em uso de profilaxia: "&amp;U44&amp;".",""))&amp;CHAR(10)&amp;CHAR(10)&amp;"2. Farmacoterapia"&amp;CHAR(10)&amp;IF(V44&lt;&gt;"","Corticoide/DART: "&amp;V44,"Sem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("&amp;Intervenções!$G$2:$G$500&amp;")",(Intervenções!$B$2:$B$500=A44)*(Intervenções!$A$2:$A$500=F44))),"Nenhuma intervenção registrada hoje.")&amp;CHAR(10)&amp;CHAR(10)&amp;"4. Plano Terapêutico"&amp;CHAR(10)&amp;IF(W44&lt;&gt;"",W44,"Não definido.")</f>
      </c>
    </row>
    <row r="45" spans="1:24" x14ac:dyDescent="0.25">
      <c r="A45" s="6"/>
      <c r="B45" s="9">
        <f>IFERROR(INDEX(Pacientes!$A:$A,MATCH($A45,Pacientes!$B:$B,0)),"")</f>
      </c>
      <c r="C45" s="9">
        <f>IFERROR(INDEX(Pacientes!$C:$C,MATCH($A45,Pacientes!$B:$B,0)),"")</f>
      </c>
      <c r="D45" s="9">
        <f>IFERROR(INDEX(Pacientes!$D:$D,MATCH($A45,Pacientes!$B:$B,0)),"")</f>
      </c>
      <c r="E45" s="9">
        <f>IFERROR(INDEX(Pacientes!$E:$E,MATCH($A45,Pacientes!$B:$B,0)),"")</f>
      </c>
      <c r="F45" s="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>
        <f>"1. Evolução Clínica"&amp;CHAR(10)&amp;TEXTJOIN(" ",TRUE,"Paciente "&amp;G45&amp;", "&amp;IF(H45="","sem DVA","em uso de "&amp;H45)&amp;".",IF(I45&lt;&gt;"","Em "&amp;I45&amp;IF(J45&lt;&gt;""," ("&amp;J45&amp;")","")&amp;IF(K45&lt;&gt;"", ", "&amp;K45,"")&amp;IF(L45&lt;&gt;"", ", sob analgosedação com "&amp;L45,"")&amp;".",""),IF(M45&lt;&gt;"","Dieta "&amp;M45&amp;IF(N45&lt;&gt;"", ", com "&amp;LOWER(N45),"")&amp;IF(O45&lt;&gt;"", " — "&amp;O45,"")&amp;".",""),IF(P45="Febre","Apresentou episódio febril nas últimas 24h"&amp;IF(Q45&lt;&gt;""," ("&amp;Q45&amp;")","")&amp;".",IF(P45="Afebril","Encontra-se afebril.","")),IF(R45&lt;&gt;"",IF(S45="Sim","Apresenta disfunção renal aguda ","Função renal preservada ")&amp;"("&amp;R45&amp;").",""),IF(T45&lt;&gt;"","Em uso do esquema antimicrobiano com "&amp;T45&amp;".",""),IF(U45&lt;&gt;"","Em uso de profilaxia: "&amp;U45&amp;".",""))&amp;CHAR(10)&amp;CHAR(10)&amp;"2. Farmacoterapia"&amp;CHAR(10)&amp;IF(V45&lt;&gt;"","Corticoide/DART: "&amp;V45,"Sem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("&amp;Intervenções!$G$2:$G$500&amp;")",(Intervenções!$B$2:$B$500=A45)*(Intervenções!$A$2:$A$500=F45))),"Nenhuma intervenção registrada hoje.")&amp;CHAR(10)&amp;CHAR(10)&amp;"4. Plano Terapêutico"&amp;CHAR(10)&amp;IF(W45&lt;&gt;"",W45,"Não definido.")</f>
      </c>
    </row>
    <row r="46" spans="1:24" x14ac:dyDescent="0.25">
      <c r="A46" s="6"/>
      <c r="B46" s="9">
        <f>IFERROR(INDEX(Pacientes!$A:$A,MATCH($A46,Pacientes!$B:$B,0)),"")</f>
      </c>
      <c r="C46" s="9">
        <f>IFERROR(INDEX(Pacientes!$C:$C,MATCH($A46,Pacientes!$B:$B,0)),"")</f>
      </c>
      <c r="D46" s="9">
        <f>IFERROR(INDEX(Pacientes!$D:$D,MATCH($A46,Pacientes!$B:$B,0)),"")</f>
      </c>
      <c r="E46" s="9">
        <f>IFERROR(INDEX(Pacientes!$E:$E,MATCH($A46,Pacientes!$B:$B,0)),"")</f>
      </c>
      <c r="F46" s="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>
        <f>"1. Evolução Clínica"&amp;CHAR(10)&amp;TEXTJOIN(" ",TRUE,"Paciente "&amp;G46&amp;", "&amp;IF(H46="","sem DVA","em uso de "&amp;H46)&amp;".",IF(I46&lt;&gt;"","Em "&amp;I46&amp;IF(J46&lt;&gt;""," ("&amp;J46&amp;")","")&amp;IF(K46&lt;&gt;"", ", "&amp;K46,"")&amp;IF(L46&lt;&gt;"", ", sob analgosedação com "&amp;L46,"")&amp;".",""),IF(M46&lt;&gt;"","Dieta "&amp;M46&amp;IF(N46&lt;&gt;"", ", com "&amp;LOWER(N46),"")&amp;IF(O46&lt;&gt;"", " — "&amp;O46,"")&amp;".",""),IF(P46="Febre","Apresentou episódio febril nas últimas 24h"&amp;IF(Q46&lt;&gt;""," ("&amp;Q46&amp;")","")&amp;".",IF(P46="Afebril","Encontra-se afebril.","")),IF(R46&lt;&gt;"",IF(S46="Sim","Apresenta disfunção renal aguda ","Função renal preservada ")&amp;"("&amp;R46&amp;").",""),IF(T46&lt;&gt;"","Em uso do esquema antimicrobiano com "&amp;T46&amp;".",""),IF(U46&lt;&gt;"","Em uso de profilaxia: "&amp;U46&amp;".",""))&amp;CHAR(10)&amp;CHAR(10)&amp;"2. Farmacoterapia"&amp;CHAR(10)&amp;IF(V46&lt;&gt;"","Corticoide/DART: "&amp;V46,"Sem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("&amp;Intervenções!$G$2:$G$500&amp;")",(Intervenções!$B$2:$B$500=A46)*(Intervenções!$A$2:$A$500=F46))),"Nenhuma intervenção registrada hoje.")&amp;CHAR(10)&amp;CHAR(10)&amp;"4. Plano Terapêutico"&amp;CHAR(10)&amp;IF(W46&lt;&gt;"",W46,"Não definido.")</f>
      </c>
    </row>
    <row r="47" spans="1:24" x14ac:dyDescent="0.25">
      <c r="A47" s="6"/>
      <c r="B47" s="9">
        <f>IFERROR(INDEX(Pacientes!$A:$A,MATCH($A47,Pacientes!$B:$B,0)),"")</f>
      </c>
      <c r="C47" s="9">
        <f>IFERROR(INDEX(Pacientes!$C:$C,MATCH($A47,Pacientes!$B:$B,0)),"")</f>
      </c>
      <c r="D47" s="9">
        <f>IFERROR(INDEX(Pacientes!$D:$D,MATCH($A47,Pacientes!$B:$B,0)),"")</f>
      </c>
      <c r="E47" s="9">
        <f>IFERROR(INDEX(Pacientes!$E:$E,MATCH($A47,Pacientes!$B:$B,0)),"")</f>
      </c>
      <c r="F47" s="7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>
        <f>"1. Evolução Clínica"&amp;CHAR(10)&amp;TEXTJOIN(" ",TRUE,"Paciente "&amp;G47&amp;", "&amp;IF(H47="","sem DVA","em uso de "&amp;H47)&amp;".",IF(I47&lt;&gt;"","Em "&amp;I47&amp;IF(J47&lt;&gt;""," ("&amp;J47&amp;")","")&amp;IF(K47&lt;&gt;"", ", "&amp;K47,"")&amp;IF(L47&lt;&gt;"", ", sob analgosedação com "&amp;L47,"")&amp;".",""),IF(M47&lt;&gt;"","Dieta "&amp;M47&amp;IF(N47&lt;&gt;"", ", com "&amp;LOWER(N47),"")&amp;IF(O47&lt;&gt;"", " — "&amp;O47,"")&amp;".",""),IF(P47="Febre","Apresentou episódio febril nas últimas 24h"&amp;IF(Q47&lt;&gt;""," ("&amp;Q47&amp;")","")&amp;".",IF(P47="Afebril","Encontra-se afebril.","")),IF(R47&lt;&gt;"",IF(S47="Sim","Apresenta disfunção renal aguda ","Função renal preservada ")&amp;"("&amp;R47&amp;").",""),IF(T47&lt;&gt;"","Em uso do esquema antimicrobiano com "&amp;T47&amp;".",""),IF(U47&lt;&gt;"","Em uso de profilaxia: "&amp;U47&amp;".",""))&amp;CHAR(10)&amp;CHAR(10)&amp;"2. Farmacoterapia"&amp;CHAR(10)&amp;IF(V47&lt;&gt;"","Corticoide/DART: "&amp;V47,"Sem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("&amp;Intervenções!$G$2:$G$500&amp;")",(Intervenções!$B$2:$B$500=A47)*(Intervenções!$A$2:$A$500=F47))),"Nenhuma intervenção registrada hoje.")&amp;CHAR(10)&amp;CHAR(10)&amp;"4. Plano Terapêutico"&amp;CHAR(10)&amp;IF(W47&lt;&gt;"",W47,"Não definido.")</f>
      </c>
    </row>
    <row r="48" spans="1:24" x14ac:dyDescent="0.25">
      <c r="A48" s="6"/>
      <c r="B48" s="9">
        <f>IFERROR(INDEX(Pacientes!$A:$A,MATCH($A48,Pacientes!$B:$B,0)),"")</f>
      </c>
      <c r="C48" s="9">
        <f>IFERROR(INDEX(Pacientes!$C:$C,MATCH($A48,Pacientes!$B:$B,0)),"")</f>
      </c>
      <c r="D48" s="9">
        <f>IFERROR(INDEX(Pacientes!$D:$D,MATCH($A48,Pacientes!$B:$B,0)),"")</f>
      </c>
      <c r="E48" s="9">
        <f>IFERROR(INDEX(Pacientes!$E:$E,MATCH($A48,Pacientes!$B:$B,0)),"")</f>
      </c>
      <c r="F48" s="7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>
        <f>"1. Evolução Clínica"&amp;CHAR(10)&amp;TEXTJOIN(" ",TRUE,"Paciente "&amp;G48&amp;", "&amp;IF(H48="","sem DVA","em uso de "&amp;H48)&amp;".",IF(I48&lt;&gt;"","Em "&amp;I48&amp;IF(J48&lt;&gt;""," ("&amp;J48&amp;")","")&amp;IF(K48&lt;&gt;"", ", "&amp;K48,"")&amp;IF(L48&lt;&gt;"", ", sob analgosedação com "&amp;L48,"")&amp;".",""),IF(M48&lt;&gt;"","Dieta "&amp;M48&amp;IF(N48&lt;&gt;"", ", com "&amp;LOWER(N48),"")&amp;IF(O48&lt;&gt;"", " — "&amp;O48,"")&amp;".",""),IF(P48="Febre","Apresentou episódio febril nas últimas 24h"&amp;IF(Q48&lt;&gt;""," ("&amp;Q48&amp;")","")&amp;".",IF(P48="Afebril","Encontra-se afebril.","")),IF(R48&lt;&gt;"",IF(S48="Sim","Apresenta disfunção renal aguda ","Função renal preservada ")&amp;"("&amp;R48&amp;").",""),IF(T48&lt;&gt;"","Em uso do esquema antimicrobiano com "&amp;T48&amp;".",""),IF(U48&lt;&gt;"","Em uso de profilaxia: "&amp;U48&amp;".",""))&amp;CHAR(10)&amp;CHAR(10)&amp;"2. Farmacoterapia"&amp;CHAR(10)&amp;IF(V48&lt;&gt;"","Corticoide/DART: "&amp;V48,"Sem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("&amp;Intervenções!$G$2:$G$500&amp;")",(Intervenções!$B$2:$B$500=A48)*(Intervenções!$A$2:$A$500=F48))),"Nenhuma intervenção registrada hoje.")&amp;CHAR(10)&amp;CHAR(10)&amp;"4. Plano Terapêutico"&amp;CHAR(10)&amp;IF(W48&lt;&gt;"",W48,"Não definido.")</f>
      </c>
    </row>
    <row r="49" spans="1:24" x14ac:dyDescent="0.25">
      <c r="A49" s="6"/>
      <c r="B49" s="9">
        <f>IFERROR(INDEX(Pacientes!$A:$A,MATCH($A49,Pacientes!$B:$B,0)),"")</f>
      </c>
      <c r="C49" s="9">
        <f>IFERROR(INDEX(Pacientes!$C:$C,MATCH($A49,Pacientes!$B:$B,0)),"")</f>
      </c>
      <c r="D49" s="9">
        <f>IFERROR(INDEX(Pacientes!$D:$D,MATCH($A49,Pacientes!$B:$B,0)),"")</f>
      </c>
      <c r="E49" s="9">
        <f>IFERROR(INDEX(Pacientes!$E:$E,MATCH($A49,Pacientes!$B:$B,0)),"")</f>
      </c>
      <c r="F49" s="7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>
        <f>"1. Evolução Clínica"&amp;CHAR(10)&amp;TEXTJOIN(" ",TRUE,"Paciente "&amp;G49&amp;", "&amp;IF(H49="","sem DVA","em uso de "&amp;H49)&amp;".",IF(I49&lt;&gt;"","Em "&amp;I49&amp;IF(J49&lt;&gt;""," ("&amp;J49&amp;")","")&amp;IF(K49&lt;&gt;"", ", "&amp;K49,"")&amp;IF(L49&lt;&gt;"", ", sob analgosedação com "&amp;L49,"")&amp;".",""),IF(M49&lt;&gt;"","Dieta "&amp;M49&amp;IF(N49&lt;&gt;"", ", com "&amp;LOWER(N49),"")&amp;IF(O49&lt;&gt;"", " — "&amp;O49,"")&amp;".",""),IF(P49="Febre","Apresentou episódio febril nas últimas 24h"&amp;IF(Q49&lt;&gt;""," ("&amp;Q49&amp;")","")&amp;".",IF(P49="Afebril","Encontra-se afebril.","")),IF(R49&lt;&gt;"",IF(S49="Sim","Apresenta disfunção renal aguda ","Função renal preservada ")&amp;"("&amp;R49&amp;").",""),IF(T49&lt;&gt;"","Em uso do esquema antimicrobiano com "&amp;T49&amp;".",""),IF(U49&lt;&gt;"","Em uso de profilaxia: "&amp;U49&amp;".",""))&amp;CHAR(10)&amp;CHAR(10)&amp;"2. Farmacoterapia"&amp;CHAR(10)&amp;IF(V49&lt;&gt;"","Corticoide/DART: "&amp;V49,"Sem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("&amp;Intervenções!$G$2:$G$500&amp;")",(Intervenções!$B$2:$B$500=A49)*(Intervenções!$A$2:$A$500=F49))),"Nenhuma intervenção registrada hoje.")&amp;CHAR(10)&amp;CHAR(10)&amp;"4. Plano Terapêutico"&amp;CHAR(10)&amp;IF(W49&lt;&gt;"",W49,"Não definido.")</f>
      </c>
    </row>
    <row r="50" spans="1:24" x14ac:dyDescent="0.25">
      <c r="A50" s="6"/>
      <c r="B50" s="9">
        <f>IFERROR(INDEX(Pacientes!$A:$A,MATCH($A50,Pacientes!$B:$B,0)),"")</f>
      </c>
      <c r="C50" s="9">
        <f>IFERROR(INDEX(Pacientes!$C:$C,MATCH($A50,Pacientes!$B:$B,0)),"")</f>
      </c>
      <c r="D50" s="9">
        <f>IFERROR(INDEX(Pacientes!$D:$D,MATCH($A50,Pacientes!$B:$B,0)),"")</f>
      </c>
      <c r="E50" s="9">
        <f>IFERROR(INDEX(Pacientes!$E:$E,MATCH($A50,Pacientes!$B:$B,0)),"")</f>
      </c>
      <c r="F50" s="7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>
        <f>"1. Evolução Clínica"&amp;CHAR(10)&amp;TEXTJOIN(" ",TRUE,"Paciente "&amp;G50&amp;", "&amp;IF(H50="","sem DVA","em uso de "&amp;H50)&amp;".",IF(I50&lt;&gt;"","Em "&amp;I50&amp;IF(J50&lt;&gt;""," ("&amp;J50&amp;")","")&amp;IF(K50&lt;&gt;"", ", "&amp;K50,"")&amp;IF(L50&lt;&gt;"", ", sob analgosedação com "&amp;L50,"")&amp;".",""),IF(M50&lt;&gt;"","Dieta "&amp;M50&amp;IF(N50&lt;&gt;"", ", com "&amp;LOWER(N50),"")&amp;IF(O50&lt;&gt;"", " — "&amp;O50,"")&amp;".",""),IF(P50="Febre","Apresentou episódio febril nas últimas 24h"&amp;IF(Q50&lt;&gt;""," ("&amp;Q50&amp;")","")&amp;".",IF(P50="Afebril","Encontra-se afebril.","")),IF(R50&lt;&gt;"",IF(S50="Sim","Apresenta disfunção renal aguda ","Função renal preservada ")&amp;"("&amp;R50&amp;").",""),IF(T50&lt;&gt;"","Em uso do esquema antimicrobiano com "&amp;T50&amp;".",""),IF(U50&lt;&gt;"","Em uso de profilaxia: "&amp;U50&amp;".",""))&amp;CHAR(10)&amp;CHAR(10)&amp;"2. Farmacoterapia"&amp;CHAR(10)&amp;IF(V50&lt;&gt;"","Corticoide/DART: "&amp;V50,"Sem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("&amp;Intervenções!$G$2:$G$500&amp;")",(Intervenções!$B$2:$B$500=A50)*(Intervenções!$A$2:$A$500=F50))),"Nenhuma intervenção registrada hoje.")&amp;CHAR(10)&amp;CHAR(10)&amp;"4. Plano Terapêutico"&amp;CHAR(10)&amp;IF(W50&lt;&gt;"",W50,"Não definido.")</f>
      </c>
    </row>
    <row r="51" spans="1:24" x14ac:dyDescent="0.25">
      <c r="A51" s="6"/>
      <c r="B51" s="9">
        <f>IFERROR(INDEX(Pacientes!$A:$A,MATCH($A51,Pacientes!$B:$B,0)),"")</f>
      </c>
      <c r="C51" s="9">
        <f>IFERROR(INDEX(Pacientes!$C:$C,MATCH($A51,Pacientes!$B:$B,0)),"")</f>
      </c>
      <c r="D51" s="9">
        <f>IFERROR(INDEX(Pacientes!$D:$D,MATCH($A51,Pacientes!$B:$B,0)),"")</f>
      </c>
      <c r="E51" s="9">
        <f>IFERROR(INDEX(Pacientes!$E:$E,MATCH($A51,Pacientes!$B:$B,0)),"")</f>
      </c>
      <c r="F51" s="7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>
        <f>"1. Evolução Clínica"&amp;CHAR(10)&amp;TEXTJOIN(" ",TRUE,"Paciente "&amp;G51&amp;", "&amp;IF(H51="","sem DVA","em uso de "&amp;H51)&amp;".",IF(I51&lt;&gt;"","Em "&amp;I51&amp;IF(J51&lt;&gt;""," ("&amp;J51&amp;")","")&amp;IF(K51&lt;&gt;"", ", "&amp;K51,"")&amp;IF(L51&lt;&gt;"", ", sob analgosedação com "&amp;L51,"")&amp;".",""),IF(M51&lt;&gt;"","Dieta "&amp;M51&amp;IF(N51&lt;&gt;"", ", com "&amp;LOWER(N51),"")&amp;IF(O51&lt;&gt;"", " — "&amp;O51,"")&amp;".",""),IF(P51="Febre","Apresentou episódio febril nas últimas 24h"&amp;IF(Q51&lt;&gt;""," ("&amp;Q51&amp;")","")&amp;".",IF(P51="Afebril","Encontra-se afebril.","")),IF(R51&lt;&gt;"",IF(S51="Sim","Apresenta disfunção renal aguda ","Função renal preservada ")&amp;"("&amp;R51&amp;").",""),IF(T51&lt;&gt;"","Em uso do esquema antimicrobiano com "&amp;T51&amp;".",""),IF(U51&lt;&gt;"","Em uso de profilaxia: "&amp;U51&amp;".",""))&amp;CHAR(10)&amp;CHAR(10)&amp;"2. Farmacoterapia"&amp;CHAR(10)&amp;IF(V51&lt;&gt;"","Corticoide/DART: "&amp;V51,"Sem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("&amp;Intervenções!$G$2:$G$500&amp;")",(Intervenções!$B$2:$B$500=A51)*(Intervenções!$A$2:$A$500=F51))),"Nenhuma intervenção registrada hoje.")&amp;CHAR(10)&amp;CHAR(10)&amp;"4. Plano Terapêutico"&amp;CHAR(10)&amp;IF(W51&lt;&gt;"",W51,"Não definido.")</f>
      </c>
    </row>
    <row r="52" spans="1:24" x14ac:dyDescent="0.25">
      <c r="A52" s="6"/>
      <c r="B52" s="9">
        <f>IFERROR(INDEX(Pacientes!$A:$A,MATCH($A52,Pacientes!$B:$B,0)),"")</f>
      </c>
      <c r="C52" s="9">
        <f>IFERROR(INDEX(Pacientes!$C:$C,MATCH($A52,Pacientes!$B:$B,0)),"")</f>
      </c>
      <c r="D52" s="9">
        <f>IFERROR(INDEX(Pacientes!$D:$D,MATCH($A52,Pacientes!$B:$B,0)),"")</f>
      </c>
      <c r="E52" s="9">
        <f>IFERROR(INDEX(Pacientes!$E:$E,MATCH($A52,Pacientes!$B:$B,0)),"")</f>
      </c>
      <c r="F52" s="7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>
        <f>"1. Evolução Clínica"&amp;CHAR(10)&amp;TEXTJOIN(" ",TRUE,"Paciente "&amp;G52&amp;", "&amp;IF(H52="","sem DVA","em uso de "&amp;H52)&amp;".",IF(I52&lt;&gt;"","Em "&amp;I52&amp;IF(J52&lt;&gt;""," ("&amp;J52&amp;")","")&amp;IF(K52&lt;&gt;"", ", "&amp;K52,"")&amp;IF(L52&lt;&gt;"", ", sob analgosedação com "&amp;L52,"")&amp;".",""),IF(M52&lt;&gt;"","Dieta "&amp;M52&amp;IF(N52&lt;&gt;"", ", com "&amp;LOWER(N52),"")&amp;IF(O52&lt;&gt;"", " — "&amp;O52,"")&amp;".",""),IF(P52="Febre","Apresentou episódio febril nas últimas 24h"&amp;IF(Q52&lt;&gt;""," ("&amp;Q52&amp;")","")&amp;".",IF(P52="Afebril","Encontra-se afebril.","")),IF(R52&lt;&gt;"",IF(S52="Sim","Apresenta disfunção renal aguda ","Função renal preservada ")&amp;"("&amp;R52&amp;").",""),IF(T52&lt;&gt;"","Em uso do esquema antimicrobiano com "&amp;T52&amp;".",""),IF(U52&lt;&gt;"","Em uso de profilaxia: "&amp;U52&amp;".",""))&amp;CHAR(10)&amp;CHAR(10)&amp;"2. Farmacoterapia"&amp;CHAR(10)&amp;IF(V52&lt;&gt;"","Corticoide/DART: "&amp;V52,"Sem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("&amp;Intervenções!$G$2:$G$500&amp;")",(Intervenções!$B$2:$B$500=A52)*(Intervenções!$A$2:$A$500=F52))),"Nenhuma intervenção registrada hoje.")&amp;CHAR(10)&amp;CHAR(10)&amp;"4. Plano Terapêutico"&amp;CHAR(10)&amp;IF(W52&lt;&gt;"",W52,"Não definido.")</f>
      </c>
    </row>
    <row r="53" spans="1:24" x14ac:dyDescent="0.25">
      <c r="A53" s="6"/>
      <c r="B53" s="9">
        <f>IFERROR(INDEX(Pacientes!$A:$A,MATCH($A53,Pacientes!$B:$B,0)),"")</f>
      </c>
      <c r="C53" s="9">
        <f>IFERROR(INDEX(Pacientes!$C:$C,MATCH($A53,Pacientes!$B:$B,0)),"")</f>
      </c>
      <c r="D53" s="9">
        <f>IFERROR(INDEX(Pacientes!$D:$D,MATCH($A53,Pacientes!$B:$B,0)),"")</f>
      </c>
      <c r="E53" s="9">
        <f>IFERROR(INDEX(Pacientes!$E:$E,MATCH($A53,Pacientes!$B:$B,0)),"")</f>
      </c>
      <c r="F53" s="7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>
        <f>"1. Evolução Clínica"&amp;CHAR(10)&amp;TEXTJOIN(" ",TRUE,"Paciente "&amp;G53&amp;", "&amp;IF(H53="","sem DVA","em uso de "&amp;H53)&amp;".",IF(I53&lt;&gt;"","Em "&amp;I53&amp;IF(J53&lt;&gt;""," ("&amp;J53&amp;")","")&amp;IF(K53&lt;&gt;"", ", "&amp;K53,"")&amp;IF(L53&lt;&gt;"", ", sob analgosedação com "&amp;L53,"")&amp;".",""),IF(M53&lt;&gt;"","Dieta "&amp;M53&amp;IF(N53&lt;&gt;"", ", com "&amp;LOWER(N53),"")&amp;IF(O53&lt;&gt;"", " — "&amp;O53,"")&amp;".",""),IF(P53="Febre","Apresentou episódio febril nas últimas 24h"&amp;IF(Q53&lt;&gt;""," ("&amp;Q53&amp;")","")&amp;".",IF(P53="Afebril","Encontra-se afebril.","")),IF(R53&lt;&gt;"",IF(S53="Sim","Apresenta disfunção renal aguda ","Função renal preservada ")&amp;"("&amp;R53&amp;").",""),IF(T53&lt;&gt;"","Em uso do esquema antimicrobiano com "&amp;T53&amp;".",""),IF(U53&lt;&gt;"","Em uso de profilaxia: "&amp;U53&amp;".",""))&amp;CHAR(10)&amp;CHAR(10)&amp;"2. Farmacoterapia"&amp;CHAR(10)&amp;IF(V53&lt;&gt;"","Corticoide/DART: "&amp;V53,"Sem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("&amp;Intervenções!$G$2:$G$500&amp;")",(Intervenções!$B$2:$B$500=A53)*(Intervenções!$A$2:$A$500=F53))),"Nenhuma intervenção registrada hoje.")&amp;CHAR(10)&amp;CHAR(10)&amp;"4. Plano Terapêutico"&amp;CHAR(10)&amp;IF(W53&lt;&gt;"",W53,"Não definido.")</f>
      </c>
    </row>
    <row r="54" spans="1:24" x14ac:dyDescent="0.25">
      <c r="A54" s="6"/>
      <c r="B54" s="9">
        <f>IFERROR(INDEX(Pacientes!$A:$A,MATCH($A54,Pacientes!$B:$B,0)),"")</f>
      </c>
      <c r="C54" s="9">
        <f>IFERROR(INDEX(Pacientes!$C:$C,MATCH($A54,Pacientes!$B:$B,0)),"")</f>
      </c>
      <c r="D54" s="9">
        <f>IFERROR(INDEX(Pacientes!$D:$D,MATCH($A54,Pacientes!$B:$B,0)),"")</f>
      </c>
      <c r="E54" s="9">
        <f>IFERROR(INDEX(Pacientes!$E:$E,MATCH($A54,Pacientes!$B:$B,0)),"")</f>
      </c>
      <c r="F54" s="7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>
        <f>"1. Evolução Clínica"&amp;CHAR(10)&amp;TEXTJOIN(" ",TRUE,"Paciente "&amp;G54&amp;", "&amp;IF(H54="","sem DVA","em uso de "&amp;H54)&amp;".",IF(I54&lt;&gt;"","Em "&amp;I54&amp;IF(J54&lt;&gt;""," ("&amp;J54&amp;")","")&amp;IF(K54&lt;&gt;"", ", "&amp;K54,"")&amp;IF(L54&lt;&gt;"", ", sob analgosedação com "&amp;L54,"")&amp;".",""),IF(M54&lt;&gt;"","Dieta "&amp;M54&amp;IF(N54&lt;&gt;"", ", com "&amp;LOWER(N54),"")&amp;IF(O54&lt;&gt;"", " — "&amp;O54,"")&amp;".",""),IF(P54="Febre","Apresentou episódio febril nas últimas 24h"&amp;IF(Q54&lt;&gt;""," ("&amp;Q54&amp;")","")&amp;".",IF(P54="Afebril","Encontra-se afebril.","")),IF(R54&lt;&gt;"",IF(S54="Sim","Apresenta disfunção renal aguda ","Função renal preservada ")&amp;"("&amp;R54&amp;").",""),IF(T54&lt;&gt;"","Em uso do esquema antimicrobiano com "&amp;T54&amp;".",""),IF(U54&lt;&gt;"","Em uso de profilaxia: "&amp;U54&amp;".",""))&amp;CHAR(10)&amp;CHAR(10)&amp;"2. Farmacoterapia"&amp;CHAR(10)&amp;IF(V54&lt;&gt;"","Corticoide/DART: "&amp;V54,"Sem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("&amp;Intervenções!$G$2:$G$500&amp;")",(Intervenções!$B$2:$B$500=A54)*(Intervenções!$A$2:$A$500=F54))),"Nenhuma intervenção registrada hoje.")&amp;CHAR(10)&amp;CHAR(10)&amp;"4. Plano Terapêutico"&amp;CHAR(10)&amp;IF(W54&lt;&gt;"",W54,"Não definido.")</f>
      </c>
    </row>
    <row r="55" spans="1:24" x14ac:dyDescent="0.25">
      <c r="A55" s="6"/>
      <c r="B55" s="9">
        <f>IFERROR(INDEX(Pacientes!$A:$A,MATCH($A55,Pacientes!$B:$B,0)),"")</f>
      </c>
      <c r="C55" s="9">
        <f>IFERROR(INDEX(Pacientes!$C:$C,MATCH($A55,Pacientes!$B:$B,0)),"")</f>
      </c>
      <c r="D55" s="9">
        <f>IFERROR(INDEX(Pacientes!$D:$D,MATCH($A55,Pacientes!$B:$B,0)),"")</f>
      </c>
      <c r="E55" s="9">
        <f>IFERROR(INDEX(Pacientes!$E:$E,MATCH($A55,Pacientes!$B:$B,0)),"")</f>
      </c>
      <c r="F55" s="7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>
        <f>"1. Evolução Clínica"&amp;CHAR(10)&amp;TEXTJOIN(" ",TRUE,"Paciente "&amp;G55&amp;", "&amp;IF(H55="","sem DVA","em uso de "&amp;H55)&amp;".",IF(I55&lt;&gt;"","Em "&amp;I55&amp;IF(J55&lt;&gt;""," ("&amp;J55&amp;")","")&amp;IF(K55&lt;&gt;"", ", "&amp;K55,"")&amp;IF(L55&lt;&gt;"", ", sob analgosedação com "&amp;L55,"")&amp;".",""),IF(M55&lt;&gt;"","Dieta "&amp;M55&amp;IF(N55&lt;&gt;"", ", com "&amp;LOWER(N55),"")&amp;IF(O55&lt;&gt;"", " — "&amp;O55,"")&amp;".",""),IF(P55="Febre","Apresentou episódio febril nas últimas 24h"&amp;IF(Q55&lt;&gt;""," ("&amp;Q55&amp;")","")&amp;".",IF(P55="Afebril","Encontra-se afebril.","")),IF(R55&lt;&gt;"",IF(S55="Sim","Apresenta disfunção renal aguda ","Função renal preservada ")&amp;"("&amp;R55&amp;").",""),IF(T55&lt;&gt;"","Em uso do esquema antimicrobiano com "&amp;T55&amp;".",""),IF(U55&lt;&gt;"","Em uso de profilaxia: "&amp;U55&amp;".",""))&amp;CHAR(10)&amp;CHAR(10)&amp;"2. Farmacoterapia"&amp;CHAR(10)&amp;IF(V55&lt;&gt;"","Corticoide/DART: "&amp;V55,"Sem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("&amp;Intervenções!$G$2:$G$500&amp;")",(Intervenções!$B$2:$B$500=A55)*(Intervenções!$A$2:$A$500=F55))),"Nenhuma intervenção registrada hoje.")&amp;CHAR(10)&amp;CHAR(10)&amp;"4. Plano Terapêutico"&amp;CHAR(10)&amp;IF(W55&lt;&gt;"",W55,"Não definido.")</f>
      </c>
    </row>
    <row r="56" spans="1:24" x14ac:dyDescent="0.25">
      <c r="A56" s="6"/>
      <c r="B56" s="9">
        <f>IFERROR(INDEX(Pacientes!$A:$A,MATCH($A56,Pacientes!$B:$B,0)),"")</f>
      </c>
      <c r="C56" s="9">
        <f>IFERROR(INDEX(Pacientes!$C:$C,MATCH($A56,Pacientes!$B:$B,0)),"")</f>
      </c>
      <c r="D56" s="9">
        <f>IFERROR(INDEX(Pacientes!$D:$D,MATCH($A56,Pacientes!$B:$B,0)),"")</f>
      </c>
      <c r="E56" s="9">
        <f>IFERROR(INDEX(Pacientes!$E:$E,MATCH($A56,Pacientes!$B:$B,0)),"")</f>
      </c>
      <c r="F56" s="7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f>"1. Evolução Clínica"&amp;CHAR(10)&amp;TEXTJOIN(" ",TRUE,"Paciente "&amp;G56&amp;", "&amp;IF(H56="","sem DVA","em uso de "&amp;H56)&amp;".",IF(I56&lt;&gt;"","Em "&amp;I56&amp;IF(J56&lt;&gt;""," ("&amp;J56&amp;")","")&amp;IF(K56&lt;&gt;"", ", "&amp;K56,"")&amp;IF(L56&lt;&gt;"", ", sob analgosedação com "&amp;L56,"")&amp;".",""),IF(M56&lt;&gt;"","Dieta "&amp;M56&amp;IF(N56&lt;&gt;"", ", com "&amp;LOWER(N56),"")&amp;IF(O56&lt;&gt;"", " — "&amp;O56,"")&amp;".",""),IF(P56="Febre","Apresentou episódio febril nas últimas 24h"&amp;IF(Q56&lt;&gt;""," ("&amp;Q56&amp;")","")&amp;".",IF(P56="Afebril","Encontra-se afebril.","")),IF(R56&lt;&gt;"",IF(S56="Sim","Apresenta disfunção renal aguda ","Função renal preservada ")&amp;"("&amp;R56&amp;").",""),IF(T56&lt;&gt;"","Em uso do esquema antimicrobiano com "&amp;T56&amp;".",""),IF(U56&lt;&gt;"","Em uso de profilaxia: "&amp;U56&amp;".",""))&amp;CHAR(10)&amp;CHAR(10)&amp;"2. Farmacoterapia"&amp;CHAR(10)&amp;IF(V56&lt;&gt;"","Corticoide/DART: "&amp;V56,"Sem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("&amp;Intervenções!$G$2:$G$500&amp;")",(Intervenções!$B$2:$B$500=A56)*(Intervenções!$A$2:$A$500=F56))),"Nenhuma intervenção registrada hoje.")&amp;CHAR(10)&amp;CHAR(10)&amp;"4. Plano Terapêutico"&amp;CHAR(10)&amp;IF(W56&lt;&gt;"",W56,"Não definido.")</f>
      </c>
    </row>
    <row r="57" spans="1:24" x14ac:dyDescent="0.25">
      <c r="A57" s="6"/>
      <c r="B57" s="9">
        <f>IFERROR(INDEX(Pacientes!$A:$A,MATCH($A57,Pacientes!$B:$B,0)),"")</f>
      </c>
      <c r="C57" s="9">
        <f>IFERROR(INDEX(Pacientes!$C:$C,MATCH($A57,Pacientes!$B:$B,0)),"")</f>
      </c>
      <c r="D57" s="9">
        <f>IFERROR(INDEX(Pacientes!$D:$D,MATCH($A57,Pacientes!$B:$B,0)),"")</f>
      </c>
      <c r="E57" s="9">
        <f>IFERROR(INDEX(Pacientes!$E:$E,MATCH($A57,Pacientes!$B:$B,0)),"")</f>
      </c>
      <c r="F57" s="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>
        <f>"1. Evolução Clínica"&amp;CHAR(10)&amp;TEXTJOIN(" ",TRUE,"Paciente "&amp;G57&amp;", "&amp;IF(H57="","sem DVA","em uso de "&amp;H57)&amp;".",IF(I57&lt;&gt;"","Em "&amp;I57&amp;IF(J57&lt;&gt;""," ("&amp;J57&amp;")","")&amp;IF(K57&lt;&gt;"", ", "&amp;K57,"")&amp;IF(L57&lt;&gt;"", ", sob analgosedação com "&amp;L57,"")&amp;".",""),IF(M57&lt;&gt;"","Dieta "&amp;M57&amp;IF(N57&lt;&gt;"", ", com "&amp;LOWER(N57),"")&amp;IF(O57&lt;&gt;"", " — "&amp;O57,"")&amp;".",""),IF(P57="Febre","Apresentou episódio febril nas últimas 24h"&amp;IF(Q57&lt;&gt;""," ("&amp;Q57&amp;")","")&amp;".",IF(P57="Afebril","Encontra-se afebril.","")),IF(R57&lt;&gt;"",IF(S57="Sim","Apresenta disfunção renal aguda ","Função renal preservada ")&amp;"("&amp;R57&amp;").",""),IF(T57&lt;&gt;"","Em uso do esquema antimicrobiano com "&amp;T57&amp;".",""),IF(U57&lt;&gt;"","Em uso de profilaxia: "&amp;U57&amp;".",""))&amp;CHAR(10)&amp;CHAR(10)&amp;"2. Farmacoterapia"&amp;CHAR(10)&amp;IF(V57&lt;&gt;"","Corticoide/DART: "&amp;V57,"Sem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("&amp;Intervenções!$G$2:$G$500&amp;")",(Intervenções!$B$2:$B$500=A57)*(Intervenções!$A$2:$A$500=F57))),"Nenhuma intervenção registrada hoje.")&amp;CHAR(10)&amp;CHAR(10)&amp;"4. Plano Terapêutico"&amp;CHAR(10)&amp;IF(W57&lt;&gt;"",W57,"Não definido.")</f>
      </c>
    </row>
    <row r="58" spans="1:24" x14ac:dyDescent="0.25">
      <c r="A58" s="6"/>
      <c r="B58" s="9">
        <f>IFERROR(INDEX(Pacientes!$A:$A,MATCH($A58,Pacientes!$B:$B,0)),"")</f>
      </c>
      <c r="C58" s="9">
        <f>IFERROR(INDEX(Pacientes!$C:$C,MATCH($A58,Pacientes!$B:$B,0)),"")</f>
      </c>
      <c r="D58" s="9">
        <f>IFERROR(INDEX(Pacientes!$D:$D,MATCH($A58,Pacientes!$B:$B,0)),"")</f>
      </c>
      <c r="E58" s="9">
        <f>IFERROR(INDEX(Pacientes!$E:$E,MATCH($A58,Pacientes!$B:$B,0)),"")</f>
      </c>
      <c r="F58" s="7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>
        <f>"1. Evolução Clínica"&amp;CHAR(10)&amp;TEXTJOIN(" ",TRUE,"Paciente "&amp;G58&amp;", "&amp;IF(H58="","sem DVA","em uso de "&amp;H58)&amp;".",IF(I58&lt;&gt;"","Em "&amp;I58&amp;IF(J58&lt;&gt;""," ("&amp;J58&amp;")","")&amp;IF(K58&lt;&gt;"", ", "&amp;K58,"")&amp;IF(L58&lt;&gt;"", ", sob analgosedação com "&amp;L58,"")&amp;".",""),IF(M58&lt;&gt;"","Dieta "&amp;M58&amp;IF(N58&lt;&gt;"", ", com "&amp;LOWER(N58),"")&amp;IF(O58&lt;&gt;"", " — "&amp;O58,"")&amp;".",""),IF(P58="Febre","Apresentou episódio febril nas últimas 24h"&amp;IF(Q58&lt;&gt;""," ("&amp;Q58&amp;")","")&amp;".",IF(P58="Afebril","Encontra-se afebril.","")),IF(R58&lt;&gt;"",IF(S58="Sim","Apresenta disfunção renal aguda ","Função renal preservada ")&amp;"("&amp;R58&amp;").",""),IF(T58&lt;&gt;"","Em uso do esquema antimicrobiano com "&amp;T58&amp;".",""),IF(U58&lt;&gt;"","Em uso de profilaxia: "&amp;U58&amp;".",""))&amp;CHAR(10)&amp;CHAR(10)&amp;"2. Farmacoterapia"&amp;CHAR(10)&amp;IF(V58&lt;&gt;"","Corticoide/DART: "&amp;V58,"Sem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("&amp;Intervenções!$G$2:$G$500&amp;")",(Intervenções!$B$2:$B$500=A58)*(Intervenções!$A$2:$A$500=F58))),"Nenhuma intervenção registrada hoje.")&amp;CHAR(10)&amp;CHAR(10)&amp;"4. Plano Terapêutico"&amp;CHAR(10)&amp;IF(W58&lt;&gt;"",W58,"Não definido.")</f>
      </c>
    </row>
    <row r="59" spans="1:24" x14ac:dyDescent="0.25">
      <c r="A59" s="6"/>
      <c r="B59" s="9">
        <f>IFERROR(INDEX(Pacientes!$A:$A,MATCH($A59,Pacientes!$B:$B,0)),"")</f>
      </c>
      <c r="C59" s="9">
        <f>IFERROR(INDEX(Pacientes!$C:$C,MATCH($A59,Pacientes!$B:$B,0)),"")</f>
      </c>
      <c r="D59" s="9">
        <f>IFERROR(INDEX(Pacientes!$D:$D,MATCH($A59,Pacientes!$B:$B,0)),"")</f>
      </c>
      <c r="E59" s="9">
        <f>IFERROR(INDEX(Pacientes!$E:$E,MATCH($A59,Pacientes!$B:$B,0)),"")</f>
      </c>
      <c r="F59" s="7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>
        <f>"1. Evolução Clínica"&amp;CHAR(10)&amp;TEXTJOIN(" ",TRUE,"Paciente "&amp;G59&amp;", "&amp;IF(H59="","sem DVA","em uso de "&amp;H59)&amp;".",IF(I59&lt;&gt;"","Em "&amp;I59&amp;IF(J59&lt;&gt;""," ("&amp;J59&amp;")","")&amp;IF(K59&lt;&gt;"", ", "&amp;K59,"")&amp;IF(L59&lt;&gt;"", ", sob analgosedação com "&amp;L59,"")&amp;".",""),IF(M59&lt;&gt;"","Dieta "&amp;M59&amp;IF(N59&lt;&gt;"", ", com "&amp;LOWER(N59),"")&amp;IF(O59&lt;&gt;"", " — "&amp;O59,"")&amp;".",""),IF(P59="Febre","Apresentou episódio febril nas últimas 24h"&amp;IF(Q59&lt;&gt;""," ("&amp;Q59&amp;")","")&amp;".",IF(P59="Afebril","Encontra-se afebril.","")),IF(R59&lt;&gt;"",IF(S59="Sim","Apresenta disfunção renal aguda ","Função renal preservada ")&amp;"("&amp;R59&amp;").",""),IF(T59&lt;&gt;"","Em uso do esquema antimicrobiano com "&amp;T59&amp;".",""),IF(U59&lt;&gt;"","Em uso de profilaxia: "&amp;U59&amp;".",""))&amp;CHAR(10)&amp;CHAR(10)&amp;"2. Farmacoterapia"&amp;CHAR(10)&amp;IF(V59&lt;&gt;"","Corticoide/DART: "&amp;V59,"Sem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("&amp;Intervenções!$G$2:$G$500&amp;")",(Intervenções!$B$2:$B$500=A59)*(Intervenções!$A$2:$A$500=F59))),"Nenhuma intervenção registrada hoje.")&amp;CHAR(10)&amp;CHAR(10)&amp;"4. Plano Terapêutico"&amp;CHAR(10)&amp;IF(W59&lt;&gt;"",W59,"Não definido.")</f>
      </c>
    </row>
    <row r="60" spans="1:24" x14ac:dyDescent="0.25">
      <c r="A60" s="6"/>
      <c r="B60" s="9">
        <f>IFERROR(INDEX(Pacientes!$A:$A,MATCH($A60,Pacientes!$B:$B,0)),"")</f>
      </c>
      <c r="C60" s="9">
        <f>IFERROR(INDEX(Pacientes!$C:$C,MATCH($A60,Pacientes!$B:$B,0)),"")</f>
      </c>
      <c r="D60" s="9">
        <f>IFERROR(INDEX(Pacientes!$D:$D,MATCH($A60,Pacientes!$B:$B,0)),"")</f>
      </c>
      <c r="E60" s="9">
        <f>IFERROR(INDEX(Pacientes!$E:$E,MATCH($A60,Pacientes!$B:$B,0)),"")</f>
      </c>
      <c r="F60" s="7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>
        <f>"1. Evolução Clínica"&amp;CHAR(10)&amp;TEXTJOIN(" ",TRUE,"Paciente "&amp;G60&amp;", "&amp;IF(H60="","sem DVA","em uso de "&amp;H60)&amp;".",IF(I60&lt;&gt;"","Em "&amp;I60&amp;IF(J60&lt;&gt;""," ("&amp;J60&amp;")","")&amp;IF(K60&lt;&gt;"", ", "&amp;K60,"")&amp;IF(L60&lt;&gt;"", ", sob analgosedação com "&amp;L60,"")&amp;".",""),IF(M60&lt;&gt;"","Dieta "&amp;M60&amp;IF(N60&lt;&gt;"", ", com "&amp;LOWER(N60),"")&amp;IF(O60&lt;&gt;"", " — "&amp;O60,"")&amp;".",""),IF(P60="Febre","Apresentou episódio febril nas últimas 24h"&amp;IF(Q60&lt;&gt;""," ("&amp;Q60&amp;")","")&amp;".",IF(P60="Afebril","Encontra-se afebril.","")),IF(R60&lt;&gt;"",IF(S60="Sim","Apresenta disfunção renal aguda ","Função renal preservada ")&amp;"("&amp;R60&amp;").",""),IF(T60&lt;&gt;"","Em uso do esquema antimicrobiano com "&amp;T60&amp;".",""),IF(U60&lt;&gt;"","Em uso de profilaxia: "&amp;U60&amp;".",""))&amp;CHAR(10)&amp;CHAR(10)&amp;"2. Farmacoterapia"&amp;CHAR(10)&amp;IF(V60&lt;&gt;"","Corticoide/DART: "&amp;V60,"Sem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("&amp;Intervenções!$G$2:$G$500&amp;")",(Intervenções!$B$2:$B$500=A60)*(Intervenções!$A$2:$A$500=F60))),"Nenhuma intervenção registrada hoje.")&amp;CHAR(10)&amp;CHAR(10)&amp;"4. Plano Terapêutico"&amp;CHAR(10)&amp;IF(W60&lt;&gt;"",W60,"Não definido.")</f>
      </c>
    </row>
    <row r="61" spans="1:24" x14ac:dyDescent="0.25">
      <c r="A61" s="6"/>
      <c r="B61" s="9">
        <f>IFERROR(INDEX(Pacientes!$A:$A,MATCH($A61,Pacientes!$B:$B,0)),"")</f>
      </c>
      <c r="C61" s="9">
        <f>IFERROR(INDEX(Pacientes!$C:$C,MATCH($A61,Pacientes!$B:$B,0)),"")</f>
      </c>
      <c r="D61" s="9">
        <f>IFERROR(INDEX(Pacientes!$D:$D,MATCH($A61,Pacientes!$B:$B,0)),"")</f>
      </c>
      <c r="E61" s="9">
        <f>IFERROR(INDEX(Pacientes!$E:$E,MATCH($A61,Pacientes!$B:$B,0)),"")</f>
      </c>
      <c r="F61" s="7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>
        <f>"1. Evolução Clínica"&amp;CHAR(10)&amp;TEXTJOIN(" ",TRUE,"Paciente "&amp;G61&amp;", "&amp;IF(H61="","sem DVA","em uso de "&amp;H61)&amp;".",IF(I61&lt;&gt;"","Em "&amp;I61&amp;IF(J61&lt;&gt;""," ("&amp;J61&amp;")","")&amp;IF(K61&lt;&gt;"", ", "&amp;K61,"")&amp;IF(L61&lt;&gt;"", ", sob analgosedação com "&amp;L61,"")&amp;".",""),IF(M61&lt;&gt;"","Dieta "&amp;M61&amp;IF(N61&lt;&gt;"", ", com "&amp;LOWER(N61),"")&amp;IF(O61&lt;&gt;"", " — "&amp;O61,"")&amp;".",""),IF(P61="Febre","Apresentou episódio febril nas últimas 24h"&amp;IF(Q61&lt;&gt;""," ("&amp;Q61&amp;")","")&amp;".",IF(P61="Afebril","Encontra-se afebril.","")),IF(R61&lt;&gt;"",IF(S61="Sim","Apresenta disfunção renal aguda ","Função renal preservada ")&amp;"("&amp;R61&amp;").",""),IF(T61&lt;&gt;"","Em uso do esquema antimicrobiano com "&amp;T61&amp;".",""),IF(U61&lt;&gt;"","Em uso de profilaxia: "&amp;U61&amp;".",""))&amp;CHAR(10)&amp;CHAR(10)&amp;"2. Farmacoterapia"&amp;CHAR(10)&amp;IF(V61&lt;&gt;"","Corticoide/DART: "&amp;V61,"Sem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("&amp;Intervenções!$G$2:$G$500&amp;")",(Intervenções!$B$2:$B$500=A61)*(Intervenções!$A$2:$A$500=F61))),"Nenhuma intervenção registrada hoje.")&amp;CHAR(10)&amp;CHAR(10)&amp;"4. Plano Terapêutico"&amp;CHAR(10)&amp;IF(W61&lt;&gt;"",W61,"Não definido.")</f>
      </c>
    </row>
    <row r="62" spans="1:24" x14ac:dyDescent="0.25">
      <c r="A62" s="6"/>
      <c r="B62" s="9">
        <f>IFERROR(INDEX(Pacientes!$A:$A,MATCH($A62,Pacientes!$B:$B,0)),"")</f>
      </c>
      <c r="C62" s="9">
        <f>IFERROR(INDEX(Pacientes!$C:$C,MATCH($A62,Pacientes!$B:$B,0)),"")</f>
      </c>
      <c r="D62" s="9">
        <f>IFERROR(INDEX(Pacientes!$D:$D,MATCH($A62,Pacientes!$B:$B,0)),"")</f>
      </c>
      <c r="E62" s="9">
        <f>IFERROR(INDEX(Pacientes!$E:$E,MATCH($A62,Pacientes!$B:$B,0)),"")</f>
      </c>
      <c r="F62" s="7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>
        <f>"1. Evolução Clínica"&amp;CHAR(10)&amp;TEXTJOIN(" ",TRUE,"Paciente "&amp;G62&amp;", "&amp;IF(H62="","sem DVA","em uso de "&amp;H62)&amp;".",IF(I62&lt;&gt;"","Em "&amp;I62&amp;IF(J62&lt;&gt;""," ("&amp;J62&amp;")","")&amp;IF(K62&lt;&gt;"", ", "&amp;K62,"")&amp;IF(L62&lt;&gt;"", ", sob analgosedação com "&amp;L62,"")&amp;".",""),IF(M62&lt;&gt;"","Dieta "&amp;M62&amp;IF(N62&lt;&gt;"", ", com "&amp;LOWER(N62),"")&amp;IF(O62&lt;&gt;"", " — "&amp;O62,"")&amp;".",""),IF(P62="Febre","Apresentou episódio febril nas últimas 24h"&amp;IF(Q62&lt;&gt;""," ("&amp;Q62&amp;")","")&amp;".",IF(P62="Afebril","Encontra-se afebril.","")),IF(R62&lt;&gt;"",IF(S62="Sim","Apresenta disfunção renal aguda ","Função renal preservada ")&amp;"("&amp;R62&amp;").",""),IF(T62&lt;&gt;"","Em uso do esquema antimicrobiano com "&amp;T62&amp;".",""),IF(U62&lt;&gt;"","Em uso de profilaxia: "&amp;U62&amp;".",""))&amp;CHAR(10)&amp;CHAR(10)&amp;"2. Farmacoterapia"&amp;CHAR(10)&amp;IF(V62&lt;&gt;"","Corticoide/DART: "&amp;V62,"Sem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("&amp;Intervenções!$G$2:$G$500&amp;")",(Intervenções!$B$2:$B$500=A62)*(Intervenções!$A$2:$A$500=F62))),"Nenhuma intervenção registrada hoje.")&amp;CHAR(10)&amp;CHAR(10)&amp;"4. Plano Terapêutico"&amp;CHAR(10)&amp;IF(W62&lt;&gt;"",W62,"Não definido.")</f>
      </c>
    </row>
    <row r="63" spans="1:24" x14ac:dyDescent="0.25">
      <c r="A63" s="6"/>
      <c r="B63" s="9">
        <f>IFERROR(INDEX(Pacientes!$A:$A,MATCH($A63,Pacientes!$B:$B,0)),"")</f>
      </c>
      <c r="C63" s="9">
        <f>IFERROR(INDEX(Pacientes!$C:$C,MATCH($A63,Pacientes!$B:$B,0)),"")</f>
      </c>
      <c r="D63" s="9">
        <f>IFERROR(INDEX(Pacientes!$D:$D,MATCH($A63,Pacientes!$B:$B,0)),"")</f>
      </c>
      <c r="E63" s="9">
        <f>IFERROR(INDEX(Pacientes!$E:$E,MATCH($A63,Pacientes!$B:$B,0)),"")</f>
      </c>
      <c r="F63" s="7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>
        <f>"1. Evolução Clínica"&amp;CHAR(10)&amp;TEXTJOIN(" ",TRUE,"Paciente "&amp;G63&amp;", "&amp;IF(H63="","sem DVA","em uso de "&amp;H63)&amp;".",IF(I63&lt;&gt;"","Em "&amp;I63&amp;IF(J63&lt;&gt;""," ("&amp;J63&amp;")","")&amp;IF(K63&lt;&gt;"", ", "&amp;K63,"")&amp;IF(L63&lt;&gt;"", ", sob analgosedação com "&amp;L63,"")&amp;".",""),IF(M63&lt;&gt;"","Dieta "&amp;M63&amp;IF(N63&lt;&gt;"", ", com "&amp;LOWER(N63),"")&amp;IF(O63&lt;&gt;"", " — "&amp;O63,"")&amp;".",""),IF(P63="Febre","Apresentou episódio febril nas últimas 24h"&amp;IF(Q63&lt;&gt;""," ("&amp;Q63&amp;")","")&amp;".",IF(P63="Afebril","Encontra-se afebril.","")),IF(R63&lt;&gt;"",IF(S63="Sim","Apresenta disfunção renal aguda ","Função renal preservada ")&amp;"("&amp;R63&amp;").",""),IF(T63&lt;&gt;"","Em uso do esquema antimicrobiano com "&amp;T63&amp;".",""),IF(U63&lt;&gt;"","Em uso de profilaxia: "&amp;U63&amp;".",""))&amp;CHAR(10)&amp;CHAR(10)&amp;"2. Farmacoterapia"&amp;CHAR(10)&amp;IF(V63&lt;&gt;"","Corticoide/DART: "&amp;V63,"Sem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("&amp;Intervenções!$G$2:$G$500&amp;")",(Intervenções!$B$2:$B$500=A63)*(Intervenções!$A$2:$A$500=F63))),"Nenhuma intervenção registrada hoje.")&amp;CHAR(10)&amp;CHAR(10)&amp;"4. Plano Terapêutico"&amp;CHAR(10)&amp;IF(W63&lt;&gt;"",W63,"Não definido.")</f>
      </c>
    </row>
    <row r="64" spans="1:24" x14ac:dyDescent="0.25">
      <c r="A64" s="6"/>
      <c r="B64" s="9">
        <f>IFERROR(INDEX(Pacientes!$A:$A,MATCH($A64,Pacientes!$B:$B,0)),"")</f>
      </c>
      <c r="C64" s="9">
        <f>IFERROR(INDEX(Pacientes!$C:$C,MATCH($A64,Pacientes!$B:$B,0)),"")</f>
      </c>
      <c r="D64" s="9">
        <f>IFERROR(INDEX(Pacientes!$D:$D,MATCH($A64,Pacientes!$B:$B,0)),"")</f>
      </c>
      <c r="E64" s="9">
        <f>IFERROR(INDEX(Pacientes!$E:$E,MATCH($A64,Pacientes!$B:$B,0)),"")</f>
      </c>
      <c r="F64" s="7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>
        <f>"1. Evolução Clínica"&amp;CHAR(10)&amp;TEXTJOIN(" ",TRUE,"Paciente "&amp;G64&amp;", "&amp;IF(H64="","sem DVA","em uso de "&amp;H64)&amp;".",IF(I64&lt;&gt;"","Em "&amp;I64&amp;IF(J64&lt;&gt;""," ("&amp;J64&amp;")","")&amp;IF(K64&lt;&gt;"", ", "&amp;K64,"")&amp;IF(L64&lt;&gt;"", ", sob analgosedação com "&amp;L64,"")&amp;".",""),IF(M64&lt;&gt;"","Dieta "&amp;M64&amp;IF(N64&lt;&gt;"", ", com "&amp;LOWER(N64),"")&amp;IF(O64&lt;&gt;"", " — "&amp;O64,"")&amp;".",""),IF(P64="Febre","Apresentou episódio febril nas últimas 24h"&amp;IF(Q64&lt;&gt;""," ("&amp;Q64&amp;")","")&amp;".",IF(P64="Afebril","Encontra-se afebril.","")),IF(R64&lt;&gt;"",IF(S64="Sim","Apresenta disfunção renal aguda ","Função renal preservada ")&amp;"("&amp;R64&amp;").",""),IF(T64&lt;&gt;"","Em uso do esquema antimicrobiano com "&amp;T64&amp;".",""),IF(U64&lt;&gt;"","Em uso de profilaxia: "&amp;U64&amp;".",""))&amp;CHAR(10)&amp;CHAR(10)&amp;"2. Farmacoterapia"&amp;CHAR(10)&amp;IF(V64&lt;&gt;"","Corticoide/DART: "&amp;V64,"Sem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("&amp;Intervenções!$G$2:$G$500&amp;")",(Intervenções!$B$2:$B$500=A64)*(Intervenções!$A$2:$A$500=F64))),"Nenhuma intervenção registrada hoje.")&amp;CHAR(10)&amp;CHAR(10)&amp;"4. Plano Terapêutico"&amp;CHAR(10)&amp;IF(W64&lt;&gt;"",W64,"Não definido.")</f>
      </c>
    </row>
    <row r="65" spans="1:24" x14ac:dyDescent="0.25">
      <c r="A65" s="6"/>
      <c r="B65" s="9">
        <f>IFERROR(INDEX(Pacientes!$A:$A,MATCH($A65,Pacientes!$B:$B,0)),"")</f>
      </c>
      <c r="C65" s="9">
        <f>IFERROR(INDEX(Pacientes!$C:$C,MATCH($A65,Pacientes!$B:$B,0)),"")</f>
      </c>
      <c r="D65" s="9">
        <f>IFERROR(INDEX(Pacientes!$D:$D,MATCH($A65,Pacientes!$B:$B,0)),"")</f>
      </c>
      <c r="E65" s="9">
        <f>IFERROR(INDEX(Pacientes!$E:$E,MATCH($A65,Pacientes!$B:$B,0)),"")</f>
      </c>
      <c r="F65" s="7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>
        <f>"1. Evolução Clínica"&amp;CHAR(10)&amp;TEXTJOIN(" ",TRUE,"Paciente "&amp;G65&amp;", "&amp;IF(H65="","sem DVA","em uso de "&amp;H65)&amp;".",IF(I65&lt;&gt;"","Em "&amp;I65&amp;IF(J65&lt;&gt;""," ("&amp;J65&amp;")","")&amp;IF(K65&lt;&gt;"", ", "&amp;K65,"")&amp;IF(L65&lt;&gt;"", ", sob analgosedação com "&amp;L65,"")&amp;".",""),IF(M65&lt;&gt;"","Dieta "&amp;M65&amp;IF(N65&lt;&gt;"", ", com "&amp;LOWER(N65),"")&amp;IF(O65&lt;&gt;"", " — "&amp;O65,"")&amp;".",""),IF(P65="Febre","Apresentou episódio febril nas últimas 24h"&amp;IF(Q65&lt;&gt;""," ("&amp;Q65&amp;")","")&amp;".",IF(P65="Afebril","Encontra-se afebril.","")),IF(R65&lt;&gt;"",IF(S65="Sim","Apresenta disfunção renal aguda ","Função renal preservada ")&amp;"("&amp;R65&amp;").",""),IF(T65&lt;&gt;"","Em uso do esquema antimicrobiano com "&amp;T65&amp;".",""),IF(U65&lt;&gt;"","Em uso de profilaxia: "&amp;U65&amp;".",""))&amp;CHAR(10)&amp;CHAR(10)&amp;"2. Farmacoterapia"&amp;CHAR(10)&amp;IF(V65&lt;&gt;"","Corticoide/DART: "&amp;V65,"Sem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("&amp;Intervenções!$G$2:$G$500&amp;")",(Intervenções!$B$2:$B$500=A65)*(Intervenções!$A$2:$A$500=F65))),"Nenhuma intervenção registrada hoje.")&amp;CHAR(10)&amp;CHAR(10)&amp;"4. Plano Terapêutico"&amp;CHAR(10)&amp;IF(W65&lt;&gt;"",W65,"Não definido.")</f>
      </c>
    </row>
    <row r="66" spans="1:24" x14ac:dyDescent="0.25">
      <c r="A66" s="6"/>
      <c r="B66" s="9">
        <f>IFERROR(INDEX(Pacientes!$A:$A,MATCH($A66,Pacientes!$B:$B,0)),"")</f>
      </c>
      <c r="C66" s="9">
        <f>IFERROR(INDEX(Pacientes!$C:$C,MATCH($A66,Pacientes!$B:$B,0)),"")</f>
      </c>
      <c r="D66" s="9">
        <f>IFERROR(INDEX(Pacientes!$D:$D,MATCH($A66,Pacientes!$B:$B,0)),"")</f>
      </c>
      <c r="E66" s="9">
        <f>IFERROR(INDEX(Pacientes!$E:$E,MATCH($A66,Pacientes!$B:$B,0)),"")</f>
      </c>
      <c r="F66" s="7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>
        <f>"1. Evolução Clínica"&amp;CHAR(10)&amp;TEXTJOIN(" ",TRUE,"Paciente "&amp;G66&amp;", "&amp;IF(H66="","sem DVA","em uso de "&amp;H66)&amp;".",IF(I66&lt;&gt;"","Em "&amp;I66&amp;IF(J66&lt;&gt;""," ("&amp;J66&amp;")","")&amp;IF(K66&lt;&gt;"", ", "&amp;K66,"")&amp;IF(L66&lt;&gt;"", ", sob analgosedação com "&amp;L66,"")&amp;".",""),IF(M66&lt;&gt;"","Dieta "&amp;M66&amp;IF(N66&lt;&gt;"", ", com "&amp;LOWER(N66),"")&amp;IF(O66&lt;&gt;"", " — "&amp;O66,"")&amp;".",""),IF(P66="Febre","Apresentou episódio febril nas últimas 24h"&amp;IF(Q66&lt;&gt;""," ("&amp;Q66&amp;")","")&amp;".",IF(P66="Afebril","Encontra-se afebril.","")),IF(R66&lt;&gt;"",IF(S66="Sim","Apresenta disfunção renal aguda ","Função renal preservada ")&amp;"("&amp;R66&amp;").",""),IF(T66&lt;&gt;"","Em uso do esquema antimicrobiano com "&amp;T66&amp;".",""),IF(U66&lt;&gt;"","Em uso de profilaxia: "&amp;U66&amp;".",""))&amp;CHAR(10)&amp;CHAR(10)&amp;"2. Farmacoterapia"&amp;CHAR(10)&amp;IF(V66&lt;&gt;"","Corticoide/DART: "&amp;V66,"Sem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("&amp;Intervenções!$G$2:$G$500&amp;")",(Intervenções!$B$2:$B$500=A66)*(Intervenções!$A$2:$A$500=F66))),"Nenhuma intervenção registrada hoje.")&amp;CHAR(10)&amp;CHAR(10)&amp;"4. Plano Terapêutico"&amp;CHAR(10)&amp;IF(W66&lt;&gt;"",W66,"Não definido.")</f>
      </c>
    </row>
    <row r="67" spans="1:24" x14ac:dyDescent="0.25">
      <c r="A67" s="6"/>
      <c r="B67" s="9">
        <f>IFERROR(INDEX(Pacientes!$A:$A,MATCH($A67,Pacientes!$B:$B,0)),"")</f>
      </c>
      <c r="C67" s="9">
        <f>IFERROR(INDEX(Pacientes!$C:$C,MATCH($A67,Pacientes!$B:$B,0)),"")</f>
      </c>
      <c r="D67" s="9">
        <f>IFERROR(INDEX(Pacientes!$D:$D,MATCH($A67,Pacientes!$B:$B,0)),"")</f>
      </c>
      <c r="E67" s="9">
        <f>IFERROR(INDEX(Pacientes!$E:$E,MATCH($A67,Pacientes!$B:$B,0)),"")</f>
      </c>
      <c r="F67" s="7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>
        <f>"1. Evolução Clínica"&amp;CHAR(10)&amp;TEXTJOIN(" ",TRUE,"Paciente "&amp;G67&amp;", "&amp;IF(H67="","sem DVA","em uso de "&amp;H67)&amp;".",IF(I67&lt;&gt;"","Em "&amp;I67&amp;IF(J67&lt;&gt;""," ("&amp;J67&amp;")","")&amp;IF(K67&lt;&gt;"", ", "&amp;K67,"")&amp;IF(L67&lt;&gt;"", ", sob analgosedação com "&amp;L67,"")&amp;".",""),IF(M67&lt;&gt;"","Dieta "&amp;M67&amp;IF(N67&lt;&gt;"", ", com "&amp;LOWER(N67),"")&amp;IF(O67&lt;&gt;"", " — "&amp;O67,"")&amp;".",""),IF(P67="Febre","Apresentou episódio febril nas últimas 24h"&amp;IF(Q67&lt;&gt;""," ("&amp;Q67&amp;")","")&amp;".",IF(P67="Afebril","Encontra-se afebril.","")),IF(R67&lt;&gt;"",IF(S67="Sim","Apresenta disfunção renal aguda ","Função renal preservada ")&amp;"("&amp;R67&amp;").",""),IF(T67&lt;&gt;"","Em uso do esquema antimicrobiano com "&amp;T67&amp;".",""),IF(U67&lt;&gt;"","Em uso de profilaxia: "&amp;U67&amp;".",""))&amp;CHAR(10)&amp;CHAR(10)&amp;"2. Farmacoterapia"&amp;CHAR(10)&amp;IF(V67&lt;&gt;"","Corticoide/DART: "&amp;V67,"Sem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("&amp;Intervenções!$G$2:$G$500&amp;")",(Intervenções!$B$2:$B$500=A67)*(Intervenções!$A$2:$A$500=F67))),"Nenhuma intervenção registrada hoje.")&amp;CHAR(10)&amp;CHAR(10)&amp;"4. Plano Terapêutico"&amp;CHAR(10)&amp;IF(W67&lt;&gt;"",W67,"Não definido.")</f>
      </c>
    </row>
    <row r="68" spans="1:24" x14ac:dyDescent="0.25">
      <c r="A68" s="6"/>
      <c r="B68" s="9">
        <f>IFERROR(INDEX(Pacientes!$A:$A,MATCH($A68,Pacientes!$B:$B,0)),"")</f>
      </c>
      <c r="C68" s="9">
        <f>IFERROR(INDEX(Pacientes!$C:$C,MATCH($A68,Pacientes!$B:$B,0)),"")</f>
      </c>
      <c r="D68" s="9">
        <f>IFERROR(INDEX(Pacientes!$D:$D,MATCH($A68,Pacientes!$B:$B,0)),"")</f>
      </c>
      <c r="E68" s="9">
        <f>IFERROR(INDEX(Pacientes!$E:$E,MATCH($A68,Pacientes!$B:$B,0)),"")</f>
      </c>
      <c r="F68" s="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>
        <f>"1. Evolução Clínica"&amp;CHAR(10)&amp;TEXTJOIN(" ",TRUE,"Paciente "&amp;G68&amp;", "&amp;IF(H68="","sem DVA","em uso de "&amp;H68)&amp;".",IF(I68&lt;&gt;"","Em "&amp;I68&amp;IF(J68&lt;&gt;""," ("&amp;J68&amp;")","")&amp;IF(K68&lt;&gt;"", ", "&amp;K68,"")&amp;IF(L68&lt;&gt;"", ", sob analgosedação com "&amp;L68,"")&amp;".",""),IF(M68&lt;&gt;"","Dieta "&amp;M68&amp;IF(N68&lt;&gt;"", ", com "&amp;LOWER(N68),"")&amp;IF(O68&lt;&gt;"", " — "&amp;O68,"")&amp;".",""),IF(P68="Febre","Apresentou episódio febril nas últimas 24h"&amp;IF(Q68&lt;&gt;""," ("&amp;Q68&amp;")","")&amp;".",IF(P68="Afebril","Encontra-se afebril.","")),IF(R68&lt;&gt;"",IF(S68="Sim","Apresenta disfunção renal aguda ","Função renal preservada ")&amp;"("&amp;R68&amp;").",""),IF(T68&lt;&gt;"","Em uso do esquema antimicrobiano com "&amp;T68&amp;".",""),IF(U68&lt;&gt;"","Em uso de profilaxia: "&amp;U68&amp;".",""))&amp;CHAR(10)&amp;CHAR(10)&amp;"2. Farmacoterapia"&amp;CHAR(10)&amp;IF(V68&lt;&gt;"","Corticoide/DART: "&amp;V68,"Sem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("&amp;Intervenções!$G$2:$G$500&amp;")",(Intervenções!$B$2:$B$500=A68)*(Intervenções!$A$2:$A$500=F68))),"Nenhuma intervenção registrada hoje.")&amp;CHAR(10)&amp;CHAR(10)&amp;"4. Plano Terapêutico"&amp;CHAR(10)&amp;IF(W68&lt;&gt;"",W68,"Não definido.")</f>
      </c>
    </row>
    <row r="69" spans="1:24" x14ac:dyDescent="0.25">
      <c r="A69" s="6"/>
      <c r="B69" s="9">
        <f>IFERROR(INDEX(Pacientes!$A:$A,MATCH($A69,Pacientes!$B:$B,0)),"")</f>
      </c>
      <c r="C69" s="9">
        <f>IFERROR(INDEX(Pacientes!$C:$C,MATCH($A69,Pacientes!$B:$B,0)),"")</f>
      </c>
      <c r="D69" s="9">
        <f>IFERROR(INDEX(Pacientes!$D:$D,MATCH($A69,Pacientes!$B:$B,0)),"")</f>
      </c>
      <c r="E69" s="9">
        <f>IFERROR(INDEX(Pacientes!$E:$E,MATCH($A69,Pacientes!$B:$B,0)),"")</f>
      </c>
      <c r="F69" s="7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f>"1. Evolução Clínica"&amp;CHAR(10)&amp;TEXTJOIN(" ",TRUE,"Paciente "&amp;G69&amp;", "&amp;IF(H69="","sem DVA","em uso de "&amp;H69)&amp;".",IF(I69&lt;&gt;"","Em "&amp;I69&amp;IF(J69&lt;&gt;""," ("&amp;J69&amp;")","")&amp;IF(K69&lt;&gt;"", ", "&amp;K69,"")&amp;IF(L69&lt;&gt;"", ", sob analgosedação com "&amp;L69,"")&amp;".",""),IF(M69&lt;&gt;"","Dieta "&amp;M69&amp;IF(N69&lt;&gt;"", ", com "&amp;LOWER(N69),"")&amp;IF(O69&lt;&gt;"", " — "&amp;O69,"")&amp;".",""),IF(P69="Febre","Apresentou episódio febril nas últimas 24h"&amp;IF(Q69&lt;&gt;""," ("&amp;Q69&amp;")","")&amp;".",IF(P69="Afebril","Encontra-se afebril.","")),IF(R69&lt;&gt;"",IF(S69="Sim","Apresenta disfunção renal aguda ","Função renal preservada ")&amp;"("&amp;R69&amp;").",""),IF(T69&lt;&gt;"","Em uso do esquema antimicrobiano com "&amp;T69&amp;".",""),IF(U69&lt;&gt;"","Em uso de profilaxia: "&amp;U69&amp;".",""))&amp;CHAR(10)&amp;CHAR(10)&amp;"2. Farmacoterapia"&amp;CHAR(10)&amp;IF(V69&lt;&gt;"","Corticoide/DART: "&amp;V69,"Sem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("&amp;Intervenções!$G$2:$G$500&amp;")",(Intervenções!$B$2:$B$500=A69)*(Intervenções!$A$2:$A$500=F69))),"Nenhuma intervenção registrada hoje.")&amp;CHAR(10)&amp;CHAR(10)&amp;"4. Plano Terapêutico"&amp;CHAR(10)&amp;IF(W69&lt;&gt;"",W69,"Não definido.")</f>
      </c>
    </row>
    <row r="70" spans="1:24" x14ac:dyDescent="0.25">
      <c r="A70" s="6"/>
      <c r="B70" s="9">
        <f>IFERROR(INDEX(Pacientes!$A:$A,MATCH($A70,Pacientes!$B:$B,0)),"")</f>
      </c>
      <c r="C70" s="9">
        <f>IFERROR(INDEX(Pacientes!$C:$C,MATCH($A70,Pacientes!$B:$B,0)),"")</f>
      </c>
      <c r="D70" s="9">
        <f>IFERROR(INDEX(Pacientes!$D:$D,MATCH($A70,Pacientes!$B:$B,0)),"")</f>
      </c>
      <c r="E70" s="9">
        <f>IFERROR(INDEX(Pacientes!$E:$E,MATCH($A70,Pacientes!$B:$B,0)),"")</f>
      </c>
      <c r="F70" s="7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>
        <f>"1. Evolução Clínica"&amp;CHAR(10)&amp;TEXTJOIN(" ",TRUE,"Paciente "&amp;G70&amp;", "&amp;IF(H70="","sem DVA","em uso de "&amp;H70)&amp;".",IF(I70&lt;&gt;"","Em "&amp;I70&amp;IF(J70&lt;&gt;""," ("&amp;J70&amp;")","")&amp;IF(K70&lt;&gt;"", ", "&amp;K70,"")&amp;IF(L70&lt;&gt;"", ", sob analgosedação com "&amp;L70,"")&amp;".",""),IF(M70&lt;&gt;"","Dieta "&amp;M70&amp;IF(N70&lt;&gt;"", ", com "&amp;LOWER(N70),"")&amp;IF(O70&lt;&gt;"", " — "&amp;O70,"")&amp;".",""),IF(P70="Febre","Apresentou episódio febril nas últimas 24h"&amp;IF(Q70&lt;&gt;""," ("&amp;Q70&amp;")","")&amp;".",IF(P70="Afebril","Encontra-se afebril.","")),IF(R70&lt;&gt;"",IF(S70="Sim","Apresenta disfunção renal aguda ","Função renal preservada ")&amp;"("&amp;R70&amp;").",""),IF(T70&lt;&gt;"","Em uso do esquema antimicrobiano com "&amp;T70&amp;".",""),IF(U70&lt;&gt;"","Em uso de profilaxia: "&amp;U70&amp;".",""))&amp;CHAR(10)&amp;CHAR(10)&amp;"2. Farmacoterapia"&amp;CHAR(10)&amp;IF(V70&lt;&gt;"","Corticoide/DART: "&amp;V70,"Sem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("&amp;Intervenções!$G$2:$G$500&amp;")",(Intervenções!$B$2:$B$500=A70)*(Intervenções!$A$2:$A$500=F70))),"Nenhuma intervenção registrada hoje.")&amp;CHAR(10)&amp;CHAR(10)&amp;"4. Plano Terapêutico"&amp;CHAR(10)&amp;IF(W70&lt;&gt;"",W70,"Não definido.")</f>
      </c>
    </row>
    <row r="71" spans="1:24" x14ac:dyDescent="0.25">
      <c r="A71" s="6"/>
      <c r="B71" s="9">
        <f>IFERROR(INDEX(Pacientes!$A:$A,MATCH($A71,Pacientes!$B:$B,0)),"")</f>
      </c>
      <c r="C71" s="9">
        <f>IFERROR(INDEX(Pacientes!$C:$C,MATCH($A71,Pacientes!$B:$B,0)),"")</f>
      </c>
      <c r="D71" s="9">
        <f>IFERROR(INDEX(Pacientes!$D:$D,MATCH($A71,Pacientes!$B:$B,0)),"")</f>
      </c>
      <c r="E71" s="9">
        <f>IFERROR(INDEX(Pacientes!$E:$E,MATCH($A71,Pacientes!$B:$B,0)),"")</f>
      </c>
      <c r="F71" s="7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>
        <f>"1. Evolução Clínica"&amp;CHAR(10)&amp;TEXTJOIN(" ",TRUE,"Paciente "&amp;G71&amp;", "&amp;IF(H71="","sem DVA","em uso de "&amp;H71)&amp;".",IF(I71&lt;&gt;"","Em "&amp;I71&amp;IF(J71&lt;&gt;""," ("&amp;J71&amp;")","")&amp;IF(K71&lt;&gt;"", ", "&amp;K71,"")&amp;IF(L71&lt;&gt;"", ", sob analgosedação com "&amp;L71,"")&amp;".",""),IF(M71&lt;&gt;"","Dieta "&amp;M71&amp;IF(N71&lt;&gt;"", ", com "&amp;LOWER(N71),"")&amp;IF(O71&lt;&gt;"", " — "&amp;O71,"")&amp;".",""),IF(P71="Febre","Apresentou episódio febril nas últimas 24h"&amp;IF(Q71&lt;&gt;""," ("&amp;Q71&amp;")","")&amp;".",IF(P71="Afebril","Encontra-se afebril.","")),IF(R71&lt;&gt;"",IF(S71="Sim","Apresenta disfunção renal aguda ","Função renal preservada ")&amp;"("&amp;R71&amp;").",""),IF(T71&lt;&gt;"","Em uso do esquema antimicrobiano com "&amp;T71&amp;".",""),IF(U71&lt;&gt;"","Em uso de profilaxia: "&amp;U71&amp;".",""))&amp;CHAR(10)&amp;CHAR(10)&amp;"2. Farmacoterapia"&amp;CHAR(10)&amp;IF(V71&lt;&gt;"","Corticoide/DART: "&amp;V71,"Sem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("&amp;Intervenções!$G$2:$G$500&amp;")",(Intervenções!$B$2:$B$500=A71)*(Intervenções!$A$2:$A$500=F71))),"Nenhuma intervenção registrada hoje.")&amp;CHAR(10)&amp;CHAR(10)&amp;"4. Plano Terapêutico"&amp;CHAR(10)&amp;IF(W71&lt;&gt;"",W71,"Não definido.")</f>
      </c>
    </row>
    <row r="72" spans="1:24" x14ac:dyDescent="0.25">
      <c r="A72" s="6"/>
      <c r="B72" s="9">
        <f>IFERROR(INDEX(Pacientes!$A:$A,MATCH($A72,Pacientes!$B:$B,0)),"")</f>
      </c>
      <c r="C72" s="9">
        <f>IFERROR(INDEX(Pacientes!$C:$C,MATCH($A72,Pacientes!$B:$B,0)),"")</f>
      </c>
      <c r="D72" s="9">
        <f>IFERROR(INDEX(Pacientes!$D:$D,MATCH($A72,Pacientes!$B:$B,0)),"")</f>
      </c>
      <c r="E72" s="9">
        <f>IFERROR(INDEX(Pacientes!$E:$E,MATCH($A72,Pacientes!$B:$B,0)),"")</f>
      </c>
      <c r="F72" s="7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>
        <f>"1. Evolução Clínica"&amp;CHAR(10)&amp;TEXTJOIN(" ",TRUE,"Paciente "&amp;G72&amp;", "&amp;IF(H72="","sem DVA","em uso de "&amp;H72)&amp;".",IF(I72&lt;&gt;"","Em "&amp;I72&amp;IF(J72&lt;&gt;""," ("&amp;J72&amp;")","")&amp;IF(K72&lt;&gt;"", ", "&amp;K72,"")&amp;IF(L72&lt;&gt;"", ", sob analgosedação com "&amp;L72,"")&amp;".",""),IF(M72&lt;&gt;"","Dieta "&amp;M72&amp;IF(N72&lt;&gt;"", ", com "&amp;LOWER(N72),"")&amp;IF(O72&lt;&gt;"", " — "&amp;O72,"")&amp;".",""),IF(P72="Febre","Apresentou episódio febril nas últimas 24h"&amp;IF(Q72&lt;&gt;""," ("&amp;Q72&amp;")","")&amp;".",IF(P72="Afebril","Encontra-se afebril.","")),IF(R72&lt;&gt;"",IF(S72="Sim","Apresenta disfunção renal aguda ","Função renal preservada ")&amp;"("&amp;R72&amp;").",""),IF(T72&lt;&gt;"","Em uso do esquema antimicrobiano com "&amp;T72&amp;".",""),IF(U72&lt;&gt;"","Em uso de profilaxia: "&amp;U72&amp;".",""))&amp;CHAR(10)&amp;CHAR(10)&amp;"2. Farmacoterapia"&amp;CHAR(10)&amp;IF(V72&lt;&gt;"","Corticoide/DART: "&amp;V72,"Sem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("&amp;Intervenções!$G$2:$G$500&amp;")",(Intervenções!$B$2:$B$500=A72)*(Intervenções!$A$2:$A$500=F72))),"Nenhuma intervenção registrada hoje.")&amp;CHAR(10)&amp;CHAR(10)&amp;"4. Plano Terapêutico"&amp;CHAR(10)&amp;IF(W72&lt;&gt;"",W72,"Não definido.")</f>
      </c>
    </row>
    <row r="73" spans="1:24" x14ac:dyDescent="0.25">
      <c r="A73" s="6"/>
      <c r="B73" s="9">
        <f>IFERROR(INDEX(Pacientes!$A:$A,MATCH($A73,Pacientes!$B:$B,0)),"")</f>
      </c>
      <c r="C73" s="9">
        <f>IFERROR(INDEX(Pacientes!$C:$C,MATCH($A73,Pacientes!$B:$B,0)),"")</f>
      </c>
      <c r="D73" s="9">
        <f>IFERROR(INDEX(Pacientes!$D:$D,MATCH($A73,Pacientes!$B:$B,0)),"")</f>
      </c>
      <c r="E73" s="9">
        <f>IFERROR(INDEX(Pacientes!$E:$E,MATCH($A73,Pacientes!$B:$B,0)),"")</f>
      </c>
      <c r="F73" s="7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>
        <f>"1. Evolução Clínica"&amp;CHAR(10)&amp;TEXTJOIN(" ",TRUE,"Paciente "&amp;G73&amp;", "&amp;IF(H73="","sem DVA","em uso de "&amp;H73)&amp;".",IF(I73&lt;&gt;"","Em "&amp;I73&amp;IF(J73&lt;&gt;""," ("&amp;J73&amp;")","")&amp;IF(K73&lt;&gt;"", ", "&amp;K73,"")&amp;IF(L73&lt;&gt;"", ", sob analgosedação com "&amp;L73,"")&amp;".",""),IF(M73&lt;&gt;"","Dieta "&amp;M73&amp;IF(N73&lt;&gt;"", ", com "&amp;LOWER(N73),"")&amp;IF(O73&lt;&gt;"", " — "&amp;O73,"")&amp;".",""),IF(P73="Febre","Apresentou episódio febril nas últimas 24h"&amp;IF(Q73&lt;&gt;""," ("&amp;Q73&amp;")","")&amp;".",IF(P73="Afebril","Encontra-se afebril.","")),IF(R73&lt;&gt;"",IF(S73="Sim","Apresenta disfunção renal aguda ","Função renal preservada ")&amp;"("&amp;R73&amp;").",""),IF(T73&lt;&gt;"","Em uso do esquema antimicrobiano com "&amp;T73&amp;".",""),IF(U73&lt;&gt;"","Em uso de profilaxia: "&amp;U73&amp;".",""))&amp;CHAR(10)&amp;CHAR(10)&amp;"2. Farmacoterapia"&amp;CHAR(10)&amp;IF(V73&lt;&gt;"","Corticoide/DART: "&amp;V73,"Sem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("&amp;Intervenções!$G$2:$G$500&amp;")",(Intervenções!$B$2:$B$500=A73)*(Intervenções!$A$2:$A$500=F73))),"Nenhuma intervenção registrada hoje.")&amp;CHAR(10)&amp;CHAR(10)&amp;"4. Plano Terapêutico"&amp;CHAR(10)&amp;IF(W73&lt;&gt;"",W73,"Não definido.")</f>
      </c>
    </row>
    <row r="74" spans="1:24" x14ac:dyDescent="0.25">
      <c r="A74" s="6"/>
      <c r="B74" s="9">
        <f>IFERROR(INDEX(Pacientes!$A:$A,MATCH($A74,Pacientes!$B:$B,0)),"")</f>
      </c>
      <c r="C74" s="9">
        <f>IFERROR(INDEX(Pacientes!$C:$C,MATCH($A74,Pacientes!$B:$B,0)),"")</f>
      </c>
      <c r="D74" s="9">
        <f>IFERROR(INDEX(Pacientes!$D:$D,MATCH($A74,Pacientes!$B:$B,0)),"")</f>
      </c>
      <c r="E74" s="9">
        <f>IFERROR(INDEX(Pacientes!$E:$E,MATCH($A74,Pacientes!$B:$B,0)),"")</f>
      </c>
      <c r="F74" s="7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>
        <f>"1. Evolução Clínica"&amp;CHAR(10)&amp;TEXTJOIN(" ",TRUE,"Paciente "&amp;G74&amp;", "&amp;IF(H74="","sem DVA","em uso de "&amp;H74)&amp;".",IF(I74&lt;&gt;"","Em "&amp;I74&amp;IF(J74&lt;&gt;""," ("&amp;J74&amp;")","")&amp;IF(K74&lt;&gt;"", ", "&amp;K74,"")&amp;IF(L74&lt;&gt;"", ", sob analgosedação com "&amp;L74,"")&amp;".",""),IF(M74&lt;&gt;"","Dieta "&amp;M74&amp;IF(N74&lt;&gt;"", ", com "&amp;LOWER(N74),"")&amp;IF(O74&lt;&gt;"", " — "&amp;O74,"")&amp;".",""),IF(P74="Febre","Apresentou episódio febril nas últimas 24h"&amp;IF(Q74&lt;&gt;""," ("&amp;Q74&amp;")","")&amp;".",IF(P74="Afebril","Encontra-se afebril.","")),IF(R74&lt;&gt;"",IF(S74="Sim","Apresenta disfunção renal aguda ","Função renal preservada ")&amp;"("&amp;R74&amp;").",""),IF(T74&lt;&gt;"","Em uso do esquema antimicrobiano com "&amp;T74&amp;".",""),IF(U74&lt;&gt;"","Em uso de profilaxia: "&amp;U74&amp;".",""))&amp;CHAR(10)&amp;CHAR(10)&amp;"2. Farmacoterapia"&amp;CHAR(10)&amp;IF(V74&lt;&gt;"","Corticoide/DART: "&amp;V74,"Sem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("&amp;Intervenções!$G$2:$G$500&amp;")",(Intervenções!$B$2:$B$500=A74)*(Intervenções!$A$2:$A$500=F74))),"Nenhuma intervenção registrada hoje.")&amp;CHAR(10)&amp;CHAR(10)&amp;"4. Plano Terapêutico"&amp;CHAR(10)&amp;IF(W74&lt;&gt;"",W74,"Não definido.")</f>
      </c>
    </row>
    <row r="75" spans="1:24" x14ac:dyDescent="0.25">
      <c r="A75" s="6"/>
      <c r="B75" s="9">
        <f>IFERROR(INDEX(Pacientes!$A:$A,MATCH($A75,Pacientes!$B:$B,0)),"")</f>
      </c>
      <c r="C75" s="9">
        <f>IFERROR(INDEX(Pacientes!$C:$C,MATCH($A75,Pacientes!$B:$B,0)),"")</f>
      </c>
      <c r="D75" s="9">
        <f>IFERROR(INDEX(Pacientes!$D:$D,MATCH($A75,Pacientes!$B:$B,0)),"")</f>
      </c>
      <c r="E75" s="9">
        <f>IFERROR(INDEX(Pacientes!$E:$E,MATCH($A75,Pacientes!$B:$B,0)),"")</f>
      </c>
      <c r="F75" s="7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>
        <f>"1. Evolução Clínica"&amp;CHAR(10)&amp;TEXTJOIN(" ",TRUE,"Paciente "&amp;G75&amp;", "&amp;IF(H75="","sem DVA","em uso de "&amp;H75)&amp;".",IF(I75&lt;&gt;"","Em "&amp;I75&amp;IF(J75&lt;&gt;""," ("&amp;J75&amp;")","")&amp;IF(K75&lt;&gt;"", ", "&amp;K75,"")&amp;IF(L75&lt;&gt;"", ", sob analgosedação com "&amp;L75,"")&amp;".",""),IF(M75&lt;&gt;"","Dieta "&amp;M75&amp;IF(N75&lt;&gt;"", ", com "&amp;LOWER(N75),"")&amp;IF(O75&lt;&gt;"", " — "&amp;O75,"")&amp;".",""),IF(P75="Febre","Apresentou episódio febril nas últimas 24h"&amp;IF(Q75&lt;&gt;""," ("&amp;Q75&amp;")","")&amp;".",IF(P75="Afebril","Encontra-se afebril.","")),IF(R75&lt;&gt;"",IF(S75="Sim","Apresenta disfunção renal aguda ","Função renal preservada ")&amp;"("&amp;R75&amp;").",""),IF(T75&lt;&gt;"","Em uso do esquema antimicrobiano com "&amp;T75&amp;".",""),IF(U75&lt;&gt;"","Em uso de profilaxia: "&amp;U75&amp;".",""))&amp;CHAR(10)&amp;CHAR(10)&amp;"2. Farmacoterapia"&amp;CHAR(10)&amp;IF(V75&lt;&gt;"","Corticoide/DART: "&amp;V75,"Sem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("&amp;Intervenções!$G$2:$G$500&amp;")",(Intervenções!$B$2:$B$500=A75)*(Intervenções!$A$2:$A$500=F75))),"Nenhuma intervenção registrada hoje.")&amp;CHAR(10)&amp;CHAR(10)&amp;"4. Plano Terapêutico"&amp;CHAR(10)&amp;IF(W75&lt;&gt;"",W75,"Não definido.")</f>
      </c>
    </row>
    <row r="76" spans="1:24" x14ac:dyDescent="0.25">
      <c r="A76" s="6"/>
      <c r="B76" s="9">
        <f>IFERROR(INDEX(Pacientes!$A:$A,MATCH($A76,Pacientes!$B:$B,0)),"")</f>
      </c>
      <c r="C76" s="9">
        <f>IFERROR(INDEX(Pacientes!$C:$C,MATCH($A76,Pacientes!$B:$B,0)),"")</f>
      </c>
      <c r="D76" s="9">
        <f>IFERROR(INDEX(Pacientes!$D:$D,MATCH($A76,Pacientes!$B:$B,0)),"")</f>
      </c>
      <c r="E76" s="9">
        <f>IFERROR(INDEX(Pacientes!$E:$E,MATCH($A76,Pacientes!$B:$B,0)),"")</f>
      </c>
      <c r="F76" s="7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>
        <f>"1. Evolução Clínica"&amp;CHAR(10)&amp;TEXTJOIN(" ",TRUE,"Paciente "&amp;G76&amp;", "&amp;IF(H76="","sem DVA","em uso de "&amp;H76)&amp;".",IF(I76&lt;&gt;"","Em "&amp;I76&amp;IF(J76&lt;&gt;""," ("&amp;J76&amp;")","")&amp;IF(K76&lt;&gt;"", ", "&amp;K76,"")&amp;IF(L76&lt;&gt;"", ", sob analgosedação com "&amp;L76,"")&amp;".",""),IF(M76&lt;&gt;"","Dieta "&amp;M76&amp;IF(N76&lt;&gt;"", ", com "&amp;LOWER(N76),"")&amp;IF(O76&lt;&gt;"", " — "&amp;O76,"")&amp;".",""),IF(P76="Febre","Apresentou episódio febril nas últimas 24h"&amp;IF(Q76&lt;&gt;""," ("&amp;Q76&amp;")","")&amp;".",IF(P76="Afebril","Encontra-se afebril.","")),IF(R76&lt;&gt;"",IF(S76="Sim","Apresenta disfunção renal aguda ","Função renal preservada ")&amp;"("&amp;R76&amp;").",""),IF(T76&lt;&gt;"","Em uso do esquema antimicrobiano com "&amp;T76&amp;".",""),IF(U76&lt;&gt;"","Em uso de profilaxia: "&amp;U76&amp;".",""))&amp;CHAR(10)&amp;CHAR(10)&amp;"2. Farmacoterapia"&amp;CHAR(10)&amp;IF(V76&lt;&gt;"","Corticoide/DART: "&amp;V76,"Sem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("&amp;Intervenções!$G$2:$G$500&amp;")",(Intervenções!$B$2:$B$500=A76)*(Intervenções!$A$2:$A$500=F76))),"Nenhuma intervenção registrada hoje.")&amp;CHAR(10)&amp;CHAR(10)&amp;"4. Plano Terapêutico"&amp;CHAR(10)&amp;IF(W76&lt;&gt;"",W76,"Não definido.")</f>
      </c>
    </row>
    <row r="77" spans="1:24" x14ac:dyDescent="0.25">
      <c r="A77" s="6"/>
      <c r="B77" s="9">
        <f>IFERROR(INDEX(Pacientes!$A:$A,MATCH($A77,Pacientes!$B:$B,0)),"")</f>
      </c>
      <c r="C77" s="9">
        <f>IFERROR(INDEX(Pacientes!$C:$C,MATCH($A77,Pacientes!$B:$B,0)),"")</f>
      </c>
      <c r="D77" s="9">
        <f>IFERROR(INDEX(Pacientes!$D:$D,MATCH($A77,Pacientes!$B:$B,0)),"")</f>
      </c>
      <c r="E77" s="9">
        <f>IFERROR(INDEX(Pacientes!$E:$E,MATCH($A77,Pacientes!$B:$B,0)),"")</f>
      </c>
      <c r="F77" s="7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>
        <f>"1. Evolução Clínica"&amp;CHAR(10)&amp;TEXTJOIN(" ",TRUE,"Paciente "&amp;G77&amp;", "&amp;IF(H77="","sem DVA","em uso de "&amp;H77)&amp;".",IF(I77&lt;&gt;"","Em "&amp;I77&amp;IF(J77&lt;&gt;""," ("&amp;J77&amp;")","")&amp;IF(K77&lt;&gt;"", ", "&amp;K77,"")&amp;IF(L77&lt;&gt;"", ", sob analgosedação com "&amp;L77,"")&amp;".",""),IF(M77&lt;&gt;"","Dieta "&amp;M77&amp;IF(N77&lt;&gt;"", ", com "&amp;LOWER(N77),"")&amp;IF(O77&lt;&gt;"", " — "&amp;O77,"")&amp;".",""),IF(P77="Febre","Apresentou episódio febril nas últimas 24h"&amp;IF(Q77&lt;&gt;""," ("&amp;Q77&amp;")","")&amp;".",IF(P77="Afebril","Encontra-se afebril.","")),IF(R77&lt;&gt;"",IF(S77="Sim","Apresenta disfunção renal aguda ","Função renal preservada ")&amp;"("&amp;R77&amp;").",""),IF(T77&lt;&gt;"","Em uso do esquema antimicrobiano com "&amp;T77&amp;".",""),IF(U77&lt;&gt;"","Em uso de profilaxia: "&amp;U77&amp;".",""))&amp;CHAR(10)&amp;CHAR(10)&amp;"2. Farmacoterapia"&amp;CHAR(10)&amp;IF(V77&lt;&gt;"","Corticoide/DART: "&amp;V77,"Sem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("&amp;Intervenções!$G$2:$G$500&amp;")",(Intervenções!$B$2:$B$500=A77)*(Intervenções!$A$2:$A$500=F77))),"Nenhuma intervenção registrada hoje.")&amp;CHAR(10)&amp;CHAR(10)&amp;"4. Plano Terapêutico"&amp;CHAR(10)&amp;IF(W77&lt;&gt;"",W77,"Não definido.")</f>
      </c>
    </row>
    <row r="78" spans="1:24" x14ac:dyDescent="0.25">
      <c r="A78" s="6"/>
      <c r="B78" s="9">
        <f>IFERROR(INDEX(Pacientes!$A:$A,MATCH($A78,Pacientes!$B:$B,0)),"")</f>
      </c>
      <c r="C78" s="9">
        <f>IFERROR(INDEX(Pacientes!$C:$C,MATCH($A78,Pacientes!$B:$B,0)),"")</f>
      </c>
      <c r="D78" s="9">
        <f>IFERROR(INDEX(Pacientes!$D:$D,MATCH($A78,Pacientes!$B:$B,0)),"")</f>
      </c>
      <c r="E78" s="9">
        <f>IFERROR(INDEX(Pacientes!$E:$E,MATCH($A78,Pacientes!$B:$B,0)),"")</f>
      </c>
      <c r="F78" s="7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>
        <f>"1. Evolução Clínica"&amp;CHAR(10)&amp;TEXTJOIN(" ",TRUE,"Paciente "&amp;G78&amp;", "&amp;IF(H78="","sem DVA","em uso de "&amp;H78)&amp;".",IF(I78&lt;&gt;"","Em "&amp;I78&amp;IF(J78&lt;&gt;""," ("&amp;J78&amp;")","")&amp;IF(K78&lt;&gt;"", ", "&amp;K78,"")&amp;IF(L78&lt;&gt;"", ", sob analgosedação com "&amp;L78,"")&amp;".",""),IF(M78&lt;&gt;"","Dieta "&amp;M78&amp;IF(N78&lt;&gt;"", ", com "&amp;LOWER(N78),"")&amp;IF(O78&lt;&gt;"", " — "&amp;O78,"")&amp;".",""),IF(P78="Febre","Apresentou episódio febril nas últimas 24h"&amp;IF(Q78&lt;&gt;""," ("&amp;Q78&amp;")","")&amp;".",IF(P78="Afebril","Encontra-se afebril.","")),IF(R78&lt;&gt;"",IF(S78="Sim","Apresenta disfunção renal aguda ","Função renal preservada ")&amp;"("&amp;R78&amp;").",""),IF(T78&lt;&gt;"","Em uso do esquema antimicrobiano com "&amp;T78&amp;".",""),IF(U78&lt;&gt;"","Em uso de profilaxia: "&amp;U78&amp;".",""))&amp;CHAR(10)&amp;CHAR(10)&amp;"2. Farmacoterapia"&amp;CHAR(10)&amp;IF(V78&lt;&gt;"","Corticoide/DART: "&amp;V78,"Sem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("&amp;Intervenções!$G$2:$G$500&amp;")",(Intervenções!$B$2:$B$500=A78)*(Intervenções!$A$2:$A$500=F78))),"Nenhuma intervenção registrada hoje.")&amp;CHAR(10)&amp;CHAR(10)&amp;"4. Plano Terapêutico"&amp;CHAR(10)&amp;IF(W78&lt;&gt;"",W78,"Não definido.")</f>
      </c>
    </row>
    <row r="79" spans="1:24" x14ac:dyDescent="0.25">
      <c r="A79" s="6"/>
      <c r="B79" s="9">
        <f>IFERROR(INDEX(Pacientes!$A:$A,MATCH($A79,Pacientes!$B:$B,0)),"")</f>
      </c>
      <c r="C79" s="9">
        <f>IFERROR(INDEX(Pacientes!$C:$C,MATCH($A79,Pacientes!$B:$B,0)),"")</f>
      </c>
      <c r="D79" s="9">
        <f>IFERROR(INDEX(Pacientes!$D:$D,MATCH($A79,Pacientes!$B:$B,0)),"")</f>
      </c>
      <c r="E79" s="9">
        <f>IFERROR(INDEX(Pacientes!$E:$E,MATCH($A79,Pacientes!$B:$B,0)),"")</f>
      </c>
      <c r="F79" s="7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>
        <f>"1. Evolução Clínica"&amp;CHAR(10)&amp;TEXTJOIN(" ",TRUE,"Paciente "&amp;G79&amp;", "&amp;IF(H79="","sem DVA","em uso de "&amp;H79)&amp;".",IF(I79&lt;&gt;"","Em "&amp;I79&amp;IF(J79&lt;&gt;""," ("&amp;J79&amp;")","")&amp;IF(K79&lt;&gt;"", ", "&amp;K79,"")&amp;IF(L79&lt;&gt;"", ", sob analgosedação com "&amp;L79,"")&amp;".",""),IF(M79&lt;&gt;"","Dieta "&amp;M79&amp;IF(N79&lt;&gt;"", ", com "&amp;LOWER(N79),"")&amp;IF(O79&lt;&gt;"", " — "&amp;O79,"")&amp;".",""),IF(P79="Febre","Apresentou episódio febril nas últimas 24h"&amp;IF(Q79&lt;&gt;""," ("&amp;Q79&amp;")","")&amp;".",IF(P79="Afebril","Encontra-se afebril.","")),IF(R79&lt;&gt;"",IF(S79="Sim","Apresenta disfunção renal aguda ","Função renal preservada ")&amp;"("&amp;R79&amp;").",""),IF(T79&lt;&gt;"","Em uso do esquema antimicrobiano com "&amp;T79&amp;".",""),IF(U79&lt;&gt;"","Em uso de profilaxia: "&amp;U79&amp;".",""))&amp;CHAR(10)&amp;CHAR(10)&amp;"2. Farmacoterapia"&amp;CHAR(10)&amp;IF(V79&lt;&gt;"","Corticoide/DART: "&amp;V79,"Sem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("&amp;Intervenções!$G$2:$G$500&amp;")",(Intervenções!$B$2:$B$500=A79)*(Intervenções!$A$2:$A$500=F79))),"Nenhuma intervenção registrada hoje.")&amp;CHAR(10)&amp;CHAR(10)&amp;"4. Plano Terapêutico"&amp;CHAR(10)&amp;IF(W79&lt;&gt;"",W79,"Não definido.")</f>
      </c>
    </row>
    <row r="80" spans="1:24" x14ac:dyDescent="0.25">
      <c r="A80" s="6"/>
      <c r="B80" s="9">
        <f>IFERROR(INDEX(Pacientes!$A:$A,MATCH($A80,Pacientes!$B:$B,0)),"")</f>
      </c>
      <c r="C80" s="9">
        <f>IFERROR(INDEX(Pacientes!$C:$C,MATCH($A80,Pacientes!$B:$B,0)),"")</f>
      </c>
      <c r="D80" s="9">
        <f>IFERROR(INDEX(Pacientes!$D:$D,MATCH($A80,Pacientes!$B:$B,0)),"")</f>
      </c>
      <c r="E80" s="9">
        <f>IFERROR(INDEX(Pacientes!$E:$E,MATCH($A80,Pacientes!$B:$B,0)),"")</f>
      </c>
      <c r="F80" s="7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>
        <f>"1. Evolução Clínica"&amp;CHAR(10)&amp;TEXTJOIN(" ",TRUE,"Paciente "&amp;G80&amp;", "&amp;IF(H80="","sem DVA","em uso de "&amp;H80)&amp;".",IF(I80&lt;&gt;"","Em "&amp;I80&amp;IF(J80&lt;&gt;""," ("&amp;J80&amp;")","")&amp;IF(K80&lt;&gt;"", ", "&amp;K80,"")&amp;IF(L80&lt;&gt;"", ", sob analgosedação com "&amp;L80,"")&amp;".",""),IF(M80&lt;&gt;"","Dieta "&amp;M80&amp;IF(N80&lt;&gt;"", ", com "&amp;LOWER(N80),"")&amp;IF(O80&lt;&gt;"", " — "&amp;O80,"")&amp;".",""),IF(P80="Febre","Apresentou episódio febril nas últimas 24h"&amp;IF(Q80&lt;&gt;""," ("&amp;Q80&amp;")","")&amp;".",IF(P80="Afebril","Encontra-se afebril.","")),IF(R80&lt;&gt;"",IF(S80="Sim","Apresenta disfunção renal aguda ","Função renal preservada ")&amp;"("&amp;R80&amp;").",""),IF(T80&lt;&gt;"","Em uso do esquema antimicrobiano com "&amp;T80&amp;".",""),IF(U80&lt;&gt;"","Em uso de profilaxia: "&amp;U80&amp;".",""))&amp;CHAR(10)&amp;CHAR(10)&amp;"2. Farmacoterapia"&amp;CHAR(10)&amp;IF(V80&lt;&gt;"","Corticoide/DART: "&amp;V80,"Sem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("&amp;Intervenções!$G$2:$G$500&amp;")",(Intervenções!$B$2:$B$500=A80)*(Intervenções!$A$2:$A$500=F80))),"Nenhuma intervenção registrada hoje.")&amp;CHAR(10)&amp;CHAR(10)&amp;"4. Plano Terapêutico"&amp;CHAR(10)&amp;IF(W80&lt;&gt;"",W80,"Não definido.")</f>
      </c>
    </row>
    <row r="81" spans="1:24" x14ac:dyDescent="0.25">
      <c r="A81" s="6"/>
      <c r="B81" s="9">
        <f>IFERROR(INDEX(Pacientes!$A:$A,MATCH($A81,Pacientes!$B:$B,0)),"")</f>
      </c>
      <c r="C81" s="9">
        <f>IFERROR(INDEX(Pacientes!$C:$C,MATCH($A81,Pacientes!$B:$B,0)),"")</f>
      </c>
      <c r="D81" s="9">
        <f>IFERROR(INDEX(Pacientes!$D:$D,MATCH($A81,Pacientes!$B:$B,0)),"")</f>
      </c>
      <c r="E81" s="9">
        <f>IFERROR(INDEX(Pacientes!$E:$E,MATCH($A81,Pacientes!$B:$B,0)),"")</f>
      </c>
      <c r="F81" s="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>
        <f>"1. Evolução Clínica"&amp;CHAR(10)&amp;TEXTJOIN(" ",TRUE,"Paciente "&amp;G81&amp;", "&amp;IF(H81="","sem DVA","em uso de "&amp;H81)&amp;".",IF(I81&lt;&gt;"","Em "&amp;I81&amp;IF(J81&lt;&gt;""," ("&amp;J81&amp;")","")&amp;IF(K81&lt;&gt;"", ", "&amp;K81,"")&amp;IF(L81&lt;&gt;"", ", sob analgosedação com "&amp;L81,"")&amp;".",""),IF(M81&lt;&gt;"","Dieta "&amp;M81&amp;IF(N81&lt;&gt;"", ", com "&amp;LOWER(N81),"")&amp;IF(O81&lt;&gt;"", " — "&amp;O81,"")&amp;".",""),IF(P81="Febre","Apresentou episódio febril nas últimas 24h"&amp;IF(Q81&lt;&gt;""," ("&amp;Q81&amp;")","")&amp;".",IF(P81="Afebril","Encontra-se afebril.","")),IF(R81&lt;&gt;"",IF(S81="Sim","Apresenta disfunção renal aguda ","Função renal preservada ")&amp;"("&amp;R81&amp;").",""),IF(T81&lt;&gt;"","Em uso do esquema antimicrobiano com "&amp;T81&amp;".",""),IF(U81&lt;&gt;"","Em uso de profilaxia: "&amp;U81&amp;".",""))&amp;CHAR(10)&amp;CHAR(10)&amp;"2. Farmacoterapia"&amp;CHAR(10)&amp;IF(V81&lt;&gt;"","Corticoide/DART: "&amp;V81,"Sem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("&amp;Intervenções!$G$2:$G$500&amp;")",(Intervenções!$B$2:$B$500=A81)*(Intervenções!$A$2:$A$500=F81))),"Nenhuma intervenção registrada hoje.")&amp;CHAR(10)&amp;CHAR(10)&amp;"4. Plano Terapêutico"&amp;CHAR(10)&amp;IF(W81&lt;&gt;"",W81,"Não definido.")</f>
      </c>
    </row>
    <row r="82" spans="1:24" x14ac:dyDescent="0.25">
      <c r="A82" s="6"/>
      <c r="B82" s="9">
        <f>IFERROR(INDEX(Pacientes!$A:$A,MATCH($A82,Pacientes!$B:$B,0)),"")</f>
      </c>
      <c r="C82" s="9">
        <f>IFERROR(INDEX(Pacientes!$C:$C,MATCH($A82,Pacientes!$B:$B,0)),"")</f>
      </c>
      <c r="D82" s="9">
        <f>IFERROR(INDEX(Pacientes!$D:$D,MATCH($A82,Pacientes!$B:$B,0)),"")</f>
      </c>
      <c r="E82" s="9">
        <f>IFERROR(INDEX(Pacientes!$E:$E,MATCH($A82,Pacientes!$B:$B,0)),"")</f>
      </c>
      <c r="F82" s="7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>
        <f>"1. Evolução Clínica"&amp;CHAR(10)&amp;TEXTJOIN(" ",TRUE,"Paciente "&amp;G82&amp;", "&amp;IF(H82="","sem DVA","em uso de "&amp;H82)&amp;".",IF(I82&lt;&gt;"","Em "&amp;I82&amp;IF(J82&lt;&gt;""," ("&amp;J82&amp;")","")&amp;IF(K82&lt;&gt;"", ", "&amp;K82,"")&amp;IF(L82&lt;&gt;"", ", sob analgosedação com "&amp;L82,"")&amp;".",""),IF(M82&lt;&gt;"","Dieta "&amp;M82&amp;IF(N82&lt;&gt;"", ", com "&amp;LOWER(N82),"")&amp;IF(O82&lt;&gt;"", " — "&amp;O82,"")&amp;".",""),IF(P82="Febre","Apresentou episódio febril nas últimas 24h"&amp;IF(Q82&lt;&gt;""," ("&amp;Q82&amp;")","")&amp;".",IF(P82="Afebril","Encontra-se afebril.","")),IF(R82&lt;&gt;"",IF(S82="Sim","Apresenta disfunção renal aguda ","Função renal preservada ")&amp;"("&amp;R82&amp;").",""),IF(T82&lt;&gt;"","Em uso do esquema antimicrobiano com "&amp;T82&amp;".",""),IF(U82&lt;&gt;"","Em uso de profilaxia: "&amp;U82&amp;".",""))&amp;CHAR(10)&amp;CHAR(10)&amp;"2. Farmacoterapia"&amp;CHAR(10)&amp;IF(V82&lt;&gt;"","Corticoide/DART: "&amp;V82,"Sem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("&amp;Intervenções!$G$2:$G$500&amp;")",(Intervenções!$B$2:$B$500=A82)*(Intervenções!$A$2:$A$500=F82))),"Nenhuma intervenção registrada hoje.")&amp;CHAR(10)&amp;CHAR(10)&amp;"4. Plano Terapêutico"&amp;CHAR(10)&amp;IF(W82&lt;&gt;"",W82,"Não definido.")</f>
      </c>
    </row>
    <row r="83" spans="1:24" x14ac:dyDescent="0.25">
      <c r="A83" s="6"/>
      <c r="B83" s="9">
        <f>IFERROR(INDEX(Pacientes!$A:$A,MATCH($A83,Pacientes!$B:$B,0)),"")</f>
      </c>
      <c r="C83" s="9">
        <f>IFERROR(INDEX(Pacientes!$C:$C,MATCH($A83,Pacientes!$B:$B,0)),"")</f>
      </c>
      <c r="D83" s="9">
        <f>IFERROR(INDEX(Pacientes!$D:$D,MATCH($A83,Pacientes!$B:$B,0)),"")</f>
      </c>
      <c r="E83" s="9">
        <f>IFERROR(INDEX(Pacientes!$E:$E,MATCH($A83,Pacientes!$B:$B,0)),"")</f>
      </c>
      <c r="F83" s="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>
        <f>"1. Evolução Clínica"&amp;CHAR(10)&amp;TEXTJOIN(" ",TRUE,"Paciente "&amp;G83&amp;", "&amp;IF(H83="","sem DVA","em uso de "&amp;H83)&amp;".",IF(I83&lt;&gt;"","Em "&amp;I83&amp;IF(J83&lt;&gt;""," ("&amp;J83&amp;")","")&amp;IF(K83&lt;&gt;"", ", "&amp;K83,"")&amp;IF(L83&lt;&gt;"", ", sob analgosedação com "&amp;L83,"")&amp;".",""),IF(M83&lt;&gt;"","Dieta "&amp;M83&amp;IF(N83&lt;&gt;"", ", com "&amp;LOWER(N83),"")&amp;IF(O83&lt;&gt;"", " — "&amp;O83,"")&amp;".",""),IF(P83="Febre","Apresentou episódio febril nas últimas 24h"&amp;IF(Q83&lt;&gt;""," ("&amp;Q83&amp;")","")&amp;".",IF(P83="Afebril","Encontra-se afebril.","")),IF(R83&lt;&gt;"",IF(S83="Sim","Apresenta disfunção renal aguda ","Função renal preservada ")&amp;"("&amp;R83&amp;").",""),IF(T83&lt;&gt;"","Em uso do esquema antimicrobiano com "&amp;T83&amp;".",""),IF(U83&lt;&gt;"","Em uso de profilaxia: "&amp;U83&amp;".",""))&amp;CHAR(10)&amp;CHAR(10)&amp;"2. Farmacoterapia"&amp;CHAR(10)&amp;IF(V83&lt;&gt;"","Corticoide/DART: "&amp;V83,"Sem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("&amp;Intervenções!$G$2:$G$500&amp;")",(Intervenções!$B$2:$B$500=A83)*(Intervenções!$A$2:$A$500=F83))),"Nenhuma intervenção registrada hoje.")&amp;CHAR(10)&amp;CHAR(10)&amp;"4. Plano Terapêutico"&amp;CHAR(10)&amp;IF(W83&lt;&gt;"",W83,"Não definido.")</f>
      </c>
    </row>
    <row r="84" spans="1:24" x14ac:dyDescent="0.25">
      <c r="A84" s="6"/>
      <c r="B84" s="9">
        <f>IFERROR(INDEX(Pacientes!$A:$A,MATCH($A84,Pacientes!$B:$B,0)),"")</f>
      </c>
      <c r="C84" s="9">
        <f>IFERROR(INDEX(Pacientes!$C:$C,MATCH($A84,Pacientes!$B:$B,0)),"")</f>
      </c>
      <c r="D84" s="9">
        <f>IFERROR(INDEX(Pacientes!$D:$D,MATCH($A84,Pacientes!$B:$B,0)),"")</f>
      </c>
      <c r="E84" s="9">
        <f>IFERROR(INDEX(Pacientes!$E:$E,MATCH($A84,Pacientes!$B:$B,0)),"")</f>
      </c>
      <c r="F84" s="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>
        <f>"1. Evolução Clínica"&amp;CHAR(10)&amp;TEXTJOIN(" ",TRUE,"Paciente "&amp;G84&amp;", "&amp;IF(H84="","sem DVA","em uso de "&amp;H84)&amp;".",IF(I84&lt;&gt;"","Em "&amp;I84&amp;IF(J84&lt;&gt;""," ("&amp;J84&amp;")","")&amp;IF(K84&lt;&gt;"", ", "&amp;K84,"")&amp;IF(L84&lt;&gt;"", ", sob analgosedação com "&amp;L84,"")&amp;".",""),IF(M84&lt;&gt;"","Dieta "&amp;M84&amp;IF(N84&lt;&gt;"", ", com "&amp;LOWER(N84),"")&amp;IF(O84&lt;&gt;"", " — "&amp;O84,"")&amp;".",""),IF(P84="Febre","Apresentou episódio febril nas últimas 24h"&amp;IF(Q84&lt;&gt;""," ("&amp;Q84&amp;")","")&amp;".",IF(P84="Afebril","Encontra-se afebril.","")),IF(R84&lt;&gt;"",IF(S84="Sim","Apresenta disfunção renal aguda ","Função renal preservada ")&amp;"("&amp;R84&amp;").",""),IF(T84&lt;&gt;"","Em uso do esquema antimicrobiano com "&amp;T84&amp;".",""),IF(U84&lt;&gt;"","Em uso de profilaxia: "&amp;U84&amp;".",""))&amp;CHAR(10)&amp;CHAR(10)&amp;"2. Farmacoterapia"&amp;CHAR(10)&amp;IF(V84&lt;&gt;"","Corticoide/DART: "&amp;V84,"Sem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("&amp;Intervenções!$G$2:$G$500&amp;")",(Intervenções!$B$2:$B$500=A84)*(Intervenções!$A$2:$A$500=F84))),"Nenhuma intervenção registrada hoje.")&amp;CHAR(10)&amp;CHAR(10)&amp;"4. Plano Terapêutico"&amp;CHAR(10)&amp;IF(W84&lt;&gt;"",W84,"Não definido.")</f>
      </c>
    </row>
    <row r="85" spans="1:24" x14ac:dyDescent="0.25">
      <c r="A85" s="6"/>
      <c r="B85" s="9">
        <f>IFERROR(INDEX(Pacientes!$A:$A,MATCH($A85,Pacientes!$B:$B,0)),"")</f>
      </c>
      <c r="C85" s="9">
        <f>IFERROR(INDEX(Pacientes!$C:$C,MATCH($A85,Pacientes!$B:$B,0)),"")</f>
      </c>
      <c r="D85" s="9">
        <f>IFERROR(INDEX(Pacientes!$D:$D,MATCH($A85,Pacientes!$B:$B,0)),"")</f>
      </c>
      <c r="E85" s="9">
        <f>IFERROR(INDEX(Pacientes!$E:$E,MATCH($A85,Pacientes!$B:$B,0)),"")</f>
      </c>
      <c r="F85" s="7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>
        <f>"1. Evolução Clínica"&amp;CHAR(10)&amp;TEXTJOIN(" ",TRUE,"Paciente "&amp;G85&amp;", "&amp;IF(H85="","sem DVA","em uso de "&amp;H85)&amp;".",IF(I85&lt;&gt;"","Em "&amp;I85&amp;IF(J85&lt;&gt;""," ("&amp;J85&amp;")","")&amp;IF(K85&lt;&gt;"", ", "&amp;K85,"")&amp;IF(L85&lt;&gt;"", ", sob analgosedação com "&amp;L85,"")&amp;".",""),IF(M85&lt;&gt;"","Dieta "&amp;M85&amp;IF(N85&lt;&gt;"", ", com "&amp;LOWER(N85),"")&amp;IF(O85&lt;&gt;"", " — "&amp;O85,"")&amp;".",""),IF(P85="Febre","Apresentou episódio febril nas últimas 24h"&amp;IF(Q85&lt;&gt;""," ("&amp;Q85&amp;")","")&amp;".",IF(P85="Afebril","Encontra-se afebril.","")),IF(R85&lt;&gt;"",IF(S85="Sim","Apresenta disfunção renal aguda ","Função renal preservada ")&amp;"("&amp;R85&amp;").",""),IF(T85&lt;&gt;"","Em uso do esquema antimicrobiano com "&amp;T85&amp;".",""),IF(U85&lt;&gt;"","Em uso de profilaxia: "&amp;U85&amp;".",""))&amp;CHAR(10)&amp;CHAR(10)&amp;"2. Farmacoterapia"&amp;CHAR(10)&amp;IF(V85&lt;&gt;"","Corticoide/DART: "&amp;V85,"Sem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("&amp;Intervenções!$G$2:$G$500&amp;")",(Intervenções!$B$2:$B$500=A85)*(Intervenções!$A$2:$A$500=F85))),"Nenhuma intervenção registrada hoje.")&amp;CHAR(10)&amp;CHAR(10)&amp;"4. Plano Terapêutico"&amp;CHAR(10)&amp;IF(W85&lt;&gt;"",W85,"Não definido.")</f>
      </c>
    </row>
    <row r="86" spans="1:24" x14ac:dyDescent="0.25">
      <c r="A86" s="6"/>
      <c r="B86" s="9">
        <f>IFERROR(INDEX(Pacientes!$A:$A,MATCH($A86,Pacientes!$B:$B,0)),"")</f>
      </c>
      <c r="C86" s="9">
        <f>IFERROR(INDEX(Pacientes!$C:$C,MATCH($A86,Pacientes!$B:$B,0)),"")</f>
      </c>
      <c r="D86" s="9">
        <f>IFERROR(INDEX(Pacientes!$D:$D,MATCH($A86,Pacientes!$B:$B,0)),"")</f>
      </c>
      <c r="E86" s="9">
        <f>IFERROR(INDEX(Pacientes!$E:$E,MATCH($A86,Pacientes!$B:$B,0)),"")</f>
      </c>
      <c r="F86" s="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>
        <f>"1. Evolução Clínica"&amp;CHAR(10)&amp;TEXTJOIN(" ",TRUE,"Paciente "&amp;G86&amp;", "&amp;IF(H86="","sem DVA","em uso de "&amp;H86)&amp;".",IF(I86&lt;&gt;"","Em "&amp;I86&amp;IF(J86&lt;&gt;""," ("&amp;J86&amp;")","")&amp;IF(K86&lt;&gt;"", ", "&amp;K86,"")&amp;IF(L86&lt;&gt;"", ", sob analgosedação com "&amp;L86,"")&amp;".",""),IF(M86&lt;&gt;"","Dieta "&amp;M86&amp;IF(N86&lt;&gt;"", ", com "&amp;LOWER(N86),"")&amp;IF(O86&lt;&gt;"", " — "&amp;O86,"")&amp;".",""),IF(P86="Febre","Apresentou episódio febril nas últimas 24h"&amp;IF(Q86&lt;&gt;""," ("&amp;Q86&amp;")","")&amp;".",IF(P86="Afebril","Encontra-se afebril.","")),IF(R86&lt;&gt;"",IF(S86="Sim","Apresenta disfunção renal aguda ","Função renal preservada ")&amp;"("&amp;R86&amp;").",""),IF(T86&lt;&gt;"","Em uso do esquema antimicrobiano com "&amp;T86&amp;".",""),IF(U86&lt;&gt;"","Em uso de profilaxia: "&amp;U86&amp;".",""))&amp;CHAR(10)&amp;CHAR(10)&amp;"2. Farmacoterapia"&amp;CHAR(10)&amp;IF(V86&lt;&gt;"","Corticoide/DART: "&amp;V86,"Sem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("&amp;Intervenções!$G$2:$G$500&amp;")",(Intervenções!$B$2:$B$500=A86)*(Intervenções!$A$2:$A$500=F86))),"Nenhuma intervenção registrada hoje.")&amp;CHAR(10)&amp;CHAR(10)&amp;"4. Plano Terapêutico"&amp;CHAR(10)&amp;IF(W86&lt;&gt;"",W86,"Não definido.")</f>
      </c>
    </row>
    <row r="87" spans="1:24" x14ac:dyDescent="0.25">
      <c r="A87" s="6"/>
      <c r="B87" s="9">
        <f>IFERROR(INDEX(Pacientes!$A:$A,MATCH($A87,Pacientes!$B:$B,0)),"")</f>
      </c>
      <c r="C87" s="9">
        <f>IFERROR(INDEX(Pacientes!$C:$C,MATCH($A87,Pacientes!$B:$B,0)),"")</f>
      </c>
      <c r="D87" s="9">
        <f>IFERROR(INDEX(Pacientes!$D:$D,MATCH($A87,Pacientes!$B:$B,0)),"")</f>
      </c>
      <c r="E87" s="9">
        <f>IFERROR(INDEX(Pacientes!$E:$E,MATCH($A87,Pacientes!$B:$B,0)),"")</f>
      </c>
      <c r="F87" s="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>
        <f>"1. Evolução Clínica"&amp;CHAR(10)&amp;TEXTJOIN(" ",TRUE,"Paciente "&amp;G87&amp;", "&amp;IF(H87="","sem DVA","em uso de "&amp;H87)&amp;".",IF(I87&lt;&gt;"","Em "&amp;I87&amp;IF(J87&lt;&gt;""," ("&amp;J87&amp;")","")&amp;IF(K87&lt;&gt;"", ", "&amp;K87,"")&amp;IF(L87&lt;&gt;"", ", sob analgosedação com "&amp;L87,"")&amp;".",""),IF(M87&lt;&gt;"","Dieta "&amp;M87&amp;IF(N87&lt;&gt;"", ", com "&amp;LOWER(N87),"")&amp;IF(O87&lt;&gt;"", " — "&amp;O87,"")&amp;".",""),IF(P87="Febre","Apresentou episódio febril nas últimas 24h"&amp;IF(Q87&lt;&gt;""," ("&amp;Q87&amp;")","")&amp;".",IF(P87="Afebril","Encontra-se afebril.","")),IF(R87&lt;&gt;"",IF(S87="Sim","Apresenta disfunção renal aguda ","Função renal preservada ")&amp;"("&amp;R87&amp;").",""),IF(T87&lt;&gt;"","Em uso do esquema antimicrobiano com "&amp;T87&amp;".",""),IF(U87&lt;&gt;"","Em uso de profilaxia: "&amp;U87&amp;".",""))&amp;CHAR(10)&amp;CHAR(10)&amp;"2. Farmacoterapia"&amp;CHAR(10)&amp;IF(V87&lt;&gt;"","Corticoide/DART: "&amp;V87,"Sem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("&amp;Intervenções!$G$2:$G$500&amp;")",(Intervenções!$B$2:$B$500=A87)*(Intervenções!$A$2:$A$500=F87))),"Nenhuma intervenção registrada hoje.")&amp;CHAR(10)&amp;CHAR(10)&amp;"4. Plano Terapêutico"&amp;CHAR(10)&amp;IF(W87&lt;&gt;"",W87,"Não definido.")</f>
      </c>
    </row>
    <row r="88" spans="1:24" x14ac:dyDescent="0.25">
      <c r="A88" s="6"/>
      <c r="B88" s="9">
        <f>IFERROR(INDEX(Pacientes!$A:$A,MATCH($A88,Pacientes!$B:$B,0)),"")</f>
      </c>
      <c r="C88" s="9">
        <f>IFERROR(INDEX(Pacientes!$C:$C,MATCH($A88,Pacientes!$B:$B,0)),"")</f>
      </c>
      <c r="D88" s="9">
        <f>IFERROR(INDEX(Pacientes!$D:$D,MATCH($A88,Pacientes!$B:$B,0)),"")</f>
      </c>
      <c r="E88" s="9">
        <f>IFERROR(INDEX(Pacientes!$E:$E,MATCH($A88,Pacientes!$B:$B,0)),"")</f>
      </c>
      <c r="F88" s="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>
        <f>"1. Evolução Clínica"&amp;CHAR(10)&amp;TEXTJOIN(" ",TRUE,"Paciente "&amp;G88&amp;", "&amp;IF(H88="","sem DVA","em uso de "&amp;H88)&amp;".",IF(I88&lt;&gt;"","Em "&amp;I88&amp;IF(J88&lt;&gt;""," ("&amp;J88&amp;")","")&amp;IF(K88&lt;&gt;"", ", "&amp;K88,"")&amp;IF(L88&lt;&gt;"", ", sob analgosedação com "&amp;L88,"")&amp;".",""),IF(M88&lt;&gt;"","Dieta "&amp;M88&amp;IF(N88&lt;&gt;"", ", com "&amp;LOWER(N88),"")&amp;IF(O88&lt;&gt;"", " — "&amp;O88,"")&amp;".",""),IF(P88="Febre","Apresentou episódio febril nas últimas 24h"&amp;IF(Q88&lt;&gt;""," ("&amp;Q88&amp;")","")&amp;".",IF(P88="Afebril","Encontra-se afebril.","")),IF(R88&lt;&gt;"",IF(S88="Sim","Apresenta disfunção renal aguda ","Função renal preservada ")&amp;"("&amp;R88&amp;").",""),IF(T88&lt;&gt;"","Em uso do esquema antimicrobiano com "&amp;T88&amp;".",""),IF(U88&lt;&gt;"","Em uso de profilaxia: "&amp;U88&amp;".",""))&amp;CHAR(10)&amp;CHAR(10)&amp;"2. Farmacoterapia"&amp;CHAR(10)&amp;IF(V88&lt;&gt;"","Corticoide/DART: "&amp;V88,"Sem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("&amp;Intervenções!$G$2:$G$500&amp;")",(Intervenções!$B$2:$B$500=A88)*(Intervenções!$A$2:$A$500=F88))),"Nenhuma intervenção registrada hoje.")&amp;CHAR(10)&amp;CHAR(10)&amp;"4. Plano Terapêutico"&amp;CHAR(10)&amp;IF(W88&lt;&gt;"",W88,"Não definido.")</f>
      </c>
    </row>
    <row r="89" spans="1:24" x14ac:dyDescent="0.25">
      <c r="A89" s="6"/>
      <c r="B89" s="9">
        <f>IFERROR(INDEX(Pacientes!$A:$A,MATCH($A89,Pacientes!$B:$B,0)),"")</f>
      </c>
      <c r="C89" s="9">
        <f>IFERROR(INDEX(Pacientes!$C:$C,MATCH($A89,Pacientes!$B:$B,0)),"")</f>
      </c>
      <c r="D89" s="9">
        <f>IFERROR(INDEX(Pacientes!$D:$D,MATCH($A89,Pacientes!$B:$B,0)),"")</f>
      </c>
      <c r="E89" s="9">
        <f>IFERROR(INDEX(Pacientes!$E:$E,MATCH($A89,Pacientes!$B:$B,0)),"")</f>
      </c>
      <c r="F89" s="7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>
        <f>"1. Evolução Clínica"&amp;CHAR(10)&amp;TEXTJOIN(" ",TRUE,"Paciente "&amp;G89&amp;", "&amp;IF(H89="","sem DVA","em uso de "&amp;H89)&amp;".",IF(I89&lt;&gt;"","Em "&amp;I89&amp;IF(J89&lt;&gt;""," ("&amp;J89&amp;")","")&amp;IF(K89&lt;&gt;"", ", "&amp;K89,"")&amp;IF(L89&lt;&gt;"", ", sob analgosedação com "&amp;L89,"")&amp;".",""),IF(M89&lt;&gt;"","Dieta "&amp;M89&amp;IF(N89&lt;&gt;"", ", com "&amp;LOWER(N89),"")&amp;IF(O89&lt;&gt;"", " — "&amp;O89,"")&amp;".",""),IF(P89="Febre","Apresentou episódio febril nas últimas 24h"&amp;IF(Q89&lt;&gt;""," ("&amp;Q89&amp;")","")&amp;".",IF(P89="Afebril","Encontra-se afebril.","")),IF(R89&lt;&gt;"",IF(S89="Sim","Apresenta disfunção renal aguda ","Função renal preservada ")&amp;"("&amp;R89&amp;").",""),IF(T89&lt;&gt;"","Em uso do esquema antimicrobiano com "&amp;T89&amp;".",""),IF(U89&lt;&gt;"","Em uso de profilaxia: "&amp;U89&amp;".",""))&amp;CHAR(10)&amp;CHAR(10)&amp;"2. Farmacoterapia"&amp;CHAR(10)&amp;IF(V89&lt;&gt;"","Corticoide/DART: "&amp;V89,"Sem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("&amp;Intervenções!$G$2:$G$500&amp;")",(Intervenções!$B$2:$B$500=A89)*(Intervenções!$A$2:$A$500=F89))),"Nenhuma intervenção registrada hoje.")&amp;CHAR(10)&amp;CHAR(10)&amp;"4. Plano Terapêutico"&amp;CHAR(10)&amp;IF(W89&lt;&gt;"",W89,"Não definido.")</f>
      </c>
    </row>
    <row r="90" spans="1:24" x14ac:dyDescent="0.25">
      <c r="A90" s="6"/>
      <c r="B90" s="9">
        <f>IFERROR(INDEX(Pacientes!$A:$A,MATCH($A90,Pacientes!$B:$B,0)),"")</f>
      </c>
      <c r="C90" s="9">
        <f>IFERROR(INDEX(Pacientes!$C:$C,MATCH($A90,Pacientes!$B:$B,0)),"")</f>
      </c>
      <c r="D90" s="9">
        <f>IFERROR(INDEX(Pacientes!$D:$D,MATCH($A90,Pacientes!$B:$B,0)),"")</f>
      </c>
      <c r="E90" s="9">
        <f>IFERROR(INDEX(Pacientes!$E:$E,MATCH($A90,Pacientes!$B:$B,0)),"")</f>
      </c>
      <c r="F90" s="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>
        <f>"1. Evolução Clínica"&amp;CHAR(10)&amp;TEXTJOIN(" ",TRUE,"Paciente "&amp;G90&amp;", "&amp;IF(H90="","sem DVA","em uso de "&amp;H90)&amp;".",IF(I90&lt;&gt;"","Em "&amp;I90&amp;IF(J90&lt;&gt;""," ("&amp;J90&amp;")","")&amp;IF(K90&lt;&gt;"", ", "&amp;K90,"")&amp;IF(L90&lt;&gt;"", ", sob analgosedação com "&amp;L90,"")&amp;".",""),IF(M90&lt;&gt;"","Dieta "&amp;M90&amp;IF(N90&lt;&gt;"", ", com "&amp;LOWER(N90),"")&amp;IF(O90&lt;&gt;"", " — "&amp;O90,"")&amp;".",""),IF(P90="Febre","Apresentou episódio febril nas últimas 24h"&amp;IF(Q90&lt;&gt;""," ("&amp;Q90&amp;")","")&amp;".",IF(P90="Afebril","Encontra-se afebril.","")),IF(R90&lt;&gt;"",IF(S90="Sim","Apresenta disfunção renal aguda ","Função renal preservada ")&amp;"("&amp;R90&amp;").",""),IF(T90&lt;&gt;"","Em uso do esquema antimicrobiano com "&amp;T90&amp;".",""),IF(U90&lt;&gt;"","Em uso de profilaxia: "&amp;U90&amp;".",""))&amp;CHAR(10)&amp;CHAR(10)&amp;"2. Farmacoterapia"&amp;CHAR(10)&amp;IF(V90&lt;&gt;"","Corticoide/DART: "&amp;V90,"Sem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("&amp;Intervenções!$G$2:$G$500&amp;")",(Intervenções!$B$2:$B$500=A90)*(Intervenções!$A$2:$A$500=F90))),"Nenhuma intervenção registrada hoje.")&amp;CHAR(10)&amp;CHAR(10)&amp;"4. Plano Terapêutico"&amp;CHAR(10)&amp;IF(W90&lt;&gt;"",W90,"Não definido.")</f>
      </c>
    </row>
    <row r="91" spans="1:24" x14ac:dyDescent="0.25">
      <c r="A91" s="6"/>
      <c r="B91" s="9">
        <f>IFERROR(INDEX(Pacientes!$A:$A,MATCH($A91,Pacientes!$B:$B,0)),"")</f>
      </c>
      <c r="C91" s="9">
        <f>IFERROR(INDEX(Pacientes!$C:$C,MATCH($A91,Pacientes!$B:$B,0)),"")</f>
      </c>
      <c r="D91" s="9">
        <f>IFERROR(INDEX(Pacientes!$D:$D,MATCH($A91,Pacientes!$B:$B,0)),"")</f>
      </c>
      <c r="E91" s="9">
        <f>IFERROR(INDEX(Pacientes!$E:$E,MATCH($A91,Pacientes!$B:$B,0)),"")</f>
      </c>
      <c r="F91" s="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>
        <f>"1. Evolução Clínica"&amp;CHAR(10)&amp;TEXTJOIN(" ",TRUE,"Paciente "&amp;G91&amp;", "&amp;IF(H91="","sem DVA","em uso de "&amp;H91)&amp;".",IF(I91&lt;&gt;"","Em "&amp;I91&amp;IF(J91&lt;&gt;""," ("&amp;J91&amp;")","")&amp;IF(K91&lt;&gt;"", ", "&amp;K91,"")&amp;IF(L91&lt;&gt;"", ", sob analgosedação com "&amp;L91,"")&amp;".",""),IF(M91&lt;&gt;"","Dieta "&amp;M91&amp;IF(N91&lt;&gt;"", ", com "&amp;LOWER(N91),"")&amp;IF(O91&lt;&gt;"", " — "&amp;O91,"")&amp;".",""),IF(P91="Febre","Apresentou episódio febril nas últimas 24h"&amp;IF(Q91&lt;&gt;""," ("&amp;Q91&amp;")","")&amp;".",IF(P91="Afebril","Encontra-se afebril.","")),IF(R91&lt;&gt;"",IF(S91="Sim","Apresenta disfunção renal aguda ","Função renal preservada ")&amp;"("&amp;R91&amp;").",""),IF(T91&lt;&gt;"","Em uso do esquema antimicrobiano com "&amp;T91&amp;".",""),IF(U91&lt;&gt;"","Em uso de profilaxia: "&amp;U91&amp;".",""))&amp;CHAR(10)&amp;CHAR(10)&amp;"2. Farmacoterapia"&amp;CHAR(10)&amp;IF(V91&lt;&gt;"","Corticoide/DART: "&amp;V91,"Sem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("&amp;Intervenções!$G$2:$G$500&amp;")",(Intervenções!$B$2:$B$500=A91)*(Intervenções!$A$2:$A$500=F91))),"Nenhuma intervenção registrada hoje.")&amp;CHAR(10)&amp;CHAR(10)&amp;"4. Plano Terapêutico"&amp;CHAR(10)&amp;IF(W91&lt;&gt;"",W91,"Não definido.")</f>
      </c>
    </row>
    <row r="92" spans="1:24" x14ac:dyDescent="0.25">
      <c r="A92" s="6"/>
      <c r="B92" s="9">
        <f>IFERROR(INDEX(Pacientes!$A:$A,MATCH($A92,Pacientes!$B:$B,0)),"")</f>
      </c>
      <c r="C92" s="9">
        <f>IFERROR(INDEX(Pacientes!$C:$C,MATCH($A92,Pacientes!$B:$B,0)),"")</f>
      </c>
      <c r="D92" s="9">
        <f>IFERROR(INDEX(Pacientes!$D:$D,MATCH($A92,Pacientes!$B:$B,0)),"")</f>
      </c>
      <c r="E92" s="9">
        <f>IFERROR(INDEX(Pacientes!$E:$E,MATCH($A92,Pacientes!$B:$B,0)),"")</f>
      </c>
      <c r="F92" s="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>
        <f>"1. Evolução Clínica"&amp;CHAR(10)&amp;TEXTJOIN(" ",TRUE,"Paciente "&amp;G92&amp;", "&amp;IF(H92="","sem DVA","em uso de "&amp;H92)&amp;".",IF(I92&lt;&gt;"","Em "&amp;I92&amp;IF(J92&lt;&gt;""," ("&amp;J92&amp;")","")&amp;IF(K92&lt;&gt;"", ", "&amp;K92,"")&amp;IF(L92&lt;&gt;"", ", sob analgosedação com "&amp;L92,"")&amp;".",""),IF(M92&lt;&gt;"","Dieta "&amp;M92&amp;IF(N92&lt;&gt;"", ", com "&amp;LOWER(N92),"")&amp;IF(O92&lt;&gt;"", " — "&amp;O92,"")&amp;".",""),IF(P92="Febre","Apresentou episódio febril nas últimas 24h"&amp;IF(Q92&lt;&gt;""," ("&amp;Q92&amp;")","")&amp;".",IF(P92="Afebril","Encontra-se afebril.","")),IF(R92&lt;&gt;"",IF(S92="Sim","Apresenta disfunção renal aguda ","Função renal preservada ")&amp;"("&amp;R92&amp;").",""),IF(T92&lt;&gt;"","Em uso do esquema antimicrobiano com "&amp;T92&amp;".",""),IF(U92&lt;&gt;"","Em uso de profilaxia: "&amp;U92&amp;".",""))&amp;CHAR(10)&amp;CHAR(10)&amp;"2. Farmacoterapia"&amp;CHAR(10)&amp;IF(V92&lt;&gt;"","Corticoide/DART: "&amp;V92,"Sem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("&amp;Intervenções!$G$2:$G$500&amp;")",(Intervenções!$B$2:$B$500=A92)*(Intervenções!$A$2:$A$500=F92))),"Nenhuma intervenção registrada hoje.")&amp;CHAR(10)&amp;CHAR(10)&amp;"4. Plano Terapêutico"&amp;CHAR(10)&amp;IF(W92&lt;&gt;"",W92,"Não definido.")</f>
      </c>
    </row>
    <row r="93" spans="1:24" x14ac:dyDescent="0.25">
      <c r="A93" s="6"/>
      <c r="B93" s="9">
        <f>IFERROR(INDEX(Pacientes!$A:$A,MATCH($A93,Pacientes!$B:$B,0)),"")</f>
      </c>
      <c r="C93" s="9">
        <f>IFERROR(INDEX(Pacientes!$C:$C,MATCH($A93,Pacientes!$B:$B,0)),"")</f>
      </c>
      <c r="D93" s="9">
        <f>IFERROR(INDEX(Pacientes!$D:$D,MATCH($A93,Pacientes!$B:$B,0)),"")</f>
      </c>
      <c r="E93" s="9">
        <f>IFERROR(INDEX(Pacientes!$E:$E,MATCH($A93,Pacientes!$B:$B,0)),"")</f>
      </c>
      <c r="F93" s="7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>
        <f>"1. Evolução Clínica"&amp;CHAR(10)&amp;TEXTJOIN(" ",TRUE,"Paciente "&amp;G93&amp;", "&amp;IF(H93="","sem DVA","em uso de "&amp;H93)&amp;".",IF(I93&lt;&gt;"","Em "&amp;I93&amp;IF(J93&lt;&gt;""," ("&amp;J93&amp;")","")&amp;IF(K93&lt;&gt;"", ", "&amp;K93,"")&amp;IF(L93&lt;&gt;"", ", sob analgosedação com "&amp;L93,"")&amp;".",""),IF(M93&lt;&gt;"","Dieta "&amp;M93&amp;IF(N93&lt;&gt;"", ", com "&amp;LOWER(N93),"")&amp;IF(O93&lt;&gt;"", " — "&amp;O93,"")&amp;".",""),IF(P93="Febre","Apresentou episódio febril nas últimas 24h"&amp;IF(Q93&lt;&gt;""," ("&amp;Q93&amp;")","")&amp;".",IF(P93="Afebril","Encontra-se afebril.","")),IF(R93&lt;&gt;"",IF(S93="Sim","Apresenta disfunção renal aguda ","Função renal preservada ")&amp;"("&amp;R93&amp;").",""),IF(T93&lt;&gt;"","Em uso do esquema antimicrobiano com "&amp;T93&amp;".",""),IF(U93&lt;&gt;"","Em uso de profilaxia: "&amp;U93&amp;".",""))&amp;CHAR(10)&amp;CHAR(10)&amp;"2. Farmacoterapia"&amp;CHAR(10)&amp;IF(V93&lt;&gt;"","Corticoide/DART: "&amp;V93,"Sem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("&amp;Intervenções!$G$2:$G$500&amp;")",(Intervenções!$B$2:$B$500=A93)*(Intervenções!$A$2:$A$500=F93))),"Nenhuma intervenção registrada hoje.")&amp;CHAR(10)&amp;CHAR(10)&amp;"4. Plano Terapêutico"&amp;CHAR(10)&amp;IF(W93&lt;&gt;"",W93,"Não definido.")</f>
      </c>
    </row>
    <row r="94" spans="1:24" x14ac:dyDescent="0.25">
      <c r="A94" s="6"/>
      <c r="B94" s="9">
        <f>IFERROR(INDEX(Pacientes!$A:$A,MATCH($A94,Pacientes!$B:$B,0)),"")</f>
      </c>
      <c r="C94" s="9">
        <f>IFERROR(INDEX(Pacientes!$C:$C,MATCH($A94,Pacientes!$B:$B,0)),"")</f>
      </c>
      <c r="D94" s="9">
        <f>IFERROR(INDEX(Pacientes!$D:$D,MATCH($A94,Pacientes!$B:$B,0)),"")</f>
      </c>
      <c r="E94" s="9">
        <f>IFERROR(INDEX(Pacientes!$E:$E,MATCH($A94,Pacientes!$B:$B,0)),"")</f>
      </c>
      <c r="F94" s="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>
        <f>"1. Evolução Clínica"&amp;CHAR(10)&amp;TEXTJOIN(" ",TRUE,"Paciente "&amp;G94&amp;", "&amp;IF(H94="","sem DVA","em uso de "&amp;H94)&amp;".",IF(I94&lt;&gt;"","Em "&amp;I94&amp;IF(J94&lt;&gt;""," ("&amp;J94&amp;")","")&amp;IF(K94&lt;&gt;"", ", "&amp;K94,"")&amp;IF(L94&lt;&gt;"", ", sob analgosedação com "&amp;L94,"")&amp;".",""),IF(M94&lt;&gt;"","Dieta "&amp;M94&amp;IF(N94&lt;&gt;"", ", com "&amp;LOWER(N94),"")&amp;IF(O94&lt;&gt;"", " — "&amp;O94,"")&amp;".",""),IF(P94="Febre","Apresentou episódio febril nas últimas 24h"&amp;IF(Q94&lt;&gt;""," ("&amp;Q94&amp;")","")&amp;".",IF(P94="Afebril","Encontra-se afebril.","")),IF(R94&lt;&gt;"",IF(S94="Sim","Apresenta disfunção renal aguda ","Função renal preservada ")&amp;"("&amp;R94&amp;").",""),IF(T94&lt;&gt;"","Em uso do esquema antimicrobiano com "&amp;T94&amp;".",""),IF(U94&lt;&gt;"","Em uso de profilaxia: "&amp;U94&amp;".",""))&amp;CHAR(10)&amp;CHAR(10)&amp;"2. Farmacoterapia"&amp;CHAR(10)&amp;IF(V94&lt;&gt;"","Corticoide/DART: "&amp;V94,"Sem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("&amp;Intervenções!$G$2:$G$500&amp;")",(Intervenções!$B$2:$B$500=A94)*(Intervenções!$A$2:$A$500=F94))),"Nenhuma intervenção registrada hoje.")&amp;CHAR(10)&amp;CHAR(10)&amp;"4. Plano Terapêutico"&amp;CHAR(10)&amp;IF(W94&lt;&gt;"",W94,"Não definido.")</f>
      </c>
    </row>
    <row r="95" spans="1:24" x14ac:dyDescent="0.25">
      <c r="A95" s="6"/>
      <c r="B95" s="9">
        <f>IFERROR(INDEX(Pacientes!$A:$A,MATCH($A95,Pacientes!$B:$B,0)),"")</f>
      </c>
      <c r="C95" s="9">
        <f>IFERROR(INDEX(Pacientes!$C:$C,MATCH($A95,Pacientes!$B:$B,0)),"")</f>
      </c>
      <c r="D95" s="9">
        <f>IFERROR(INDEX(Pacientes!$D:$D,MATCH($A95,Pacientes!$B:$B,0)),"")</f>
      </c>
      <c r="E95" s="9">
        <f>IFERROR(INDEX(Pacientes!$E:$E,MATCH($A95,Pacientes!$B:$B,0)),"")</f>
      </c>
      <c r="F95" s="7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>
        <f>"1. Evolução Clínica"&amp;CHAR(10)&amp;TEXTJOIN(" ",TRUE,"Paciente "&amp;G95&amp;", "&amp;IF(H95="","sem DVA","em uso de "&amp;H95)&amp;".",IF(I95&lt;&gt;"","Em "&amp;I95&amp;IF(J95&lt;&gt;""," ("&amp;J95&amp;")","")&amp;IF(K95&lt;&gt;"", ", "&amp;K95,"")&amp;IF(L95&lt;&gt;"", ", sob analgosedação com "&amp;L95,"")&amp;".",""),IF(M95&lt;&gt;"","Dieta "&amp;M95&amp;IF(N95&lt;&gt;"", ", com "&amp;LOWER(N95),"")&amp;IF(O95&lt;&gt;"", " — "&amp;O95,"")&amp;".",""),IF(P95="Febre","Apresentou episódio febril nas últimas 24h"&amp;IF(Q95&lt;&gt;""," ("&amp;Q95&amp;")","")&amp;".",IF(P95="Afebril","Encontra-se afebril.","")),IF(R95&lt;&gt;"",IF(S95="Sim","Apresenta disfunção renal aguda ","Função renal preservada ")&amp;"("&amp;R95&amp;").",""),IF(T95&lt;&gt;"","Em uso do esquema antimicrobiano com "&amp;T95&amp;".",""),IF(U95&lt;&gt;"","Em uso de profilaxia: "&amp;U95&amp;".",""))&amp;CHAR(10)&amp;CHAR(10)&amp;"2. Farmacoterapia"&amp;CHAR(10)&amp;IF(V95&lt;&gt;"","Corticoide/DART: "&amp;V95,"Sem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("&amp;Intervenções!$G$2:$G$500&amp;")",(Intervenções!$B$2:$B$500=A95)*(Intervenções!$A$2:$A$500=F95))),"Nenhuma intervenção registrada hoje.")&amp;CHAR(10)&amp;CHAR(10)&amp;"4. Plano Terapêutico"&amp;CHAR(10)&amp;IF(W95&lt;&gt;"",W95,"Não definido.")</f>
      </c>
    </row>
    <row r="96" spans="1:24" x14ac:dyDescent="0.25">
      <c r="A96" s="6"/>
      <c r="B96" s="9">
        <f>IFERROR(INDEX(Pacientes!$A:$A,MATCH($A96,Pacientes!$B:$B,0)),"")</f>
      </c>
      <c r="C96" s="9">
        <f>IFERROR(INDEX(Pacientes!$C:$C,MATCH($A96,Pacientes!$B:$B,0)),"")</f>
      </c>
      <c r="D96" s="9">
        <f>IFERROR(INDEX(Pacientes!$D:$D,MATCH($A96,Pacientes!$B:$B,0)),"")</f>
      </c>
      <c r="E96" s="9">
        <f>IFERROR(INDEX(Pacientes!$E:$E,MATCH($A96,Pacientes!$B:$B,0)),"")</f>
      </c>
      <c r="F96" s="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f>"1. Evolução Clínica"&amp;CHAR(10)&amp;TEXTJOIN(" ",TRUE,"Paciente "&amp;G96&amp;", "&amp;IF(H96="","sem DVA","em uso de "&amp;H96)&amp;".",IF(I96&lt;&gt;"","Em "&amp;I96&amp;IF(J96&lt;&gt;""," ("&amp;J96&amp;")","")&amp;IF(K96&lt;&gt;"", ", "&amp;K96,"")&amp;IF(L96&lt;&gt;"", ", sob analgosedação com "&amp;L96,"")&amp;".",""),IF(M96&lt;&gt;"","Dieta "&amp;M96&amp;IF(N96&lt;&gt;"", ", com "&amp;LOWER(N96),"")&amp;IF(O96&lt;&gt;"", " — "&amp;O96,"")&amp;".",""),IF(P96="Febre","Apresentou episódio febril nas últimas 24h"&amp;IF(Q96&lt;&gt;""," ("&amp;Q96&amp;")","")&amp;".",IF(P96="Afebril","Encontra-se afebril.","")),IF(R96&lt;&gt;"",IF(S96="Sim","Apresenta disfunção renal aguda ","Função renal preservada ")&amp;"("&amp;R96&amp;").",""),IF(T96&lt;&gt;"","Em uso do esquema antimicrobiano com "&amp;T96&amp;".",""),IF(U96&lt;&gt;"","Em uso de profilaxia: "&amp;U96&amp;".",""))&amp;CHAR(10)&amp;CHAR(10)&amp;"2. Farmacoterapia"&amp;CHAR(10)&amp;IF(V96&lt;&gt;"","Corticoide/DART: "&amp;V96,"Sem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("&amp;Intervenções!$G$2:$G$500&amp;")",(Intervenções!$B$2:$B$500=A96)*(Intervenções!$A$2:$A$500=F96))),"Nenhuma intervenção registrada hoje.")&amp;CHAR(10)&amp;CHAR(10)&amp;"4. Plano Terapêutico"&amp;CHAR(10)&amp;IF(W96&lt;&gt;"",W96,"Não definido.")</f>
      </c>
    </row>
    <row r="97" spans="1:24" x14ac:dyDescent="0.25">
      <c r="A97" s="6"/>
      <c r="B97" s="9">
        <f>IFERROR(INDEX(Pacientes!$A:$A,MATCH($A97,Pacientes!$B:$B,0)),"")</f>
      </c>
      <c r="C97" s="9">
        <f>IFERROR(INDEX(Pacientes!$C:$C,MATCH($A97,Pacientes!$B:$B,0)),"")</f>
      </c>
      <c r="D97" s="9">
        <f>IFERROR(INDEX(Pacientes!$D:$D,MATCH($A97,Pacientes!$B:$B,0)),"")</f>
      </c>
      <c r="E97" s="9">
        <f>IFERROR(INDEX(Pacientes!$E:$E,MATCH($A97,Pacientes!$B:$B,0)),"")</f>
      </c>
      <c r="F97" s="7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>
        <f>"1. Evolução Clínica"&amp;CHAR(10)&amp;TEXTJOIN(" ",TRUE,"Paciente "&amp;G97&amp;", "&amp;IF(H97="","sem DVA","em uso de "&amp;H97)&amp;".",IF(I97&lt;&gt;"","Em "&amp;I97&amp;IF(J97&lt;&gt;""," ("&amp;J97&amp;")","")&amp;IF(K97&lt;&gt;"", ", "&amp;K97,"")&amp;IF(L97&lt;&gt;"", ", sob analgosedação com "&amp;L97,"")&amp;".",""),IF(M97&lt;&gt;"","Dieta "&amp;M97&amp;IF(N97&lt;&gt;"", ", com "&amp;LOWER(N97),"")&amp;IF(O97&lt;&gt;"", " — "&amp;O97,"")&amp;".",""),IF(P97="Febre","Apresentou episódio febril nas últimas 24h"&amp;IF(Q97&lt;&gt;""," ("&amp;Q97&amp;")","")&amp;".",IF(P97="Afebril","Encontra-se afebril.","")),IF(R97&lt;&gt;"",IF(S97="Sim","Apresenta disfunção renal aguda ","Função renal preservada ")&amp;"("&amp;R97&amp;").",""),IF(T97&lt;&gt;"","Em uso do esquema antimicrobiano com "&amp;T97&amp;".",""),IF(U97&lt;&gt;"","Em uso de profilaxia: "&amp;U97&amp;".",""))&amp;CHAR(10)&amp;CHAR(10)&amp;"2. Farmacoterapia"&amp;CHAR(10)&amp;IF(V97&lt;&gt;"","Corticoide/DART: "&amp;V97,"Sem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("&amp;Intervenções!$G$2:$G$500&amp;")",(Intervenções!$B$2:$B$500=A97)*(Intervenções!$A$2:$A$500=F97))),"Nenhuma intervenção registrada hoje.")&amp;CHAR(10)&amp;CHAR(10)&amp;"4. Plano Terapêutico"&amp;CHAR(10)&amp;IF(W97&lt;&gt;"",W97,"Não definido.")</f>
      </c>
    </row>
    <row r="98" spans="1:24" x14ac:dyDescent="0.25">
      <c r="A98" s="6"/>
      <c r="B98" s="9">
        <f>IFERROR(INDEX(Pacientes!$A:$A,MATCH($A98,Pacientes!$B:$B,0)),"")</f>
      </c>
      <c r="C98" s="9">
        <f>IFERROR(INDEX(Pacientes!$C:$C,MATCH($A98,Pacientes!$B:$B,0)),"")</f>
      </c>
      <c r="D98" s="9">
        <f>IFERROR(INDEX(Pacientes!$D:$D,MATCH($A98,Pacientes!$B:$B,0)),"")</f>
      </c>
      <c r="E98" s="9">
        <f>IFERROR(INDEX(Pacientes!$E:$E,MATCH($A98,Pacientes!$B:$B,0)),"")</f>
      </c>
      <c r="F98" s="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f>"1. Evolução Clínica"&amp;CHAR(10)&amp;TEXTJOIN(" ",TRUE,"Paciente "&amp;G98&amp;", "&amp;IF(H98="","sem DVA","em uso de "&amp;H98)&amp;".",IF(I98&lt;&gt;"","Em "&amp;I98&amp;IF(J98&lt;&gt;""," ("&amp;J98&amp;")","")&amp;IF(K98&lt;&gt;"", ", "&amp;K98,"")&amp;IF(L98&lt;&gt;"", ", sob analgosedação com "&amp;L98,"")&amp;".",""),IF(M98&lt;&gt;"","Dieta "&amp;M98&amp;IF(N98&lt;&gt;"", ", com "&amp;LOWER(N98),"")&amp;IF(O98&lt;&gt;"", " — "&amp;O98,"")&amp;".",""),IF(P98="Febre","Apresentou episódio febril nas últimas 24h"&amp;IF(Q98&lt;&gt;""," ("&amp;Q98&amp;")","")&amp;".",IF(P98="Afebril","Encontra-se afebril.","")),IF(R98&lt;&gt;"",IF(S98="Sim","Apresenta disfunção renal aguda ","Função renal preservada ")&amp;"("&amp;R98&amp;").",""),IF(T98&lt;&gt;"","Em uso do esquema antimicrobiano com "&amp;T98&amp;".",""),IF(U98&lt;&gt;"","Em uso de profilaxia: "&amp;U98&amp;".",""))&amp;CHAR(10)&amp;CHAR(10)&amp;"2. Farmacoterapia"&amp;CHAR(10)&amp;IF(V98&lt;&gt;"","Corticoide/DART: "&amp;V98,"Sem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("&amp;Intervenções!$G$2:$G$500&amp;")",(Intervenções!$B$2:$B$500=A98)*(Intervenções!$A$2:$A$500=F98))),"Nenhuma intervenção registrada hoje.")&amp;CHAR(10)&amp;CHAR(10)&amp;"4. Plano Terapêutico"&amp;CHAR(10)&amp;IF(W98&lt;&gt;"",W98,"Não definido.")</f>
      </c>
    </row>
    <row r="99" spans="1:24" x14ac:dyDescent="0.25">
      <c r="A99" s="6"/>
      <c r="B99" s="9">
        <f>IFERROR(INDEX(Pacientes!$A:$A,MATCH($A99,Pacientes!$B:$B,0)),"")</f>
      </c>
      <c r="C99" s="9">
        <f>IFERROR(INDEX(Pacientes!$C:$C,MATCH($A99,Pacientes!$B:$B,0)),"")</f>
      </c>
      <c r="D99" s="9">
        <f>IFERROR(INDEX(Pacientes!$D:$D,MATCH($A99,Pacientes!$B:$B,0)),"")</f>
      </c>
      <c r="E99" s="9">
        <f>IFERROR(INDEX(Pacientes!$E:$E,MATCH($A99,Pacientes!$B:$B,0)),"")</f>
      </c>
      <c r="F99" s="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>
        <f>"1. Evolução Clínica"&amp;CHAR(10)&amp;TEXTJOIN(" ",TRUE,"Paciente "&amp;G99&amp;", "&amp;IF(H99="","sem DVA","em uso de "&amp;H99)&amp;".",IF(I99&lt;&gt;"","Em "&amp;I99&amp;IF(J99&lt;&gt;""," ("&amp;J99&amp;")","")&amp;IF(K99&lt;&gt;"", ", "&amp;K99,"")&amp;IF(L99&lt;&gt;"", ", sob analgosedação com "&amp;L99,"")&amp;".",""),IF(M99&lt;&gt;"","Dieta "&amp;M99&amp;IF(N99&lt;&gt;"", ", com "&amp;LOWER(N99),"")&amp;IF(O99&lt;&gt;"", " — "&amp;O99,"")&amp;".",""),IF(P99="Febre","Apresentou episódio febril nas últimas 24h"&amp;IF(Q99&lt;&gt;""," ("&amp;Q99&amp;")","")&amp;".",IF(P99="Afebril","Encontra-se afebril.","")),IF(R99&lt;&gt;"",IF(S99="Sim","Apresenta disfunção renal aguda ","Função renal preservada ")&amp;"("&amp;R99&amp;").",""),IF(T99&lt;&gt;"","Em uso do esquema antimicrobiano com "&amp;T99&amp;".",""),IF(U99&lt;&gt;"","Em uso de profilaxia: "&amp;U99&amp;".",""))&amp;CHAR(10)&amp;CHAR(10)&amp;"2. Farmacoterapia"&amp;CHAR(10)&amp;IF(V99&lt;&gt;"","Corticoide/DART: "&amp;V99,"Sem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("&amp;Intervenções!$G$2:$G$500&amp;")",(Intervenções!$B$2:$B$500=A99)*(Intervenções!$A$2:$A$500=F99))),"Nenhuma intervenção registrada hoje.")&amp;CHAR(10)&amp;CHAR(10)&amp;"4. Plano Terapêutico"&amp;CHAR(10)&amp;IF(W99&lt;&gt;"",W99,"Não definido.")</f>
      </c>
    </row>
    <row r="100" spans="1:24" x14ac:dyDescent="0.25">
      <c r="A100" s="6"/>
      <c r="B100" s="9">
        <f>IFERROR(INDEX(Pacientes!$A:$A,MATCH($A100,Pacientes!$B:$B,0)),"")</f>
      </c>
      <c r="C100" s="9">
        <f>IFERROR(INDEX(Pacientes!$C:$C,MATCH($A100,Pacientes!$B:$B,0)),"")</f>
      </c>
      <c r="D100" s="9">
        <f>IFERROR(INDEX(Pacientes!$D:$D,MATCH($A100,Pacientes!$B:$B,0)),"")</f>
      </c>
      <c r="E100" s="9">
        <f>IFERROR(INDEX(Pacientes!$E:$E,MATCH($A100,Pacientes!$B:$B,0)),"")</f>
      </c>
      <c r="F100" s="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>
        <f>"1. Evolução Clínica"&amp;CHAR(10)&amp;TEXTJOIN(" ",TRUE,"Paciente "&amp;G100&amp;", "&amp;IF(H100="","sem DVA","em uso de "&amp;H100)&amp;".",IF(I100&lt;&gt;"","Em "&amp;I100&amp;IF(J100&lt;&gt;""," ("&amp;J100&amp;")","")&amp;IF(K100&lt;&gt;"", ", "&amp;K100,"")&amp;IF(L100&lt;&gt;"", ", sob analgosedação com "&amp;L100,"")&amp;".",""),IF(M100&lt;&gt;"","Dieta "&amp;M100&amp;IF(N100&lt;&gt;"", ", com "&amp;LOWER(N100),"")&amp;IF(O100&lt;&gt;"", " — "&amp;O100,"")&amp;".",""),IF(P100="Febre","Apresentou episódio febril nas últimas 24h"&amp;IF(Q100&lt;&gt;""," ("&amp;Q100&amp;")","")&amp;".",IF(P100="Afebril","Encontra-se afebril.","")),IF(R100&lt;&gt;"",IF(S100="Sim","Apresenta disfunção renal aguda ","Função renal preservada ")&amp;"("&amp;R100&amp;").",""),IF(T100&lt;&gt;"","Em uso do esquema antimicrobiano com "&amp;T100&amp;".",""),IF(U100&lt;&gt;"","Em uso de profilaxia: "&amp;U100&amp;".",""))&amp;CHAR(10)&amp;CHAR(10)&amp;"2. Farmacoterapia"&amp;CHAR(10)&amp;IF(V100&lt;&gt;"","Corticoide/DART: "&amp;V100,"Sem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("&amp;Intervenções!$G$2:$G$500&amp;")",(Intervenções!$B$2:$B$500=A100)*(Intervenções!$A$2:$A$500=F100))),"Nenhuma intervenção registrada hoje.")&amp;CHAR(10)&amp;CHAR(10)&amp;"4. Plano Terapêutico"&amp;CHAR(10)&amp;IF(W100&lt;&gt;"",W100,"Não definido.")</f>
      </c>
    </row>
    <row r="101" spans="1:24" x14ac:dyDescent="0.25">
      <c r="A101" s="6"/>
      <c r="B101" s="9">
        <f>IFERROR(INDEX(Pacientes!$A:$A,MATCH($A101,Pacientes!$B:$B,0)),"")</f>
      </c>
      <c r="C101" s="9">
        <f>IFERROR(INDEX(Pacientes!$C:$C,MATCH($A101,Pacientes!$B:$B,0)),"")</f>
      </c>
      <c r="D101" s="9">
        <f>IFERROR(INDEX(Pacientes!$D:$D,MATCH($A101,Pacientes!$B:$B,0)),"")</f>
      </c>
      <c r="E101" s="9">
        <f>IFERROR(INDEX(Pacientes!$E:$E,MATCH($A101,Pacientes!$B:$B,0)),"")</f>
      </c>
      <c r="F101" s="7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>
        <f>"1. Evolução Clínica"&amp;CHAR(10)&amp;TEXTJOIN(" ",TRUE,"Paciente "&amp;G101&amp;", "&amp;IF(H101="","sem DVA","em uso de "&amp;H101)&amp;".",IF(I101&lt;&gt;"","Em "&amp;I101&amp;IF(J101&lt;&gt;""," ("&amp;J101&amp;")","")&amp;IF(K101&lt;&gt;"", ", "&amp;K101,"")&amp;IF(L101&lt;&gt;"", ", sob analgosedação com "&amp;L101,"")&amp;".",""),IF(M101&lt;&gt;"","Dieta "&amp;M101&amp;IF(N101&lt;&gt;"", ", com "&amp;LOWER(N101),"")&amp;IF(O101&lt;&gt;"", " — "&amp;O101,"")&amp;".",""),IF(P101="Febre","Apresentou episódio febril nas últimas 24h"&amp;IF(Q101&lt;&gt;""," ("&amp;Q101&amp;")","")&amp;".",IF(P101="Afebril","Encontra-se afebril.","")),IF(R101&lt;&gt;"",IF(S101="Sim","Apresenta disfunção renal aguda ","Função renal preservada ")&amp;"("&amp;R101&amp;").",""),IF(T101&lt;&gt;"","Em uso do esquema antimicrobiano com "&amp;T101&amp;".",""),IF(U101&lt;&gt;"","Em uso de profilaxia: "&amp;U101&amp;".",""))&amp;CHAR(10)&amp;CHAR(10)&amp;"2. Farmacoterapia"&amp;CHAR(10)&amp;IF(V101&lt;&gt;"","Corticoide/DART: "&amp;V101,"Sem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("&amp;Intervenções!$G$2:$G$500&amp;")",(Intervenções!$B$2:$B$500=A101)*(Intervenções!$A$2:$A$500=F101))),"Nenhuma intervenção registrada hoje.")&amp;CHAR(10)&amp;CHAR(10)&amp;"4. Plano Terapêutico"&amp;CHAR(10)&amp;IF(W101&lt;&gt;"",W101,"Não definido.")</f>
      </c>
    </row>
    <row r="102" spans="1:24" x14ac:dyDescent="0.25">
      <c r="A102" s="6"/>
      <c r="B102" s="9">
        <f>IFERROR(INDEX(Pacientes!$A:$A,MATCH($A102,Pacientes!$B:$B,0)),"")</f>
      </c>
      <c r="C102" s="9">
        <f>IFERROR(INDEX(Pacientes!$C:$C,MATCH($A102,Pacientes!$B:$B,0)),"")</f>
      </c>
      <c r="D102" s="9">
        <f>IFERROR(INDEX(Pacientes!$D:$D,MATCH($A102,Pacientes!$B:$B,0)),"")</f>
      </c>
      <c r="E102" s="9">
        <f>IFERROR(INDEX(Pacientes!$E:$E,MATCH($A102,Pacientes!$B:$B,0)),"")</f>
      </c>
      <c r="F102" s="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>
        <f>"1. Evolução Clínica"&amp;CHAR(10)&amp;TEXTJOIN(" ",TRUE,"Paciente "&amp;G102&amp;", "&amp;IF(H102="","sem DVA","em uso de "&amp;H102)&amp;".",IF(I102&lt;&gt;"","Em "&amp;I102&amp;IF(J102&lt;&gt;""," ("&amp;J102&amp;")","")&amp;IF(K102&lt;&gt;"", ", "&amp;K102,"")&amp;IF(L102&lt;&gt;"", ", sob analgosedação com "&amp;L102,"")&amp;".",""),IF(M102&lt;&gt;"","Dieta "&amp;M102&amp;IF(N102&lt;&gt;"", ", com "&amp;LOWER(N102),"")&amp;IF(O102&lt;&gt;"", " — "&amp;O102,"")&amp;".",""),IF(P102="Febre","Apresentou episódio febril nas últimas 24h"&amp;IF(Q102&lt;&gt;""," ("&amp;Q102&amp;")","")&amp;".",IF(P102="Afebril","Encontra-se afebril.","")),IF(R102&lt;&gt;"",IF(S102="Sim","Apresenta disfunção renal aguda ","Função renal preservada ")&amp;"("&amp;R102&amp;").",""),IF(T102&lt;&gt;"","Em uso do esquema antimicrobiano com "&amp;T102&amp;".",""),IF(U102&lt;&gt;"","Em uso de profilaxia: "&amp;U102&amp;".",""))&amp;CHAR(10)&amp;CHAR(10)&amp;"2. Farmacoterapia"&amp;CHAR(10)&amp;IF(V102&lt;&gt;"","Corticoide/DART: "&amp;V102,"Sem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("&amp;Intervenções!$G$2:$G$500&amp;")",(Intervenções!$B$2:$B$500=A102)*(Intervenções!$A$2:$A$500=F102))),"Nenhuma intervenção registrada hoje.")&amp;CHAR(10)&amp;CHAR(10)&amp;"4. Plano Terapêutico"&amp;CHAR(10)&amp;IF(W102&lt;&gt;"",W102,"Não definido.")</f>
      </c>
    </row>
    <row r="103" spans="1:24" x14ac:dyDescent="0.25">
      <c r="A103" s="6"/>
      <c r="B103" s="9">
        <f>IFERROR(INDEX(Pacientes!$A:$A,MATCH($A103,Pacientes!$B:$B,0)),"")</f>
      </c>
      <c r="C103" s="9">
        <f>IFERROR(INDEX(Pacientes!$C:$C,MATCH($A103,Pacientes!$B:$B,0)),"")</f>
      </c>
      <c r="D103" s="9">
        <f>IFERROR(INDEX(Pacientes!$D:$D,MATCH($A103,Pacientes!$B:$B,0)),"")</f>
      </c>
      <c r="E103" s="9">
        <f>IFERROR(INDEX(Pacientes!$E:$E,MATCH($A103,Pacientes!$B:$B,0)),"")</f>
      </c>
      <c r="F103" s="7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>
        <f>"1. Evolução Clínica"&amp;CHAR(10)&amp;TEXTJOIN(" ",TRUE,"Paciente "&amp;G103&amp;", "&amp;IF(H103="","sem DVA","em uso de "&amp;H103)&amp;".",IF(I103&lt;&gt;"","Em "&amp;I103&amp;IF(J103&lt;&gt;""," ("&amp;J103&amp;")","")&amp;IF(K103&lt;&gt;"", ", "&amp;K103,"")&amp;IF(L103&lt;&gt;"", ", sob analgosedação com "&amp;L103,"")&amp;".",""),IF(M103&lt;&gt;"","Dieta "&amp;M103&amp;IF(N103&lt;&gt;"", ", com "&amp;LOWER(N103),"")&amp;IF(O103&lt;&gt;"", " — "&amp;O103,"")&amp;".",""),IF(P103="Febre","Apresentou episódio febril nas últimas 24h"&amp;IF(Q103&lt;&gt;""," ("&amp;Q103&amp;")","")&amp;".",IF(P103="Afebril","Encontra-se afebril.","")),IF(R103&lt;&gt;"",IF(S103="Sim","Apresenta disfunção renal aguda ","Função renal preservada ")&amp;"("&amp;R103&amp;").",""),IF(T103&lt;&gt;"","Em uso do esquema antimicrobiano com "&amp;T103&amp;".",""),IF(U103&lt;&gt;"","Em uso de profilaxia: "&amp;U103&amp;".",""))&amp;CHAR(10)&amp;CHAR(10)&amp;"2. Farmacoterapia"&amp;CHAR(10)&amp;IF(V103&lt;&gt;"","Corticoide/DART: "&amp;V103,"Sem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("&amp;Intervenções!$G$2:$G$500&amp;")",(Intervenções!$B$2:$B$500=A103)*(Intervenções!$A$2:$A$500=F103))),"Nenhuma intervenção registrada hoje.")&amp;CHAR(10)&amp;CHAR(10)&amp;"4. Plano Terapêutico"&amp;CHAR(10)&amp;IF(W103&lt;&gt;"",W103,"Não definido.")</f>
      </c>
    </row>
    <row r="104" spans="1:24" x14ac:dyDescent="0.25">
      <c r="A104" s="6"/>
      <c r="B104" s="9">
        <f>IFERROR(INDEX(Pacientes!$A:$A,MATCH($A104,Pacientes!$B:$B,0)),"")</f>
      </c>
      <c r="C104" s="9">
        <f>IFERROR(INDEX(Pacientes!$C:$C,MATCH($A104,Pacientes!$B:$B,0)),"")</f>
      </c>
      <c r="D104" s="9">
        <f>IFERROR(INDEX(Pacientes!$D:$D,MATCH($A104,Pacientes!$B:$B,0)),"")</f>
      </c>
      <c r="E104" s="9">
        <f>IFERROR(INDEX(Pacientes!$E:$E,MATCH($A104,Pacientes!$B:$B,0)),"")</f>
      </c>
      <c r="F104" s="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>
        <f>"1. Evolução Clínica"&amp;CHAR(10)&amp;TEXTJOIN(" ",TRUE,"Paciente "&amp;G104&amp;", "&amp;IF(H104="","sem DVA","em uso de "&amp;H104)&amp;".",IF(I104&lt;&gt;"","Em "&amp;I104&amp;IF(J104&lt;&gt;""," ("&amp;J104&amp;")","")&amp;IF(K104&lt;&gt;"", ", "&amp;K104,"")&amp;IF(L104&lt;&gt;"", ", sob analgosedação com "&amp;L104,"")&amp;".",""),IF(M104&lt;&gt;"","Dieta "&amp;M104&amp;IF(N104&lt;&gt;"", ", com "&amp;LOWER(N104),"")&amp;IF(O104&lt;&gt;"", " — "&amp;O104,"")&amp;".",""),IF(P104="Febre","Apresentou episódio febril nas últimas 24h"&amp;IF(Q104&lt;&gt;""," ("&amp;Q104&amp;")","")&amp;".",IF(P104="Afebril","Encontra-se afebril.","")),IF(R104&lt;&gt;"",IF(S104="Sim","Apresenta disfunção renal aguda ","Função renal preservada ")&amp;"("&amp;R104&amp;").",""),IF(T104&lt;&gt;"","Em uso do esquema antimicrobiano com "&amp;T104&amp;".",""),IF(U104&lt;&gt;"","Em uso de profilaxia: "&amp;U104&amp;".",""))&amp;CHAR(10)&amp;CHAR(10)&amp;"2. Farmacoterapia"&amp;CHAR(10)&amp;IF(V104&lt;&gt;"","Corticoide/DART: "&amp;V104,"Sem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("&amp;Intervenções!$G$2:$G$500&amp;")",(Intervenções!$B$2:$B$500=A104)*(Intervenções!$A$2:$A$500=F104))),"Nenhuma intervenção registrada hoje.")&amp;CHAR(10)&amp;CHAR(10)&amp;"4. Plano Terapêutico"&amp;CHAR(10)&amp;IF(W104&lt;&gt;"",W104,"Não definido.")</f>
      </c>
    </row>
    <row r="105" spans="1:24" x14ac:dyDescent="0.25">
      <c r="A105" s="6"/>
      <c r="B105" s="9">
        <f>IFERROR(INDEX(Pacientes!$A:$A,MATCH($A105,Pacientes!$B:$B,0)),"")</f>
      </c>
      <c r="C105" s="9">
        <f>IFERROR(INDEX(Pacientes!$C:$C,MATCH($A105,Pacientes!$B:$B,0)),"")</f>
      </c>
      <c r="D105" s="9">
        <f>IFERROR(INDEX(Pacientes!$D:$D,MATCH($A105,Pacientes!$B:$B,0)),"")</f>
      </c>
      <c r="E105" s="9">
        <f>IFERROR(INDEX(Pacientes!$E:$E,MATCH($A105,Pacientes!$B:$B,0)),"")</f>
      </c>
      <c r="F105" s="7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>
        <f>"1. Evolução Clínica"&amp;CHAR(10)&amp;TEXTJOIN(" ",TRUE,"Paciente "&amp;G105&amp;", "&amp;IF(H105="","sem DVA","em uso de "&amp;H105)&amp;".",IF(I105&lt;&gt;"","Em "&amp;I105&amp;IF(J105&lt;&gt;""," ("&amp;J105&amp;")","")&amp;IF(K105&lt;&gt;"", ", "&amp;K105,"")&amp;IF(L105&lt;&gt;"", ", sob analgosedação com "&amp;L105,"")&amp;".",""),IF(M105&lt;&gt;"","Dieta "&amp;M105&amp;IF(N105&lt;&gt;"", ", com "&amp;LOWER(N105),"")&amp;IF(O105&lt;&gt;"", " — "&amp;O105,"")&amp;".",""),IF(P105="Febre","Apresentou episódio febril nas últimas 24h"&amp;IF(Q105&lt;&gt;""," ("&amp;Q105&amp;")","")&amp;".",IF(P105="Afebril","Encontra-se afebril.","")),IF(R105&lt;&gt;"",IF(S105="Sim","Apresenta disfunção renal aguda ","Função renal preservada ")&amp;"("&amp;R105&amp;").",""),IF(T105&lt;&gt;"","Em uso do esquema antimicrobiano com "&amp;T105&amp;".",""),IF(U105&lt;&gt;"","Em uso de profilaxia: "&amp;U105&amp;".",""))&amp;CHAR(10)&amp;CHAR(10)&amp;"2. Farmacoterapia"&amp;CHAR(10)&amp;IF(V105&lt;&gt;"","Corticoide/DART: "&amp;V105,"Sem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("&amp;Intervenções!$G$2:$G$500&amp;")",(Intervenções!$B$2:$B$500=A105)*(Intervenções!$A$2:$A$500=F105))),"Nenhuma intervenção registrada hoje.")&amp;CHAR(10)&amp;CHAR(10)&amp;"4. Plano Terapêutico"&amp;CHAR(10)&amp;IF(W105&lt;&gt;"",W105,"Não definido.")</f>
      </c>
    </row>
    <row r="106" spans="1:24" x14ac:dyDescent="0.25">
      <c r="A106" s="6"/>
      <c r="B106" s="9">
        <f>IFERROR(INDEX(Pacientes!$A:$A,MATCH($A106,Pacientes!$B:$B,0)),"")</f>
      </c>
      <c r="C106" s="9">
        <f>IFERROR(INDEX(Pacientes!$C:$C,MATCH($A106,Pacientes!$B:$B,0)),"")</f>
      </c>
      <c r="D106" s="9">
        <f>IFERROR(INDEX(Pacientes!$D:$D,MATCH($A106,Pacientes!$B:$B,0)),"")</f>
      </c>
      <c r="E106" s="9">
        <f>IFERROR(INDEX(Pacientes!$E:$E,MATCH($A106,Pacientes!$B:$B,0)),"")</f>
      </c>
      <c r="F106" s="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>
        <f>"1. Evolução Clínica"&amp;CHAR(10)&amp;TEXTJOIN(" ",TRUE,"Paciente "&amp;G106&amp;", "&amp;IF(H106="","sem DVA","em uso de "&amp;H106)&amp;".",IF(I106&lt;&gt;"","Em "&amp;I106&amp;IF(J106&lt;&gt;""," ("&amp;J106&amp;")","")&amp;IF(K106&lt;&gt;"", ", "&amp;K106,"")&amp;IF(L106&lt;&gt;"", ", sob analgosedação com "&amp;L106,"")&amp;".",""),IF(M106&lt;&gt;"","Dieta "&amp;M106&amp;IF(N106&lt;&gt;"", ", com "&amp;LOWER(N106),"")&amp;IF(O106&lt;&gt;"", " — "&amp;O106,"")&amp;".",""),IF(P106="Febre","Apresentou episódio febril nas últimas 24h"&amp;IF(Q106&lt;&gt;""," ("&amp;Q106&amp;")","")&amp;".",IF(P106="Afebril","Encontra-se afebril.","")),IF(R106&lt;&gt;"",IF(S106="Sim","Apresenta disfunção renal aguda ","Função renal preservada ")&amp;"("&amp;R106&amp;").",""),IF(T106&lt;&gt;"","Em uso do esquema antimicrobiano com "&amp;T106&amp;".",""),IF(U106&lt;&gt;"","Em uso de profilaxia: "&amp;U106&amp;".",""))&amp;CHAR(10)&amp;CHAR(10)&amp;"2. Farmacoterapia"&amp;CHAR(10)&amp;IF(V106&lt;&gt;"","Corticoide/DART: "&amp;V106,"Sem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("&amp;Intervenções!$G$2:$G$500&amp;")",(Intervenções!$B$2:$B$500=A106)*(Intervenções!$A$2:$A$500=F106))),"Nenhuma intervenção registrada hoje.")&amp;CHAR(10)&amp;CHAR(10)&amp;"4. Plano Terapêutico"&amp;CHAR(10)&amp;IF(W106&lt;&gt;"",W106,"Não definido.")</f>
      </c>
    </row>
    <row r="107" spans="1:24" x14ac:dyDescent="0.25">
      <c r="A107" s="6"/>
      <c r="B107" s="9">
        <f>IFERROR(INDEX(Pacientes!$A:$A,MATCH($A107,Pacientes!$B:$B,0)),"")</f>
      </c>
      <c r="C107" s="9">
        <f>IFERROR(INDEX(Pacientes!$C:$C,MATCH($A107,Pacientes!$B:$B,0)),"")</f>
      </c>
      <c r="D107" s="9">
        <f>IFERROR(INDEX(Pacientes!$D:$D,MATCH($A107,Pacientes!$B:$B,0)),"")</f>
      </c>
      <c r="E107" s="9">
        <f>IFERROR(INDEX(Pacientes!$E:$E,MATCH($A107,Pacientes!$B:$B,0)),"")</f>
      </c>
      <c r="F107" s="7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>
        <f>"1. Evolução Clínica"&amp;CHAR(10)&amp;TEXTJOIN(" ",TRUE,"Paciente "&amp;G107&amp;", "&amp;IF(H107="","sem DVA","em uso de "&amp;H107)&amp;".",IF(I107&lt;&gt;"","Em "&amp;I107&amp;IF(J107&lt;&gt;""," ("&amp;J107&amp;")","")&amp;IF(K107&lt;&gt;"", ", "&amp;K107,"")&amp;IF(L107&lt;&gt;"", ", sob analgosedação com "&amp;L107,"")&amp;".",""),IF(M107&lt;&gt;"","Dieta "&amp;M107&amp;IF(N107&lt;&gt;"", ", com "&amp;LOWER(N107),"")&amp;IF(O107&lt;&gt;"", " — "&amp;O107,"")&amp;".",""),IF(P107="Febre","Apresentou episódio febril nas últimas 24h"&amp;IF(Q107&lt;&gt;""," ("&amp;Q107&amp;")","")&amp;".",IF(P107="Afebril","Encontra-se afebril.","")),IF(R107&lt;&gt;"",IF(S107="Sim","Apresenta disfunção renal aguda ","Função renal preservada ")&amp;"("&amp;R107&amp;").",""),IF(T107&lt;&gt;"","Em uso do esquema antimicrobiano com "&amp;T107&amp;".",""),IF(U107&lt;&gt;"","Em uso de profilaxia: "&amp;U107&amp;".",""))&amp;CHAR(10)&amp;CHAR(10)&amp;"2. Farmacoterapia"&amp;CHAR(10)&amp;IF(V107&lt;&gt;"","Corticoide/DART: "&amp;V107,"Sem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("&amp;Intervenções!$G$2:$G$500&amp;")",(Intervenções!$B$2:$B$500=A107)*(Intervenções!$A$2:$A$500=F107))),"Nenhuma intervenção registrada hoje.")&amp;CHAR(10)&amp;CHAR(10)&amp;"4. Plano Terapêutico"&amp;CHAR(10)&amp;IF(W107&lt;&gt;"",W107,"Não definido.")</f>
      </c>
    </row>
    <row r="108" spans="1:24" x14ac:dyDescent="0.25">
      <c r="A108" s="6"/>
      <c r="B108" s="9">
        <f>IFERROR(INDEX(Pacientes!$A:$A,MATCH($A108,Pacientes!$B:$B,0)),"")</f>
      </c>
      <c r="C108" s="9">
        <f>IFERROR(INDEX(Pacientes!$C:$C,MATCH($A108,Pacientes!$B:$B,0)),"")</f>
      </c>
      <c r="D108" s="9">
        <f>IFERROR(INDEX(Pacientes!$D:$D,MATCH($A108,Pacientes!$B:$B,0)),"")</f>
      </c>
      <c r="E108" s="9">
        <f>IFERROR(INDEX(Pacientes!$E:$E,MATCH($A108,Pacientes!$B:$B,0)),"")</f>
      </c>
      <c r="F108" s="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>
        <f>"1. Evolução Clínica"&amp;CHAR(10)&amp;TEXTJOIN(" ",TRUE,"Paciente "&amp;G108&amp;", "&amp;IF(H108="","sem DVA","em uso de "&amp;H108)&amp;".",IF(I108&lt;&gt;"","Em "&amp;I108&amp;IF(J108&lt;&gt;""," ("&amp;J108&amp;")","")&amp;IF(K108&lt;&gt;"", ", "&amp;K108,"")&amp;IF(L108&lt;&gt;"", ", sob analgosedação com "&amp;L108,"")&amp;".",""),IF(M108&lt;&gt;"","Dieta "&amp;M108&amp;IF(N108&lt;&gt;"", ", com "&amp;LOWER(N108),"")&amp;IF(O108&lt;&gt;"", " — "&amp;O108,"")&amp;".",""),IF(P108="Febre","Apresentou episódio febril nas últimas 24h"&amp;IF(Q108&lt;&gt;""," ("&amp;Q108&amp;")","")&amp;".",IF(P108="Afebril","Encontra-se afebril.","")),IF(R108&lt;&gt;"",IF(S108="Sim","Apresenta disfunção renal aguda ","Função renal preservada ")&amp;"("&amp;R108&amp;").",""),IF(T108&lt;&gt;"","Em uso do esquema antimicrobiano com "&amp;T108&amp;".",""),IF(U108&lt;&gt;"","Em uso de profilaxia: "&amp;U108&amp;".",""))&amp;CHAR(10)&amp;CHAR(10)&amp;"2. Farmacoterapia"&amp;CHAR(10)&amp;IF(V108&lt;&gt;"","Corticoide/DART: "&amp;V108,"Sem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("&amp;Intervenções!$G$2:$G$500&amp;")",(Intervenções!$B$2:$B$500=A108)*(Intervenções!$A$2:$A$500=F108))),"Nenhuma intervenção registrada hoje.")&amp;CHAR(10)&amp;CHAR(10)&amp;"4. Plano Terapêutico"&amp;CHAR(10)&amp;IF(W108&lt;&gt;"",W108,"Não definido.")</f>
      </c>
    </row>
    <row r="109" spans="1:24" x14ac:dyDescent="0.25">
      <c r="A109" s="6"/>
      <c r="B109" s="9">
        <f>IFERROR(INDEX(Pacientes!$A:$A,MATCH($A109,Pacientes!$B:$B,0)),"")</f>
      </c>
      <c r="C109" s="9">
        <f>IFERROR(INDEX(Pacientes!$C:$C,MATCH($A109,Pacientes!$B:$B,0)),"")</f>
      </c>
      <c r="D109" s="9">
        <f>IFERROR(INDEX(Pacientes!$D:$D,MATCH($A109,Pacientes!$B:$B,0)),"")</f>
      </c>
      <c r="E109" s="9">
        <f>IFERROR(INDEX(Pacientes!$E:$E,MATCH($A109,Pacientes!$B:$B,0)),"")</f>
      </c>
      <c r="F109" s="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>
        <f>"1. Evolução Clínica"&amp;CHAR(10)&amp;TEXTJOIN(" ",TRUE,"Paciente "&amp;G109&amp;", "&amp;IF(H109="","sem DVA","em uso de "&amp;H109)&amp;".",IF(I109&lt;&gt;"","Em "&amp;I109&amp;IF(J109&lt;&gt;""," ("&amp;J109&amp;")","")&amp;IF(K109&lt;&gt;"", ", "&amp;K109,"")&amp;IF(L109&lt;&gt;"", ", sob analgosedação com "&amp;L109,"")&amp;".",""),IF(M109&lt;&gt;"","Dieta "&amp;M109&amp;IF(N109&lt;&gt;"", ", com "&amp;LOWER(N109),"")&amp;IF(O109&lt;&gt;"", " — "&amp;O109,"")&amp;".",""),IF(P109="Febre","Apresentou episódio febril nas últimas 24h"&amp;IF(Q109&lt;&gt;""," ("&amp;Q109&amp;")","")&amp;".",IF(P109="Afebril","Encontra-se afebril.","")),IF(R109&lt;&gt;"",IF(S109="Sim","Apresenta disfunção renal aguda ","Função renal preservada ")&amp;"("&amp;R109&amp;").",""),IF(T109&lt;&gt;"","Em uso do esquema antimicrobiano com "&amp;T109&amp;".",""),IF(U109&lt;&gt;"","Em uso de profilaxia: "&amp;U109&amp;".",""))&amp;CHAR(10)&amp;CHAR(10)&amp;"2. Farmacoterapia"&amp;CHAR(10)&amp;IF(V109&lt;&gt;"","Corticoide/DART: "&amp;V109,"Sem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("&amp;Intervenções!$G$2:$G$500&amp;")",(Intervenções!$B$2:$B$500=A109)*(Intervenções!$A$2:$A$500=F109))),"Nenhuma intervenção registrada hoje.")&amp;CHAR(10)&amp;CHAR(10)&amp;"4. Plano Terapêutico"&amp;CHAR(10)&amp;IF(W109&lt;&gt;"",W109,"Não definido.")</f>
      </c>
    </row>
    <row r="110" spans="1:24" x14ac:dyDescent="0.25">
      <c r="A110" s="6"/>
      <c r="B110" s="9">
        <f>IFERROR(INDEX(Pacientes!$A:$A,MATCH($A110,Pacientes!$B:$B,0)),"")</f>
      </c>
      <c r="C110" s="9">
        <f>IFERROR(INDEX(Pacientes!$C:$C,MATCH($A110,Pacientes!$B:$B,0)),"")</f>
      </c>
      <c r="D110" s="9">
        <f>IFERROR(INDEX(Pacientes!$D:$D,MATCH($A110,Pacientes!$B:$B,0)),"")</f>
      </c>
      <c r="E110" s="9">
        <f>IFERROR(INDEX(Pacientes!$E:$E,MATCH($A110,Pacientes!$B:$B,0)),"")</f>
      </c>
      <c r="F110" s="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>
        <f>"1. Evolução Clínica"&amp;CHAR(10)&amp;TEXTJOIN(" ",TRUE,"Paciente "&amp;G110&amp;", "&amp;IF(H110="","sem DVA","em uso de "&amp;H110)&amp;".",IF(I110&lt;&gt;"","Em "&amp;I110&amp;IF(J110&lt;&gt;""," ("&amp;J110&amp;")","")&amp;IF(K110&lt;&gt;"", ", "&amp;K110,"")&amp;IF(L110&lt;&gt;"", ", sob analgosedação com "&amp;L110,"")&amp;".",""),IF(M110&lt;&gt;"","Dieta "&amp;M110&amp;IF(N110&lt;&gt;"", ", com "&amp;LOWER(N110),"")&amp;IF(O110&lt;&gt;"", " — "&amp;O110,"")&amp;".",""),IF(P110="Febre","Apresentou episódio febril nas últimas 24h"&amp;IF(Q110&lt;&gt;""," ("&amp;Q110&amp;")","")&amp;".",IF(P110="Afebril","Encontra-se afebril.","")),IF(R110&lt;&gt;"",IF(S110="Sim","Apresenta disfunção renal aguda ","Função renal preservada ")&amp;"("&amp;R110&amp;").",""),IF(T110&lt;&gt;"","Em uso do esquema antimicrobiano com "&amp;T110&amp;".",""),IF(U110&lt;&gt;"","Em uso de profilaxia: "&amp;U110&amp;".",""))&amp;CHAR(10)&amp;CHAR(10)&amp;"2. Farmacoterapia"&amp;CHAR(10)&amp;IF(V110&lt;&gt;"","Corticoide/DART: "&amp;V110,"Sem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("&amp;Intervenções!$G$2:$G$500&amp;")",(Intervenções!$B$2:$B$500=A110)*(Intervenções!$A$2:$A$500=F110))),"Nenhuma intervenção registrada hoje.")&amp;CHAR(10)&amp;CHAR(10)&amp;"4. Plano Terapêutico"&amp;CHAR(10)&amp;IF(W110&lt;&gt;"",W110,"Não definido.")</f>
      </c>
    </row>
    <row r="111" spans="1:24" x14ac:dyDescent="0.25">
      <c r="A111" s="6"/>
      <c r="B111" s="9">
        <f>IFERROR(INDEX(Pacientes!$A:$A,MATCH($A111,Pacientes!$B:$B,0)),"")</f>
      </c>
      <c r="C111" s="9">
        <f>IFERROR(INDEX(Pacientes!$C:$C,MATCH($A111,Pacientes!$B:$B,0)),"")</f>
      </c>
      <c r="D111" s="9">
        <f>IFERROR(INDEX(Pacientes!$D:$D,MATCH($A111,Pacientes!$B:$B,0)),"")</f>
      </c>
      <c r="E111" s="9">
        <f>IFERROR(INDEX(Pacientes!$E:$E,MATCH($A111,Pacientes!$B:$B,0)),"")</f>
      </c>
      <c r="F111" s="7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>
        <f>"1. Evolução Clínica"&amp;CHAR(10)&amp;TEXTJOIN(" ",TRUE,"Paciente "&amp;G111&amp;", "&amp;IF(H111="","sem DVA","em uso de "&amp;H111)&amp;".",IF(I111&lt;&gt;"","Em "&amp;I111&amp;IF(J111&lt;&gt;""," ("&amp;J111&amp;")","")&amp;IF(K111&lt;&gt;"", ", "&amp;K111,"")&amp;IF(L111&lt;&gt;"", ", sob analgosedação com "&amp;L111,"")&amp;".",""),IF(M111&lt;&gt;"","Dieta "&amp;M111&amp;IF(N111&lt;&gt;"", ", com "&amp;LOWER(N111),"")&amp;IF(O111&lt;&gt;"", " — "&amp;O111,"")&amp;".",""),IF(P111="Febre","Apresentou episódio febril nas últimas 24h"&amp;IF(Q111&lt;&gt;""," ("&amp;Q111&amp;")","")&amp;".",IF(P111="Afebril","Encontra-se afebril.","")),IF(R111&lt;&gt;"",IF(S111="Sim","Apresenta disfunção renal aguda ","Função renal preservada ")&amp;"("&amp;R111&amp;").",""),IF(T111&lt;&gt;"","Em uso do esquema antimicrobiano com "&amp;T111&amp;".",""),IF(U111&lt;&gt;"","Em uso de profilaxia: "&amp;U111&amp;".",""))&amp;CHAR(10)&amp;CHAR(10)&amp;"2. Farmacoterapia"&amp;CHAR(10)&amp;IF(V111&lt;&gt;"","Corticoide/DART: "&amp;V111,"Sem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("&amp;Intervenções!$G$2:$G$500&amp;")",(Intervenções!$B$2:$B$500=A111)*(Intervenções!$A$2:$A$500=F111))),"Nenhuma intervenção registrada hoje.")&amp;CHAR(10)&amp;CHAR(10)&amp;"4. Plano Terapêutico"&amp;CHAR(10)&amp;IF(W111&lt;&gt;"",W111,"Não definido.")</f>
      </c>
    </row>
    <row r="112" spans="1:24" x14ac:dyDescent="0.25">
      <c r="A112" s="6"/>
      <c r="B112" s="9">
        <f>IFERROR(INDEX(Pacientes!$A:$A,MATCH($A112,Pacientes!$B:$B,0)),"")</f>
      </c>
      <c r="C112" s="9">
        <f>IFERROR(INDEX(Pacientes!$C:$C,MATCH($A112,Pacientes!$B:$B,0)),"")</f>
      </c>
      <c r="D112" s="9">
        <f>IFERROR(INDEX(Pacientes!$D:$D,MATCH($A112,Pacientes!$B:$B,0)),"")</f>
      </c>
      <c r="E112" s="9">
        <f>IFERROR(INDEX(Pacientes!$E:$E,MATCH($A112,Pacientes!$B:$B,0)),"")</f>
      </c>
      <c r="F112" s="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>
        <f>"1. Evolução Clínica"&amp;CHAR(10)&amp;TEXTJOIN(" ",TRUE,"Paciente "&amp;G112&amp;", "&amp;IF(H112="","sem DVA","em uso de "&amp;H112)&amp;".",IF(I112&lt;&gt;"","Em "&amp;I112&amp;IF(J112&lt;&gt;""," ("&amp;J112&amp;")","")&amp;IF(K112&lt;&gt;"", ", "&amp;K112,"")&amp;IF(L112&lt;&gt;"", ", sob analgosedação com "&amp;L112,"")&amp;".",""),IF(M112&lt;&gt;"","Dieta "&amp;M112&amp;IF(N112&lt;&gt;"", ", com "&amp;LOWER(N112),"")&amp;IF(O112&lt;&gt;"", " — "&amp;O112,"")&amp;".",""),IF(P112="Febre","Apresentou episódio febril nas últimas 24h"&amp;IF(Q112&lt;&gt;""," ("&amp;Q112&amp;")","")&amp;".",IF(P112="Afebril","Encontra-se afebril.","")),IF(R112&lt;&gt;"",IF(S112="Sim","Apresenta disfunção renal aguda ","Função renal preservada ")&amp;"("&amp;R112&amp;").",""),IF(T112&lt;&gt;"","Em uso do esquema antimicrobiano com "&amp;T112&amp;".",""),IF(U112&lt;&gt;"","Em uso de profilaxia: "&amp;U112&amp;".",""))&amp;CHAR(10)&amp;CHAR(10)&amp;"2. Farmacoterapia"&amp;CHAR(10)&amp;IF(V112&lt;&gt;"","Corticoide/DART: "&amp;V112,"Sem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("&amp;Intervenções!$G$2:$G$500&amp;")",(Intervenções!$B$2:$B$500=A112)*(Intervenções!$A$2:$A$500=F112))),"Nenhuma intervenção registrada hoje.")&amp;CHAR(10)&amp;CHAR(10)&amp;"4. Plano Terapêutico"&amp;CHAR(10)&amp;IF(W112&lt;&gt;"",W112,"Não definido.")</f>
      </c>
    </row>
    <row r="113" spans="1:24" x14ac:dyDescent="0.25">
      <c r="A113" s="6"/>
      <c r="B113" s="9">
        <f>IFERROR(INDEX(Pacientes!$A:$A,MATCH($A113,Pacientes!$B:$B,0)),"")</f>
      </c>
      <c r="C113" s="9">
        <f>IFERROR(INDEX(Pacientes!$C:$C,MATCH($A113,Pacientes!$B:$B,0)),"")</f>
      </c>
      <c r="D113" s="9">
        <f>IFERROR(INDEX(Pacientes!$D:$D,MATCH($A113,Pacientes!$B:$B,0)),"")</f>
      </c>
      <c r="E113" s="9">
        <f>IFERROR(INDEX(Pacientes!$E:$E,MATCH($A113,Pacientes!$B:$B,0)),"")</f>
      </c>
      <c r="F113" s="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>
        <f>"1. Evolução Clínica"&amp;CHAR(10)&amp;TEXTJOIN(" ",TRUE,"Paciente "&amp;G113&amp;", "&amp;IF(H113="","sem DVA","em uso de "&amp;H113)&amp;".",IF(I113&lt;&gt;"","Em "&amp;I113&amp;IF(J113&lt;&gt;""," ("&amp;J113&amp;")","")&amp;IF(K113&lt;&gt;"", ", "&amp;K113,"")&amp;IF(L113&lt;&gt;"", ", sob analgosedação com "&amp;L113,"")&amp;".",""),IF(M113&lt;&gt;"","Dieta "&amp;M113&amp;IF(N113&lt;&gt;"", ", com "&amp;LOWER(N113),"")&amp;IF(O113&lt;&gt;"", " — "&amp;O113,"")&amp;".",""),IF(P113="Febre","Apresentou episódio febril nas últimas 24h"&amp;IF(Q113&lt;&gt;""," ("&amp;Q113&amp;")","")&amp;".",IF(P113="Afebril","Encontra-se afebril.","")),IF(R113&lt;&gt;"",IF(S113="Sim","Apresenta disfunção renal aguda ","Função renal preservada ")&amp;"("&amp;R113&amp;").",""),IF(T113&lt;&gt;"","Em uso do esquema antimicrobiano com "&amp;T113&amp;".",""),IF(U113&lt;&gt;"","Em uso de profilaxia: "&amp;U113&amp;".",""))&amp;CHAR(10)&amp;CHAR(10)&amp;"2. Farmacoterapia"&amp;CHAR(10)&amp;IF(V113&lt;&gt;"","Corticoide/DART: "&amp;V113,"Sem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("&amp;Intervenções!$G$2:$G$500&amp;")",(Intervenções!$B$2:$B$500=A113)*(Intervenções!$A$2:$A$500=F113))),"Nenhuma intervenção registrada hoje.")&amp;CHAR(10)&amp;CHAR(10)&amp;"4. Plano Terapêutico"&amp;CHAR(10)&amp;IF(W113&lt;&gt;"",W113,"Não definido.")</f>
      </c>
    </row>
    <row r="114" spans="1:24" x14ac:dyDescent="0.25">
      <c r="A114" s="6"/>
      <c r="B114" s="9">
        <f>IFERROR(INDEX(Pacientes!$A:$A,MATCH($A114,Pacientes!$B:$B,0)),"")</f>
      </c>
      <c r="C114" s="9">
        <f>IFERROR(INDEX(Pacientes!$C:$C,MATCH($A114,Pacientes!$B:$B,0)),"")</f>
      </c>
      <c r="D114" s="9">
        <f>IFERROR(INDEX(Pacientes!$D:$D,MATCH($A114,Pacientes!$B:$B,0)),"")</f>
      </c>
      <c r="E114" s="9">
        <f>IFERROR(INDEX(Pacientes!$E:$E,MATCH($A114,Pacientes!$B:$B,0)),"")</f>
      </c>
      <c r="F114" s="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>
        <f>"1. Evolução Clínica"&amp;CHAR(10)&amp;TEXTJOIN(" ",TRUE,"Paciente "&amp;G114&amp;", "&amp;IF(H114="","sem DVA","em uso de "&amp;H114)&amp;".",IF(I114&lt;&gt;"","Em "&amp;I114&amp;IF(J114&lt;&gt;""," ("&amp;J114&amp;")","")&amp;IF(K114&lt;&gt;"", ", "&amp;K114,"")&amp;IF(L114&lt;&gt;"", ", sob analgosedação com "&amp;L114,"")&amp;".",""),IF(M114&lt;&gt;"","Dieta "&amp;M114&amp;IF(N114&lt;&gt;"", ", com "&amp;LOWER(N114),"")&amp;IF(O114&lt;&gt;"", " — "&amp;O114,"")&amp;".",""),IF(P114="Febre","Apresentou episódio febril nas últimas 24h"&amp;IF(Q114&lt;&gt;""," ("&amp;Q114&amp;")","")&amp;".",IF(P114="Afebril","Encontra-se afebril.","")),IF(R114&lt;&gt;"",IF(S114="Sim","Apresenta disfunção renal aguda ","Função renal preservada ")&amp;"("&amp;R114&amp;").",""),IF(T114&lt;&gt;"","Em uso do esquema antimicrobiano com "&amp;T114&amp;".",""),IF(U114&lt;&gt;"","Em uso de profilaxia: "&amp;U114&amp;".",""))&amp;CHAR(10)&amp;CHAR(10)&amp;"2. Farmacoterapia"&amp;CHAR(10)&amp;IF(V114&lt;&gt;"","Corticoide/DART: "&amp;V114,"Sem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("&amp;Intervenções!$G$2:$G$500&amp;")",(Intervenções!$B$2:$B$500=A114)*(Intervenções!$A$2:$A$500=F114))),"Nenhuma intervenção registrada hoje.")&amp;CHAR(10)&amp;CHAR(10)&amp;"4. Plano Terapêutico"&amp;CHAR(10)&amp;IF(W114&lt;&gt;"",W114,"Não definido.")</f>
      </c>
    </row>
    <row r="115" spans="1:24" x14ac:dyDescent="0.25">
      <c r="A115" s="6"/>
      <c r="B115" s="9">
        <f>IFERROR(INDEX(Pacientes!$A:$A,MATCH($A115,Pacientes!$B:$B,0)),"")</f>
      </c>
      <c r="C115" s="9">
        <f>IFERROR(INDEX(Pacientes!$C:$C,MATCH($A115,Pacientes!$B:$B,0)),"")</f>
      </c>
      <c r="D115" s="9">
        <f>IFERROR(INDEX(Pacientes!$D:$D,MATCH($A115,Pacientes!$B:$B,0)),"")</f>
      </c>
      <c r="E115" s="9">
        <f>IFERROR(INDEX(Pacientes!$E:$E,MATCH($A115,Pacientes!$B:$B,0)),"")</f>
      </c>
      <c r="F115" s="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>
        <f>"1. Evolução Clínica"&amp;CHAR(10)&amp;TEXTJOIN(" ",TRUE,"Paciente "&amp;G115&amp;", "&amp;IF(H115="","sem DVA","em uso de "&amp;H115)&amp;".",IF(I115&lt;&gt;"","Em "&amp;I115&amp;IF(J115&lt;&gt;""," ("&amp;J115&amp;")","")&amp;IF(K115&lt;&gt;"", ", "&amp;K115,"")&amp;IF(L115&lt;&gt;"", ", sob analgosedação com "&amp;L115,"")&amp;".",""),IF(M115&lt;&gt;"","Dieta "&amp;M115&amp;IF(N115&lt;&gt;"", ", com "&amp;LOWER(N115),"")&amp;IF(O115&lt;&gt;"", " — "&amp;O115,"")&amp;".",""),IF(P115="Febre","Apresentou episódio febril nas últimas 24h"&amp;IF(Q115&lt;&gt;""," ("&amp;Q115&amp;")","")&amp;".",IF(P115="Afebril","Encontra-se afebril.","")),IF(R115&lt;&gt;"",IF(S115="Sim","Apresenta disfunção renal aguda ","Função renal preservada ")&amp;"("&amp;R115&amp;").",""),IF(T115&lt;&gt;"","Em uso do esquema antimicrobiano com "&amp;T115&amp;".",""),IF(U115&lt;&gt;"","Em uso de profilaxia: "&amp;U115&amp;".",""))&amp;CHAR(10)&amp;CHAR(10)&amp;"2. Farmacoterapia"&amp;CHAR(10)&amp;IF(V115&lt;&gt;"","Corticoide/DART: "&amp;V115,"Sem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("&amp;Intervenções!$G$2:$G$500&amp;")",(Intervenções!$B$2:$B$500=A115)*(Intervenções!$A$2:$A$500=F115))),"Nenhuma intervenção registrada hoje.")&amp;CHAR(10)&amp;CHAR(10)&amp;"4. Plano Terapêutico"&amp;CHAR(10)&amp;IF(W115&lt;&gt;"",W115,"Não definido.")</f>
      </c>
    </row>
    <row r="116" spans="1:24" x14ac:dyDescent="0.25">
      <c r="A116" s="6"/>
      <c r="B116" s="9">
        <f>IFERROR(INDEX(Pacientes!$A:$A,MATCH($A116,Pacientes!$B:$B,0)),"")</f>
      </c>
      <c r="C116" s="9">
        <f>IFERROR(INDEX(Pacientes!$C:$C,MATCH($A116,Pacientes!$B:$B,0)),"")</f>
      </c>
      <c r="D116" s="9">
        <f>IFERROR(INDEX(Pacientes!$D:$D,MATCH($A116,Pacientes!$B:$B,0)),"")</f>
      </c>
      <c r="E116" s="9">
        <f>IFERROR(INDEX(Pacientes!$E:$E,MATCH($A116,Pacientes!$B:$B,0)),"")</f>
      </c>
      <c r="F116" s="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>
        <f>"1. Evolução Clínica"&amp;CHAR(10)&amp;TEXTJOIN(" ",TRUE,"Paciente "&amp;G116&amp;", "&amp;IF(H116="","sem DVA","em uso de "&amp;H116)&amp;".",IF(I116&lt;&gt;"","Em "&amp;I116&amp;IF(J116&lt;&gt;""," ("&amp;J116&amp;")","")&amp;IF(K116&lt;&gt;"", ", "&amp;K116,"")&amp;IF(L116&lt;&gt;"", ", sob analgosedação com "&amp;L116,"")&amp;".",""),IF(M116&lt;&gt;"","Dieta "&amp;M116&amp;IF(N116&lt;&gt;"", ", com "&amp;LOWER(N116),"")&amp;IF(O116&lt;&gt;"", " — "&amp;O116,"")&amp;".",""),IF(P116="Febre","Apresentou episódio febril nas últimas 24h"&amp;IF(Q116&lt;&gt;""," ("&amp;Q116&amp;")","")&amp;".",IF(P116="Afebril","Encontra-se afebril.","")),IF(R116&lt;&gt;"",IF(S116="Sim","Apresenta disfunção renal aguda ","Função renal preservada ")&amp;"("&amp;R116&amp;").",""),IF(T116&lt;&gt;"","Em uso do esquema antimicrobiano com "&amp;T116&amp;".",""),IF(U116&lt;&gt;"","Em uso de profilaxia: "&amp;U116&amp;".",""))&amp;CHAR(10)&amp;CHAR(10)&amp;"2. Farmacoterapia"&amp;CHAR(10)&amp;IF(V116&lt;&gt;"","Corticoide/DART: "&amp;V116,"Sem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("&amp;Intervenções!$G$2:$G$500&amp;")",(Intervenções!$B$2:$B$500=A116)*(Intervenções!$A$2:$A$500=F116))),"Nenhuma intervenção registrada hoje.")&amp;CHAR(10)&amp;CHAR(10)&amp;"4. Plano Terapêutico"&amp;CHAR(10)&amp;IF(W116&lt;&gt;"",W116,"Não definido.")</f>
      </c>
    </row>
    <row r="117" spans="1:24" x14ac:dyDescent="0.25">
      <c r="A117" s="6"/>
      <c r="B117" s="9">
        <f>IFERROR(INDEX(Pacientes!$A:$A,MATCH($A117,Pacientes!$B:$B,0)),"")</f>
      </c>
      <c r="C117" s="9">
        <f>IFERROR(INDEX(Pacientes!$C:$C,MATCH($A117,Pacientes!$B:$B,0)),"")</f>
      </c>
      <c r="D117" s="9">
        <f>IFERROR(INDEX(Pacientes!$D:$D,MATCH($A117,Pacientes!$B:$B,0)),"")</f>
      </c>
      <c r="E117" s="9">
        <f>IFERROR(INDEX(Pacientes!$E:$E,MATCH($A117,Pacientes!$B:$B,0)),"")</f>
      </c>
      <c r="F117" s="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>
        <f>"1. Evolução Clínica"&amp;CHAR(10)&amp;TEXTJOIN(" ",TRUE,"Paciente "&amp;G117&amp;", "&amp;IF(H117="","sem DVA","em uso de "&amp;H117)&amp;".",IF(I117&lt;&gt;"","Em "&amp;I117&amp;IF(J117&lt;&gt;""," ("&amp;J117&amp;")","")&amp;IF(K117&lt;&gt;"", ", "&amp;K117,"")&amp;IF(L117&lt;&gt;"", ", sob analgosedação com "&amp;L117,"")&amp;".",""),IF(M117&lt;&gt;"","Dieta "&amp;M117&amp;IF(N117&lt;&gt;"", ", com "&amp;LOWER(N117),"")&amp;IF(O117&lt;&gt;"", " — "&amp;O117,"")&amp;".",""),IF(P117="Febre","Apresentou episódio febril nas últimas 24h"&amp;IF(Q117&lt;&gt;""," ("&amp;Q117&amp;")","")&amp;".",IF(P117="Afebril","Encontra-se afebril.","")),IF(R117&lt;&gt;"",IF(S117="Sim","Apresenta disfunção renal aguda ","Função renal preservada ")&amp;"("&amp;R117&amp;").",""),IF(T117&lt;&gt;"","Em uso do esquema antimicrobiano com "&amp;T117&amp;".",""),IF(U117&lt;&gt;"","Em uso de profilaxia: "&amp;U117&amp;".",""))&amp;CHAR(10)&amp;CHAR(10)&amp;"2. Farmacoterapia"&amp;CHAR(10)&amp;IF(V117&lt;&gt;"","Corticoide/DART: "&amp;V117,"Sem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("&amp;Intervenções!$G$2:$G$500&amp;")",(Intervenções!$B$2:$B$500=A117)*(Intervenções!$A$2:$A$500=F117))),"Nenhuma intervenção registrada hoje.")&amp;CHAR(10)&amp;CHAR(10)&amp;"4. Plano Terapêutico"&amp;CHAR(10)&amp;IF(W117&lt;&gt;"",W117,"Não definido.")</f>
      </c>
    </row>
    <row r="118" spans="1:24" x14ac:dyDescent="0.25">
      <c r="A118" s="6"/>
      <c r="B118" s="9">
        <f>IFERROR(INDEX(Pacientes!$A:$A,MATCH($A118,Pacientes!$B:$B,0)),"")</f>
      </c>
      <c r="C118" s="9">
        <f>IFERROR(INDEX(Pacientes!$C:$C,MATCH($A118,Pacientes!$B:$B,0)),"")</f>
      </c>
      <c r="D118" s="9">
        <f>IFERROR(INDEX(Pacientes!$D:$D,MATCH($A118,Pacientes!$B:$B,0)),"")</f>
      </c>
      <c r="E118" s="9">
        <f>IFERROR(INDEX(Pacientes!$E:$E,MATCH($A118,Pacientes!$B:$B,0)),"")</f>
      </c>
      <c r="F118" s="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>
        <f>"1. Evolução Clínica"&amp;CHAR(10)&amp;TEXTJOIN(" ",TRUE,"Paciente "&amp;G118&amp;", "&amp;IF(H118="","sem DVA","em uso de "&amp;H118)&amp;".",IF(I118&lt;&gt;"","Em "&amp;I118&amp;IF(J118&lt;&gt;""," ("&amp;J118&amp;")","")&amp;IF(K118&lt;&gt;"", ", "&amp;K118,"")&amp;IF(L118&lt;&gt;"", ", sob analgosedação com "&amp;L118,"")&amp;".",""),IF(M118&lt;&gt;"","Dieta "&amp;M118&amp;IF(N118&lt;&gt;"", ", com "&amp;LOWER(N118),"")&amp;IF(O118&lt;&gt;"", " — "&amp;O118,"")&amp;".",""),IF(P118="Febre","Apresentou episódio febril nas últimas 24h"&amp;IF(Q118&lt;&gt;""," ("&amp;Q118&amp;")","")&amp;".",IF(P118="Afebril","Encontra-se afebril.","")),IF(R118&lt;&gt;"",IF(S118="Sim","Apresenta disfunção renal aguda ","Função renal preservada ")&amp;"("&amp;R118&amp;").",""),IF(T118&lt;&gt;"","Em uso do esquema antimicrobiano com "&amp;T118&amp;".",""),IF(U118&lt;&gt;"","Em uso de profilaxia: "&amp;U118&amp;".",""))&amp;CHAR(10)&amp;CHAR(10)&amp;"2. Farmacoterapia"&amp;CHAR(10)&amp;IF(V118&lt;&gt;"","Corticoide/DART: "&amp;V118,"Sem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("&amp;Intervenções!$G$2:$G$500&amp;")",(Intervenções!$B$2:$B$500=A118)*(Intervenções!$A$2:$A$500=F118))),"Nenhuma intervenção registrada hoje.")&amp;CHAR(10)&amp;CHAR(10)&amp;"4. Plano Terapêutico"&amp;CHAR(10)&amp;IF(W118&lt;&gt;"",W118,"Não definido.")</f>
      </c>
    </row>
    <row r="119" spans="1:24" x14ac:dyDescent="0.25">
      <c r="A119" s="6"/>
      <c r="B119" s="9">
        <f>IFERROR(INDEX(Pacientes!$A:$A,MATCH($A119,Pacientes!$B:$B,0)),"")</f>
      </c>
      <c r="C119" s="9">
        <f>IFERROR(INDEX(Pacientes!$C:$C,MATCH($A119,Pacientes!$B:$B,0)),"")</f>
      </c>
      <c r="D119" s="9">
        <f>IFERROR(INDEX(Pacientes!$D:$D,MATCH($A119,Pacientes!$B:$B,0)),"")</f>
      </c>
      <c r="E119" s="9">
        <f>IFERROR(INDEX(Pacientes!$E:$E,MATCH($A119,Pacientes!$B:$B,0)),"")</f>
      </c>
      <c r="F119" s="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>
        <f>"1. Evolução Clínica"&amp;CHAR(10)&amp;TEXTJOIN(" ",TRUE,"Paciente "&amp;G119&amp;", "&amp;IF(H119="","sem DVA","em uso de "&amp;H119)&amp;".",IF(I119&lt;&gt;"","Em "&amp;I119&amp;IF(J119&lt;&gt;""," ("&amp;J119&amp;")","")&amp;IF(K119&lt;&gt;"", ", "&amp;K119,"")&amp;IF(L119&lt;&gt;"", ", sob analgosedação com "&amp;L119,"")&amp;".",""),IF(M119&lt;&gt;"","Dieta "&amp;M119&amp;IF(N119&lt;&gt;"", ", com "&amp;LOWER(N119),"")&amp;IF(O119&lt;&gt;"", " — "&amp;O119,"")&amp;".",""),IF(P119="Febre","Apresentou episódio febril nas últimas 24h"&amp;IF(Q119&lt;&gt;""," ("&amp;Q119&amp;")","")&amp;".",IF(P119="Afebril","Encontra-se afebril.","")),IF(R119&lt;&gt;"",IF(S119="Sim","Apresenta disfunção renal aguda ","Função renal preservada ")&amp;"("&amp;R119&amp;").",""),IF(T119&lt;&gt;"","Em uso do esquema antimicrobiano com "&amp;T119&amp;".",""),IF(U119&lt;&gt;"","Em uso de profilaxia: "&amp;U119&amp;".",""))&amp;CHAR(10)&amp;CHAR(10)&amp;"2. Farmacoterapia"&amp;CHAR(10)&amp;IF(V119&lt;&gt;"","Corticoide/DART: "&amp;V119,"Sem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("&amp;Intervenções!$G$2:$G$500&amp;")",(Intervenções!$B$2:$B$500=A119)*(Intervenções!$A$2:$A$500=F119))),"Nenhuma intervenção registrada hoje.")&amp;CHAR(10)&amp;CHAR(10)&amp;"4. Plano Terapêutico"&amp;CHAR(10)&amp;IF(W119&lt;&gt;"",W119,"Não definido.")</f>
      </c>
    </row>
    <row r="120" spans="1:24" x14ac:dyDescent="0.25">
      <c r="A120" s="6"/>
      <c r="B120" s="9">
        <f>IFERROR(INDEX(Pacientes!$A:$A,MATCH($A120,Pacientes!$B:$B,0)),"")</f>
      </c>
      <c r="C120" s="9">
        <f>IFERROR(INDEX(Pacientes!$C:$C,MATCH($A120,Pacientes!$B:$B,0)),"")</f>
      </c>
      <c r="D120" s="9">
        <f>IFERROR(INDEX(Pacientes!$D:$D,MATCH($A120,Pacientes!$B:$B,0)),"")</f>
      </c>
      <c r="E120" s="9">
        <f>IFERROR(INDEX(Pacientes!$E:$E,MATCH($A120,Pacientes!$B:$B,0)),"")</f>
      </c>
      <c r="F120" s="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>
        <f>"1. Evolução Clínica"&amp;CHAR(10)&amp;TEXTJOIN(" ",TRUE,"Paciente "&amp;G120&amp;", "&amp;IF(H120="","sem DVA","em uso de "&amp;H120)&amp;".",IF(I120&lt;&gt;"","Em "&amp;I120&amp;IF(J120&lt;&gt;""," ("&amp;J120&amp;")","")&amp;IF(K120&lt;&gt;"", ", "&amp;K120,"")&amp;IF(L120&lt;&gt;"", ", sob analgosedação com "&amp;L120,"")&amp;".",""),IF(M120&lt;&gt;"","Dieta "&amp;M120&amp;IF(N120&lt;&gt;"", ", com "&amp;LOWER(N120),"")&amp;IF(O120&lt;&gt;"", " — "&amp;O120,"")&amp;".",""),IF(P120="Febre","Apresentou episódio febril nas últimas 24h"&amp;IF(Q120&lt;&gt;""," ("&amp;Q120&amp;")","")&amp;".",IF(P120="Afebril","Encontra-se afebril.","")),IF(R120&lt;&gt;"",IF(S120="Sim","Apresenta disfunção renal aguda ","Função renal preservada ")&amp;"("&amp;R120&amp;").",""),IF(T120&lt;&gt;"","Em uso do esquema antimicrobiano com "&amp;T120&amp;".",""),IF(U120&lt;&gt;"","Em uso de profilaxia: "&amp;U120&amp;".",""))&amp;CHAR(10)&amp;CHAR(10)&amp;"2. Farmacoterapia"&amp;CHAR(10)&amp;IF(V120&lt;&gt;"","Corticoide/DART: "&amp;V120,"Sem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("&amp;Intervenções!$G$2:$G$500&amp;")",(Intervenções!$B$2:$B$500=A120)*(Intervenções!$A$2:$A$500=F120))),"Nenhuma intervenção registrada hoje.")&amp;CHAR(10)&amp;CHAR(10)&amp;"4. Plano Terapêutico"&amp;CHAR(10)&amp;IF(W120&lt;&gt;"",W120,"Não definido.")</f>
      </c>
    </row>
    <row r="121" spans="1:24" x14ac:dyDescent="0.25">
      <c r="A121" s="6"/>
      <c r="B121" s="9">
        <f>IFERROR(INDEX(Pacientes!$A:$A,MATCH($A121,Pacientes!$B:$B,0)),"")</f>
      </c>
      <c r="C121" s="9">
        <f>IFERROR(INDEX(Pacientes!$C:$C,MATCH($A121,Pacientes!$B:$B,0)),"")</f>
      </c>
      <c r="D121" s="9">
        <f>IFERROR(INDEX(Pacientes!$D:$D,MATCH($A121,Pacientes!$B:$B,0)),"")</f>
      </c>
      <c r="E121" s="9">
        <f>IFERROR(INDEX(Pacientes!$E:$E,MATCH($A121,Pacientes!$B:$B,0)),"")</f>
      </c>
      <c r="F121" s="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>
        <f>"1. Evolução Clínica"&amp;CHAR(10)&amp;TEXTJOIN(" ",TRUE,"Paciente "&amp;G121&amp;", "&amp;IF(H121="","sem DVA","em uso de "&amp;H121)&amp;".",IF(I121&lt;&gt;"","Em "&amp;I121&amp;IF(J121&lt;&gt;""," ("&amp;J121&amp;")","")&amp;IF(K121&lt;&gt;"", ", "&amp;K121,"")&amp;IF(L121&lt;&gt;"", ", sob analgosedação com "&amp;L121,"")&amp;".",""),IF(M121&lt;&gt;"","Dieta "&amp;M121&amp;IF(N121&lt;&gt;"", ", com "&amp;LOWER(N121),"")&amp;IF(O121&lt;&gt;"", " — "&amp;O121,"")&amp;".",""),IF(P121="Febre","Apresentou episódio febril nas últimas 24h"&amp;IF(Q121&lt;&gt;""," ("&amp;Q121&amp;")","")&amp;".",IF(P121="Afebril","Encontra-se afebril.","")),IF(R121&lt;&gt;"",IF(S121="Sim","Apresenta disfunção renal aguda ","Função renal preservada ")&amp;"("&amp;R121&amp;").",""),IF(T121&lt;&gt;"","Em uso do esquema antimicrobiano com "&amp;T121&amp;".",""),IF(U121&lt;&gt;"","Em uso de profilaxia: "&amp;U121&amp;".",""))&amp;CHAR(10)&amp;CHAR(10)&amp;"2. Farmacoterapia"&amp;CHAR(10)&amp;IF(V121&lt;&gt;"","Corticoide/DART: "&amp;V121,"Sem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("&amp;Intervenções!$G$2:$G$500&amp;")",(Intervenções!$B$2:$B$500=A121)*(Intervenções!$A$2:$A$500=F121))),"Nenhuma intervenção registrada hoje.")&amp;CHAR(10)&amp;CHAR(10)&amp;"4. Plano Terapêutico"&amp;CHAR(10)&amp;IF(W121&lt;&gt;"",W121,"Não definido.")</f>
      </c>
    </row>
    <row r="122" spans="1:24" x14ac:dyDescent="0.25">
      <c r="A122" s="6"/>
      <c r="B122" s="9">
        <f>IFERROR(INDEX(Pacientes!$A:$A,MATCH($A122,Pacientes!$B:$B,0)),"")</f>
      </c>
      <c r="C122" s="9">
        <f>IFERROR(INDEX(Pacientes!$C:$C,MATCH($A122,Pacientes!$B:$B,0)),"")</f>
      </c>
      <c r="D122" s="9">
        <f>IFERROR(INDEX(Pacientes!$D:$D,MATCH($A122,Pacientes!$B:$B,0)),"")</f>
      </c>
      <c r="E122" s="9">
        <f>IFERROR(INDEX(Pacientes!$E:$E,MATCH($A122,Pacientes!$B:$B,0)),"")</f>
      </c>
      <c r="F122" s="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>
        <f>"1. Evolução Clínica"&amp;CHAR(10)&amp;TEXTJOIN(" ",TRUE,"Paciente "&amp;G122&amp;", "&amp;IF(H122="","sem DVA","em uso de "&amp;H122)&amp;".",IF(I122&lt;&gt;"","Em "&amp;I122&amp;IF(J122&lt;&gt;""," ("&amp;J122&amp;")","")&amp;IF(K122&lt;&gt;"", ", "&amp;K122,"")&amp;IF(L122&lt;&gt;"", ", sob analgosedação com "&amp;L122,"")&amp;".",""),IF(M122&lt;&gt;"","Dieta "&amp;M122&amp;IF(N122&lt;&gt;"", ", com "&amp;LOWER(N122),"")&amp;IF(O122&lt;&gt;"", " — "&amp;O122,"")&amp;".",""),IF(P122="Febre","Apresentou episódio febril nas últimas 24h"&amp;IF(Q122&lt;&gt;""," ("&amp;Q122&amp;")","")&amp;".",IF(P122="Afebril","Encontra-se afebril.","")),IF(R122&lt;&gt;"",IF(S122="Sim","Apresenta disfunção renal aguda ","Função renal preservada ")&amp;"("&amp;R122&amp;").",""),IF(T122&lt;&gt;"","Em uso do esquema antimicrobiano com "&amp;T122&amp;".",""),IF(U122&lt;&gt;"","Em uso de profilaxia: "&amp;U122&amp;".",""))&amp;CHAR(10)&amp;CHAR(10)&amp;"2. Farmacoterapia"&amp;CHAR(10)&amp;IF(V122&lt;&gt;"","Corticoide/DART: "&amp;V122,"Sem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("&amp;Intervenções!$G$2:$G$500&amp;")",(Intervenções!$B$2:$B$500=A122)*(Intervenções!$A$2:$A$500=F122))),"Nenhuma intervenção registrada hoje.")&amp;CHAR(10)&amp;CHAR(10)&amp;"4. Plano Terapêutico"&amp;CHAR(10)&amp;IF(W122&lt;&gt;"",W122,"Não definido.")</f>
      </c>
    </row>
    <row r="123" spans="1:24" x14ac:dyDescent="0.25">
      <c r="A123" s="6"/>
      <c r="B123" s="9">
        <f>IFERROR(INDEX(Pacientes!$A:$A,MATCH($A123,Pacientes!$B:$B,0)),"")</f>
      </c>
      <c r="C123" s="9">
        <f>IFERROR(INDEX(Pacientes!$C:$C,MATCH($A123,Pacientes!$B:$B,0)),"")</f>
      </c>
      <c r="D123" s="9">
        <f>IFERROR(INDEX(Pacientes!$D:$D,MATCH($A123,Pacientes!$B:$B,0)),"")</f>
      </c>
      <c r="E123" s="9">
        <f>IFERROR(INDEX(Pacientes!$E:$E,MATCH($A123,Pacientes!$B:$B,0)),"")</f>
      </c>
      <c r="F123" s="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>
        <f>"1. Evolução Clínica"&amp;CHAR(10)&amp;TEXTJOIN(" ",TRUE,"Paciente "&amp;G123&amp;", "&amp;IF(H123="","sem DVA","em uso de "&amp;H123)&amp;".",IF(I123&lt;&gt;"","Em "&amp;I123&amp;IF(J123&lt;&gt;""," ("&amp;J123&amp;")","")&amp;IF(K123&lt;&gt;"", ", "&amp;K123,"")&amp;IF(L123&lt;&gt;"", ", sob analgosedação com "&amp;L123,"")&amp;".",""),IF(M123&lt;&gt;"","Dieta "&amp;M123&amp;IF(N123&lt;&gt;"", ", com "&amp;LOWER(N123),"")&amp;IF(O123&lt;&gt;"", " — "&amp;O123,"")&amp;".",""),IF(P123="Febre","Apresentou episódio febril nas últimas 24h"&amp;IF(Q123&lt;&gt;""," ("&amp;Q123&amp;")","")&amp;".",IF(P123="Afebril","Encontra-se afebril.","")),IF(R123&lt;&gt;"",IF(S123="Sim","Apresenta disfunção renal aguda ","Função renal preservada ")&amp;"("&amp;R123&amp;").",""),IF(T123&lt;&gt;"","Em uso do esquema antimicrobiano com "&amp;T123&amp;".",""),IF(U123&lt;&gt;"","Em uso de profilaxia: "&amp;U123&amp;".",""))&amp;CHAR(10)&amp;CHAR(10)&amp;"2. Farmacoterapia"&amp;CHAR(10)&amp;IF(V123&lt;&gt;"","Corticoide/DART: "&amp;V123,"Sem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("&amp;Intervenções!$G$2:$G$500&amp;")",(Intervenções!$B$2:$B$500=A123)*(Intervenções!$A$2:$A$500=F123))),"Nenhuma intervenção registrada hoje.")&amp;CHAR(10)&amp;CHAR(10)&amp;"4. Plano Terapêutico"&amp;CHAR(10)&amp;IF(W123&lt;&gt;"",W123,"Não definido.")</f>
      </c>
    </row>
    <row r="124" spans="1:24" x14ac:dyDescent="0.25">
      <c r="A124" s="6"/>
      <c r="B124" s="9">
        <f>IFERROR(INDEX(Pacientes!$A:$A,MATCH($A124,Pacientes!$B:$B,0)),"")</f>
      </c>
      <c r="C124" s="9">
        <f>IFERROR(INDEX(Pacientes!$C:$C,MATCH($A124,Pacientes!$B:$B,0)),"")</f>
      </c>
      <c r="D124" s="9">
        <f>IFERROR(INDEX(Pacientes!$D:$D,MATCH($A124,Pacientes!$B:$B,0)),"")</f>
      </c>
      <c r="E124" s="9">
        <f>IFERROR(INDEX(Pacientes!$E:$E,MATCH($A124,Pacientes!$B:$B,0)),"")</f>
      </c>
      <c r="F124" s="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>
        <f>"1. Evolução Clínica"&amp;CHAR(10)&amp;TEXTJOIN(" ",TRUE,"Paciente "&amp;G124&amp;", "&amp;IF(H124="","sem DVA","em uso de "&amp;H124)&amp;".",IF(I124&lt;&gt;"","Em "&amp;I124&amp;IF(J124&lt;&gt;""," ("&amp;J124&amp;")","")&amp;IF(K124&lt;&gt;"", ", "&amp;K124,"")&amp;IF(L124&lt;&gt;"", ", sob analgosedação com "&amp;L124,"")&amp;".",""),IF(M124&lt;&gt;"","Dieta "&amp;M124&amp;IF(N124&lt;&gt;"", ", com "&amp;LOWER(N124),"")&amp;IF(O124&lt;&gt;"", " — "&amp;O124,"")&amp;".",""),IF(P124="Febre","Apresentou episódio febril nas últimas 24h"&amp;IF(Q124&lt;&gt;""," ("&amp;Q124&amp;")","")&amp;".",IF(P124="Afebril","Encontra-se afebril.","")),IF(R124&lt;&gt;"",IF(S124="Sim","Apresenta disfunção renal aguda ","Função renal preservada ")&amp;"("&amp;R124&amp;").",""),IF(T124&lt;&gt;"","Em uso do esquema antimicrobiano com "&amp;T124&amp;".",""),IF(U124&lt;&gt;"","Em uso de profilaxia: "&amp;U124&amp;".",""))&amp;CHAR(10)&amp;CHAR(10)&amp;"2. Farmacoterapia"&amp;CHAR(10)&amp;IF(V124&lt;&gt;"","Corticoide/DART: "&amp;V124,"Sem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("&amp;Intervenções!$G$2:$G$500&amp;")",(Intervenções!$B$2:$B$500=A124)*(Intervenções!$A$2:$A$500=F124))),"Nenhuma intervenção registrada hoje.")&amp;CHAR(10)&amp;CHAR(10)&amp;"4. Plano Terapêutico"&amp;CHAR(10)&amp;IF(W124&lt;&gt;"",W124,"Não definido.")</f>
      </c>
    </row>
    <row r="125" spans="1:24" x14ac:dyDescent="0.25">
      <c r="A125" s="6"/>
      <c r="B125" s="9">
        <f>IFERROR(INDEX(Pacientes!$A:$A,MATCH($A125,Pacientes!$B:$B,0)),"")</f>
      </c>
      <c r="C125" s="9">
        <f>IFERROR(INDEX(Pacientes!$C:$C,MATCH($A125,Pacientes!$B:$B,0)),"")</f>
      </c>
      <c r="D125" s="9">
        <f>IFERROR(INDEX(Pacientes!$D:$D,MATCH($A125,Pacientes!$B:$B,0)),"")</f>
      </c>
      <c r="E125" s="9">
        <f>IFERROR(INDEX(Pacientes!$E:$E,MATCH($A125,Pacientes!$B:$B,0)),"")</f>
      </c>
      <c r="F125" s="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>
        <f>"1. Evolução Clínica"&amp;CHAR(10)&amp;TEXTJOIN(" ",TRUE,"Paciente "&amp;G125&amp;", "&amp;IF(H125="","sem DVA","em uso de "&amp;H125)&amp;".",IF(I125&lt;&gt;"","Em "&amp;I125&amp;IF(J125&lt;&gt;""," ("&amp;J125&amp;")","")&amp;IF(K125&lt;&gt;"", ", "&amp;K125,"")&amp;IF(L125&lt;&gt;"", ", sob analgosedação com "&amp;L125,"")&amp;".",""),IF(M125&lt;&gt;"","Dieta "&amp;M125&amp;IF(N125&lt;&gt;"", ", com "&amp;LOWER(N125),"")&amp;IF(O125&lt;&gt;"", " — "&amp;O125,"")&amp;".",""),IF(P125="Febre","Apresentou episódio febril nas últimas 24h"&amp;IF(Q125&lt;&gt;""," ("&amp;Q125&amp;")","")&amp;".",IF(P125="Afebril","Encontra-se afebril.","")),IF(R125&lt;&gt;"",IF(S125="Sim","Apresenta disfunção renal aguda ","Função renal preservada ")&amp;"("&amp;R125&amp;").",""),IF(T125&lt;&gt;"","Em uso do esquema antimicrobiano com "&amp;T125&amp;".",""),IF(U125&lt;&gt;"","Em uso de profilaxia: "&amp;U125&amp;".",""))&amp;CHAR(10)&amp;CHAR(10)&amp;"2. Farmacoterapia"&amp;CHAR(10)&amp;IF(V125&lt;&gt;"","Corticoide/DART: "&amp;V125,"Sem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("&amp;Intervenções!$G$2:$G$500&amp;")",(Intervenções!$B$2:$B$500=A125)*(Intervenções!$A$2:$A$500=F125))),"Nenhuma intervenção registrada hoje.")&amp;CHAR(10)&amp;CHAR(10)&amp;"4. Plano Terapêutico"&amp;CHAR(10)&amp;IF(W125&lt;&gt;"",W125,"Não definido.")</f>
      </c>
    </row>
    <row r="126" spans="1:24" x14ac:dyDescent="0.25">
      <c r="A126" s="6"/>
      <c r="B126" s="9">
        <f>IFERROR(INDEX(Pacientes!$A:$A,MATCH($A126,Pacientes!$B:$B,0)),"")</f>
      </c>
      <c r="C126" s="9">
        <f>IFERROR(INDEX(Pacientes!$C:$C,MATCH($A126,Pacientes!$B:$B,0)),"")</f>
      </c>
      <c r="D126" s="9">
        <f>IFERROR(INDEX(Pacientes!$D:$D,MATCH($A126,Pacientes!$B:$B,0)),"")</f>
      </c>
      <c r="E126" s="9">
        <f>IFERROR(INDEX(Pacientes!$E:$E,MATCH($A126,Pacientes!$B:$B,0)),"")</f>
      </c>
      <c r="F126" s="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>
        <f>"1. Evolução Clínica"&amp;CHAR(10)&amp;TEXTJOIN(" ",TRUE,"Paciente "&amp;G126&amp;", "&amp;IF(H126="","sem DVA","em uso de "&amp;H126)&amp;".",IF(I126&lt;&gt;"","Em "&amp;I126&amp;IF(J126&lt;&gt;""," ("&amp;J126&amp;")","")&amp;IF(K126&lt;&gt;"", ", "&amp;K126,"")&amp;IF(L126&lt;&gt;"", ", sob analgosedação com "&amp;L126,"")&amp;".",""),IF(M126&lt;&gt;"","Dieta "&amp;M126&amp;IF(N126&lt;&gt;"", ", com "&amp;LOWER(N126),"")&amp;IF(O126&lt;&gt;"", " — "&amp;O126,"")&amp;".",""),IF(P126="Febre","Apresentou episódio febril nas últimas 24h"&amp;IF(Q126&lt;&gt;""," ("&amp;Q126&amp;")","")&amp;".",IF(P126="Afebril","Encontra-se afebril.","")),IF(R126&lt;&gt;"",IF(S126="Sim","Apresenta disfunção renal aguda ","Função renal preservada ")&amp;"("&amp;R126&amp;").",""),IF(T126&lt;&gt;"","Em uso do esquema antimicrobiano com "&amp;T126&amp;".",""),IF(U126&lt;&gt;"","Em uso de profilaxia: "&amp;U126&amp;".",""))&amp;CHAR(10)&amp;CHAR(10)&amp;"2. Farmacoterapia"&amp;CHAR(10)&amp;IF(V126&lt;&gt;"","Corticoide/DART: "&amp;V126,"Sem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("&amp;Intervenções!$G$2:$G$500&amp;")",(Intervenções!$B$2:$B$500=A126)*(Intervenções!$A$2:$A$500=F126))),"Nenhuma intervenção registrada hoje.")&amp;CHAR(10)&amp;CHAR(10)&amp;"4. Plano Terapêutico"&amp;CHAR(10)&amp;IF(W126&lt;&gt;"",W126,"Não definido.")</f>
      </c>
    </row>
    <row r="127" spans="1:24" x14ac:dyDescent="0.25">
      <c r="A127" s="6"/>
      <c r="B127" s="9">
        <f>IFERROR(INDEX(Pacientes!$A:$A,MATCH($A127,Pacientes!$B:$B,0)),"")</f>
      </c>
      <c r="C127" s="9">
        <f>IFERROR(INDEX(Pacientes!$C:$C,MATCH($A127,Pacientes!$B:$B,0)),"")</f>
      </c>
      <c r="D127" s="9">
        <f>IFERROR(INDEX(Pacientes!$D:$D,MATCH($A127,Pacientes!$B:$B,0)),"")</f>
      </c>
      <c r="E127" s="9">
        <f>IFERROR(INDEX(Pacientes!$E:$E,MATCH($A127,Pacientes!$B:$B,0)),"")</f>
      </c>
      <c r="F127" s="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>
        <f>"1. Evolução Clínica"&amp;CHAR(10)&amp;TEXTJOIN(" ",TRUE,"Paciente "&amp;G127&amp;", "&amp;IF(H127="","sem DVA","em uso de "&amp;H127)&amp;".",IF(I127&lt;&gt;"","Em "&amp;I127&amp;IF(J127&lt;&gt;""," ("&amp;J127&amp;")","")&amp;IF(K127&lt;&gt;"", ", "&amp;K127,"")&amp;IF(L127&lt;&gt;"", ", sob analgosedação com "&amp;L127,"")&amp;".",""),IF(M127&lt;&gt;"","Dieta "&amp;M127&amp;IF(N127&lt;&gt;"", ", com "&amp;LOWER(N127),"")&amp;IF(O127&lt;&gt;"", " — "&amp;O127,"")&amp;".",""),IF(P127="Febre","Apresentou episódio febril nas últimas 24h"&amp;IF(Q127&lt;&gt;""," ("&amp;Q127&amp;")","")&amp;".",IF(P127="Afebril","Encontra-se afebril.","")),IF(R127&lt;&gt;"",IF(S127="Sim","Apresenta disfunção renal aguda ","Função renal preservada ")&amp;"("&amp;R127&amp;").",""),IF(T127&lt;&gt;"","Em uso do esquema antimicrobiano com "&amp;T127&amp;".",""),IF(U127&lt;&gt;"","Em uso de profilaxia: "&amp;U127&amp;".",""))&amp;CHAR(10)&amp;CHAR(10)&amp;"2. Farmacoterapia"&amp;CHAR(10)&amp;IF(V127&lt;&gt;"","Corticoide/DART: "&amp;V127,"Sem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("&amp;Intervenções!$G$2:$G$500&amp;")",(Intervenções!$B$2:$B$500=A127)*(Intervenções!$A$2:$A$500=F127))),"Nenhuma intervenção registrada hoje.")&amp;CHAR(10)&amp;CHAR(10)&amp;"4. Plano Terapêutico"&amp;CHAR(10)&amp;IF(W127&lt;&gt;"",W127,"Não definido.")</f>
      </c>
    </row>
    <row r="128" spans="1:24" x14ac:dyDescent="0.25">
      <c r="A128" s="6"/>
      <c r="B128" s="9">
        <f>IFERROR(INDEX(Pacientes!$A:$A,MATCH($A128,Pacientes!$B:$B,0)),"")</f>
      </c>
      <c r="C128" s="9">
        <f>IFERROR(INDEX(Pacientes!$C:$C,MATCH($A128,Pacientes!$B:$B,0)),"")</f>
      </c>
      <c r="D128" s="9">
        <f>IFERROR(INDEX(Pacientes!$D:$D,MATCH($A128,Pacientes!$B:$B,0)),"")</f>
      </c>
      <c r="E128" s="9">
        <f>IFERROR(INDEX(Pacientes!$E:$E,MATCH($A128,Pacientes!$B:$B,0)),"")</f>
      </c>
      <c r="F128" s="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>
        <f>"1. Evolução Clínica"&amp;CHAR(10)&amp;TEXTJOIN(" ",TRUE,"Paciente "&amp;G128&amp;", "&amp;IF(H128="","sem DVA","em uso de "&amp;H128)&amp;".",IF(I128&lt;&gt;"","Em "&amp;I128&amp;IF(J128&lt;&gt;""," ("&amp;J128&amp;")","")&amp;IF(K128&lt;&gt;"", ", "&amp;K128,"")&amp;IF(L128&lt;&gt;"", ", sob analgosedação com "&amp;L128,"")&amp;".",""),IF(M128&lt;&gt;"","Dieta "&amp;M128&amp;IF(N128&lt;&gt;"", ", com "&amp;LOWER(N128),"")&amp;IF(O128&lt;&gt;"", " — "&amp;O128,"")&amp;".",""),IF(P128="Febre","Apresentou episódio febril nas últimas 24h"&amp;IF(Q128&lt;&gt;""," ("&amp;Q128&amp;")","")&amp;".",IF(P128="Afebril","Encontra-se afebril.","")),IF(R128&lt;&gt;"",IF(S128="Sim","Apresenta disfunção renal aguda ","Função renal preservada ")&amp;"("&amp;R128&amp;").",""),IF(T128&lt;&gt;"","Em uso do esquema antimicrobiano com "&amp;T128&amp;".",""),IF(U128&lt;&gt;"","Em uso de profilaxia: "&amp;U128&amp;".",""))&amp;CHAR(10)&amp;CHAR(10)&amp;"2. Farmacoterapia"&amp;CHAR(10)&amp;IF(V128&lt;&gt;"","Corticoide/DART: "&amp;V128,"Sem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("&amp;Intervenções!$G$2:$G$500&amp;")",(Intervenções!$B$2:$B$500=A128)*(Intervenções!$A$2:$A$500=F128))),"Nenhuma intervenção registrada hoje.")&amp;CHAR(10)&amp;CHAR(10)&amp;"4. Plano Terapêutico"&amp;CHAR(10)&amp;IF(W128&lt;&gt;"",W128,"Não definido.")</f>
      </c>
    </row>
    <row r="129" spans="1:24" x14ac:dyDescent="0.25">
      <c r="A129" s="6"/>
      <c r="B129" s="9">
        <f>IFERROR(INDEX(Pacientes!$A:$A,MATCH($A129,Pacientes!$B:$B,0)),"")</f>
      </c>
      <c r="C129" s="9">
        <f>IFERROR(INDEX(Pacientes!$C:$C,MATCH($A129,Pacientes!$B:$B,0)),"")</f>
      </c>
      <c r="D129" s="9">
        <f>IFERROR(INDEX(Pacientes!$D:$D,MATCH($A129,Pacientes!$B:$B,0)),"")</f>
      </c>
      <c r="E129" s="9">
        <f>IFERROR(INDEX(Pacientes!$E:$E,MATCH($A129,Pacientes!$B:$B,0)),"")</f>
      </c>
      <c r="F129" s="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>
        <f>"1. Evolução Clínica"&amp;CHAR(10)&amp;TEXTJOIN(" ",TRUE,"Paciente "&amp;G129&amp;", "&amp;IF(H129="","sem DVA","em uso de "&amp;H129)&amp;".",IF(I129&lt;&gt;"","Em "&amp;I129&amp;IF(J129&lt;&gt;""," ("&amp;J129&amp;")","")&amp;IF(K129&lt;&gt;"", ", "&amp;K129,"")&amp;IF(L129&lt;&gt;"", ", sob analgosedação com "&amp;L129,"")&amp;".",""),IF(M129&lt;&gt;"","Dieta "&amp;M129&amp;IF(N129&lt;&gt;"", ", com "&amp;LOWER(N129),"")&amp;IF(O129&lt;&gt;"", " — "&amp;O129,"")&amp;".",""),IF(P129="Febre","Apresentou episódio febril nas últimas 24h"&amp;IF(Q129&lt;&gt;""," ("&amp;Q129&amp;")","")&amp;".",IF(P129="Afebril","Encontra-se afebril.","")),IF(R129&lt;&gt;"",IF(S129="Sim","Apresenta disfunção renal aguda ","Função renal preservada ")&amp;"("&amp;R129&amp;").",""),IF(T129&lt;&gt;"","Em uso do esquema antimicrobiano com "&amp;T129&amp;".",""),IF(U129&lt;&gt;"","Em uso de profilaxia: "&amp;U129&amp;".",""))&amp;CHAR(10)&amp;CHAR(10)&amp;"2. Farmacoterapia"&amp;CHAR(10)&amp;IF(V129&lt;&gt;"","Corticoide/DART: "&amp;V129,"Sem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("&amp;Intervenções!$G$2:$G$500&amp;")",(Intervenções!$B$2:$B$500=A129)*(Intervenções!$A$2:$A$500=F129))),"Nenhuma intervenção registrada hoje.")&amp;CHAR(10)&amp;CHAR(10)&amp;"4. Plano Terapêutico"&amp;CHAR(10)&amp;IF(W129&lt;&gt;"",W129,"Não definido.")</f>
      </c>
    </row>
    <row r="130" spans="1:24" x14ac:dyDescent="0.25">
      <c r="A130" s="6"/>
      <c r="B130" s="9">
        <f>IFERROR(INDEX(Pacientes!$A:$A,MATCH($A130,Pacientes!$B:$B,0)),"")</f>
      </c>
      <c r="C130" s="9">
        <f>IFERROR(INDEX(Pacientes!$C:$C,MATCH($A130,Pacientes!$B:$B,0)),"")</f>
      </c>
      <c r="D130" s="9">
        <f>IFERROR(INDEX(Pacientes!$D:$D,MATCH($A130,Pacientes!$B:$B,0)),"")</f>
      </c>
      <c r="E130" s="9">
        <f>IFERROR(INDEX(Pacientes!$E:$E,MATCH($A130,Pacientes!$B:$B,0)),"")</f>
      </c>
      <c r="F130" s="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>
        <f>"1. Evolução Clínica"&amp;CHAR(10)&amp;TEXTJOIN(" ",TRUE,"Paciente "&amp;G130&amp;", "&amp;IF(H130="","sem DVA","em uso de "&amp;H130)&amp;".",IF(I130&lt;&gt;"","Em "&amp;I130&amp;IF(J130&lt;&gt;""," ("&amp;J130&amp;")","")&amp;IF(K130&lt;&gt;"", ", "&amp;K130,"")&amp;IF(L130&lt;&gt;"", ", sob analgosedação com "&amp;L130,"")&amp;".",""),IF(M130&lt;&gt;"","Dieta "&amp;M130&amp;IF(N130&lt;&gt;"", ", com "&amp;LOWER(N130),"")&amp;IF(O130&lt;&gt;"", " — "&amp;O130,"")&amp;".",""),IF(P130="Febre","Apresentou episódio febril nas últimas 24h"&amp;IF(Q130&lt;&gt;""," ("&amp;Q130&amp;")","")&amp;".",IF(P130="Afebril","Encontra-se afebril.","")),IF(R130&lt;&gt;"",IF(S130="Sim","Apresenta disfunção renal aguda ","Função renal preservada ")&amp;"("&amp;R130&amp;").",""),IF(T130&lt;&gt;"","Em uso do esquema antimicrobiano com "&amp;T130&amp;".",""),IF(U130&lt;&gt;"","Em uso de profilaxia: "&amp;U130&amp;".",""))&amp;CHAR(10)&amp;CHAR(10)&amp;"2. Farmacoterapia"&amp;CHAR(10)&amp;IF(V130&lt;&gt;"","Corticoide/DART: "&amp;V130,"Sem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("&amp;Intervenções!$G$2:$G$500&amp;")",(Intervenções!$B$2:$B$500=A130)*(Intervenções!$A$2:$A$500=F130))),"Nenhuma intervenção registrada hoje.")&amp;CHAR(10)&amp;CHAR(10)&amp;"4. Plano Terapêutico"&amp;CHAR(10)&amp;IF(W130&lt;&gt;"",W130,"Não definido.")</f>
      </c>
    </row>
    <row r="131" spans="1:24" x14ac:dyDescent="0.25">
      <c r="A131" s="6"/>
      <c r="B131" s="9">
        <f>IFERROR(INDEX(Pacientes!$A:$A,MATCH($A131,Pacientes!$B:$B,0)),"")</f>
      </c>
      <c r="C131" s="9">
        <f>IFERROR(INDEX(Pacientes!$C:$C,MATCH($A131,Pacientes!$B:$B,0)),"")</f>
      </c>
      <c r="D131" s="9">
        <f>IFERROR(INDEX(Pacientes!$D:$D,MATCH($A131,Pacientes!$B:$B,0)),"")</f>
      </c>
      <c r="E131" s="9">
        <f>IFERROR(INDEX(Pacientes!$E:$E,MATCH($A131,Pacientes!$B:$B,0)),"")</f>
      </c>
      <c r="F131" s="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>
        <f>"1. Evolução Clínica"&amp;CHAR(10)&amp;TEXTJOIN(" ",TRUE,"Paciente "&amp;G131&amp;", "&amp;IF(H131="","sem DVA","em uso de "&amp;H131)&amp;".",IF(I131&lt;&gt;"","Em "&amp;I131&amp;IF(J131&lt;&gt;""," ("&amp;J131&amp;")","")&amp;IF(K131&lt;&gt;"", ", "&amp;K131,"")&amp;IF(L131&lt;&gt;"", ", sob analgosedação com "&amp;L131,"")&amp;".",""),IF(M131&lt;&gt;"","Dieta "&amp;M131&amp;IF(N131&lt;&gt;"", ", com "&amp;LOWER(N131),"")&amp;IF(O131&lt;&gt;"", " — "&amp;O131,"")&amp;".",""),IF(P131="Febre","Apresentou episódio febril nas últimas 24h"&amp;IF(Q131&lt;&gt;""," ("&amp;Q131&amp;")","")&amp;".",IF(P131="Afebril","Encontra-se afebril.","")),IF(R131&lt;&gt;"",IF(S131="Sim","Apresenta disfunção renal aguda ","Função renal preservada ")&amp;"("&amp;R131&amp;").",""),IF(T131&lt;&gt;"","Em uso do esquema antimicrobiano com "&amp;T131&amp;".",""),IF(U131&lt;&gt;"","Em uso de profilaxia: "&amp;U131&amp;".",""))&amp;CHAR(10)&amp;CHAR(10)&amp;"2. Farmacoterapia"&amp;CHAR(10)&amp;IF(V131&lt;&gt;"","Corticoide/DART: "&amp;V131,"Sem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("&amp;Intervenções!$G$2:$G$500&amp;")",(Intervenções!$B$2:$B$500=A131)*(Intervenções!$A$2:$A$500=F131))),"Nenhuma intervenção registrada hoje.")&amp;CHAR(10)&amp;CHAR(10)&amp;"4. Plano Terapêutico"&amp;CHAR(10)&amp;IF(W131&lt;&gt;"",W131,"Não definido.")</f>
      </c>
    </row>
    <row r="132" spans="1:24" x14ac:dyDescent="0.25">
      <c r="A132" s="6"/>
      <c r="B132" s="9">
        <f>IFERROR(INDEX(Pacientes!$A:$A,MATCH($A132,Pacientes!$B:$B,0)),"")</f>
      </c>
      <c r="C132" s="9">
        <f>IFERROR(INDEX(Pacientes!$C:$C,MATCH($A132,Pacientes!$B:$B,0)),"")</f>
      </c>
      <c r="D132" s="9">
        <f>IFERROR(INDEX(Pacientes!$D:$D,MATCH($A132,Pacientes!$B:$B,0)),"")</f>
      </c>
      <c r="E132" s="9">
        <f>IFERROR(INDEX(Pacientes!$E:$E,MATCH($A132,Pacientes!$B:$B,0)),"")</f>
      </c>
      <c r="F132" s="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>
        <f>"1. Evolução Clínica"&amp;CHAR(10)&amp;TEXTJOIN(" ",TRUE,"Paciente "&amp;G132&amp;", "&amp;IF(H132="","sem DVA","em uso de "&amp;H132)&amp;".",IF(I132&lt;&gt;"","Em "&amp;I132&amp;IF(J132&lt;&gt;""," ("&amp;J132&amp;")","")&amp;IF(K132&lt;&gt;"", ", "&amp;K132,"")&amp;IF(L132&lt;&gt;"", ", sob analgosedação com "&amp;L132,"")&amp;".",""),IF(M132&lt;&gt;"","Dieta "&amp;M132&amp;IF(N132&lt;&gt;"", ", com "&amp;LOWER(N132),"")&amp;IF(O132&lt;&gt;"", " — "&amp;O132,"")&amp;".",""),IF(P132="Febre","Apresentou episódio febril nas últimas 24h"&amp;IF(Q132&lt;&gt;""," ("&amp;Q132&amp;")","")&amp;".",IF(P132="Afebril","Encontra-se afebril.","")),IF(R132&lt;&gt;"",IF(S132="Sim","Apresenta disfunção renal aguda ","Função renal preservada ")&amp;"("&amp;R132&amp;").",""),IF(T132&lt;&gt;"","Em uso do esquema antimicrobiano com "&amp;T132&amp;".",""),IF(U132&lt;&gt;"","Em uso de profilaxia: "&amp;U132&amp;".",""))&amp;CHAR(10)&amp;CHAR(10)&amp;"2. Farmacoterapia"&amp;CHAR(10)&amp;IF(V132&lt;&gt;"","Corticoide/DART: "&amp;V132,"Sem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("&amp;Intervenções!$G$2:$G$500&amp;")",(Intervenções!$B$2:$B$500=A132)*(Intervenções!$A$2:$A$500=F132))),"Nenhuma intervenção registrada hoje.")&amp;CHAR(10)&amp;CHAR(10)&amp;"4. Plano Terapêutico"&amp;CHAR(10)&amp;IF(W132&lt;&gt;"",W132,"Não definido.")</f>
      </c>
    </row>
    <row r="133" spans="1:24" x14ac:dyDescent="0.25">
      <c r="A133" s="6"/>
      <c r="B133" s="9">
        <f>IFERROR(INDEX(Pacientes!$A:$A,MATCH($A133,Pacientes!$B:$B,0)),"")</f>
      </c>
      <c r="C133" s="9">
        <f>IFERROR(INDEX(Pacientes!$C:$C,MATCH($A133,Pacientes!$B:$B,0)),"")</f>
      </c>
      <c r="D133" s="9">
        <f>IFERROR(INDEX(Pacientes!$D:$D,MATCH($A133,Pacientes!$B:$B,0)),"")</f>
      </c>
      <c r="E133" s="9">
        <f>IFERROR(INDEX(Pacientes!$E:$E,MATCH($A133,Pacientes!$B:$B,0)),"")</f>
      </c>
      <c r="F133" s="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>
        <f>"1. Evolução Clínica"&amp;CHAR(10)&amp;TEXTJOIN(" ",TRUE,"Paciente "&amp;G133&amp;", "&amp;IF(H133="","sem DVA","em uso de "&amp;H133)&amp;".",IF(I133&lt;&gt;"","Em "&amp;I133&amp;IF(J133&lt;&gt;""," ("&amp;J133&amp;")","")&amp;IF(K133&lt;&gt;"", ", "&amp;K133,"")&amp;IF(L133&lt;&gt;"", ", sob analgosedação com "&amp;L133,"")&amp;".",""),IF(M133&lt;&gt;"","Dieta "&amp;M133&amp;IF(N133&lt;&gt;"", ", com "&amp;LOWER(N133),"")&amp;IF(O133&lt;&gt;"", " — "&amp;O133,"")&amp;".",""),IF(P133="Febre","Apresentou episódio febril nas últimas 24h"&amp;IF(Q133&lt;&gt;""," ("&amp;Q133&amp;")","")&amp;".",IF(P133="Afebril","Encontra-se afebril.","")),IF(R133&lt;&gt;"",IF(S133="Sim","Apresenta disfunção renal aguda ","Função renal preservada ")&amp;"("&amp;R133&amp;").",""),IF(T133&lt;&gt;"","Em uso do esquema antimicrobiano com "&amp;T133&amp;".",""),IF(U133&lt;&gt;"","Em uso de profilaxia: "&amp;U133&amp;".",""))&amp;CHAR(10)&amp;CHAR(10)&amp;"2. Farmacoterapia"&amp;CHAR(10)&amp;IF(V133&lt;&gt;"","Corticoide/DART: "&amp;V133,"Sem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("&amp;Intervenções!$G$2:$G$500&amp;")",(Intervenções!$B$2:$B$500=A133)*(Intervenções!$A$2:$A$500=F133))),"Nenhuma intervenção registrada hoje.")&amp;CHAR(10)&amp;CHAR(10)&amp;"4. Plano Terapêutico"&amp;CHAR(10)&amp;IF(W133&lt;&gt;"",W133,"Não definido.")</f>
      </c>
    </row>
    <row r="134" spans="1:24" x14ac:dyDescent="0.25">
      <c r="A134" s="6"/>
      <c r="B134" s="9">
        <f>IFERROR(INDEX(Pacientes!$A:$A,MATCH($A134,Pacientes!$B:$B,0)),"")</f>
      </c>
      <c r="C134" s="9">
        <f>IFERROR(INDEX(Pacientes!$C:$C,MATCH($A134,Pacientes!$B:$B,0)),"")</f>
      </c>
      <c r="D134" s="9">
        <f>IFERROR(INDEX(Pacientes!$D:$D,MATCH($A134,Pacientes!$B:$B,0)),"")</f>
      </c>
      <c r="E134" s="9">
        <f>IFERROR(INDEX(Pacientes!$E:$E,MATCH($A134,Pacientes!$B:$B,0)),"")</f>
      </c>
      <c r="F134" s="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>
        <f>"1. Evolução Clínica"&amp;CHAR(10)&amp;TEXTJOIN(" ",TRUE,"Paciente "&amp;G134&amp;", "&amp;IF(H134="","sem DVA","em uso de "&amp;H134)&amp;".",IF(I134&lt;&gt;"","Em "&amp;I134&amp;IF(J134&lt;&gt;""," ("&amp;J134&amp;")","")&amp;IF(K134&lt;&gt;"", ", "&amp;K134,"")&amp;IF(L134&lt;&gt;"", ", sob analgosedação com "&amp;L134,"")&amp;".",""),IF(M134&lt;&gt;"","Dieta "&amp;M134&amp;IF(N134&lt;&gt;"", ", com "&amp;LOWER(N134),"")&amp;IF(O134&lt;&gt;"", " — "&amp;O134,"")&amp;".",""),IF(P134="Febre","Apresentou episódio febril nas últimas 24h"&amp;IF(Q134&lt;&gt;""," ("&amp;Q134&amp;")","")&amp;".",IF(P134="Afebril","Encontra-se afebril.","")),IF(R134&lt;&gt;"",IF(S134="Sim","Apresenta disfunção renal aguda ","Função renal preservada ")&amp;"("&amp;R134&amp;").",""),IF(T134&lt;&gt;"","Em uso do esquema antimicrobiano com "&amp;T134&amp;".",""),IF(U134&lt;&gt;"","Em uso de profilaxia: "&amp;U134&amp;".",""))&amp;CHAR(10)&amp;CHAR(10)&amp;"2. Farmacoterapia"&amp;CHAR(10)&amp;IF(V134&lt;&gt;"","Corticoide/DART: "&amp;V134,"Sem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("&amp;Intervenções!$G$2:$G$500&amp;")",(Intervenções!$B$2:$B$500=A134)*(Intervenções!$A$2:$A$500=F134))),"Nenhuma intervenção registrada hoje.")&amp;CHAR(10)&amp;CHAR(10)&amp;"4. Plano Terapêutico"&amp;CHAR(10)&amp;IF(W134&lt;&gt;"",W134,"Não definido.")</f>
      </c>
    </row>
    <row r="135" spans="1:24" x14ac:dyDescent="0.25">
      <c r="A135" s="6"/>
      <c r="B135" s="9">
        <f>IFERROR(INDEX(Pacientes!$A:$A,MATCH($A135,Pacientes!$B:$B,0)),"")</f>
      </c>
      <c r="C135" s="9">
        <f>IFERROR(INDEX(Pacientes!$C:$C,MATCH($A135,Pacientes!$B:$B,0)),"")</f>
      </c>
      <c r="D135" s="9">
        <f>IFERROR(INDEX(Pacientes!$D:$D,MATCH($A135,Pacientes!$B:$B,0)),"")</f>
      </c>
      <c r="E135" s="9">
        <f>IFERROR(INDEX(Pacientes!$E:$E,MATCH($A135,Pacientes!$B:$B,0)),"")</f>
      </c>
      <c r="F135" s="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>
        <f>"1. Evolução Clínica"&amp;CHAR(10)&amp;TEXTJOIN(" ",TRUE,"Paciente "&amp;G135&amp;", "&amp;IF(H135="","sem DVA","em uso de "&amp;H135)&amp;".",IF(I135&lt;&gt;"","Em "&amp;I135&amp;IF(J135&lt;&gt;""," ("&amp;J135&amp;")","")&amp;IF(K135&lt;&gt;"", ", "&amp;K135,"")&amp;IF(L135&lt;&gt;"", ", sob analgosedação com "&amp;L135,"")&amp;".",""),IF(M135&lt;&gt;"","Dieta "&amp;M135&amp;IF(N135&lt;&gt;"", ", com "&amp;LOWER(N135),"")&amp;IF(O135&lt;&gt;"", " — "&amp;O135,"")&amp;".",""),IF(P135="Febre","Apresentou episódio febril nas últimas 24h"&amp;IF(Q135&lt;&gt;""," ("&amp;Q135&amp;")","")&amp;".",IF(P135="Afebril","Encontra-se afebril.","")),IF(R135&lt;&gt;"",IF(S135="Sim","Apresenta disfunção renal aguda ","Função renal preservada ")&amp;"("&amp;R135&amp;").",""),IF(T135&lt;&gt;"","Em uso do esquema antimicrobiano com "&amp;T135&amp;".",""),IF(U135&lt;&gt;"","Em uso de profilaxia: "&amp;U135&amp;".",""))&amp;CHAR(10)&amp;CHAR(10)&amp;"2. Farmacoterapia"&amp;CHAR(10)&amp;IF(V135&lt;&gt;"","Corticoide/DART: "&amp;V135,"Sem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("&amp;Intervenções!$G$2:$G$500&amp;")",(Intervenções!$B$2:$B$500=A135)*(Intervenções!$A$2:$A$500=F135))),"Nenhuma intervenção registrada hoje.")&amp;CHAR(10)&amp;CHAR(10)&amp;"4. Plano Terapêutico"&amp;CHAR(10)&amp;IF(W135&lt;&gt;"",W135,"Não definido.")</f>
      </c>
    </row>
    <row r="136" spans="1:24" x14ac:dyDescent="0.25">
      <c r="A136" s="6"/>
      <c r="B136" s="9">
        <f>IFERROR(INDEX(Pacientes!$A:$A,MATCH($A136,Pacientes!$B:$B,0)),"")</f>
      </c>
      <c r="C136" s="9">
        <f>IFERROR(INDEX(Pacientes!$C:$C,MATCH($A136,Pacientes!$B:$B,0)),"")</f>
      </c>
      <c r="D136" s="9">
        <f>IFERROR(INDEX(Pacientes!$D:$D,MATCH($A136,Pacientes!$B:$B,0)),"")</f>
      </c>
      <c r="E136" s="9">
        <f>IFERROR(INDEX(Pacientes!$E:$E,MATCH($A136,Pacientes!$B:$B,0)),"")</f>
      </c>
      <c r="F136" s="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>
        <f>"1. Evolução Clínica"&amp;CHAR(10)&amp;TEXTJOIN(" ",TRUE,"Paciente "&amp;G136&amp;", "&amp;IF(H136="","sem DVA","em uso de "&amp;H136)&amp;".",IF(I136&lt;&gt;"","Em "&amp;I136&amp;IF(J136&lt;&gt;""," ("&amp;J136&amp;")","")&amp;IF(K136&lt;&gt;"", ", "&amp;K136,"")&amp;IF(L136&lt;&gt;"", ", sob analgosedação com "&amp;L136,"")&amp;".",""),IF(M136&lt;&gt;"","Dieta "&amp;M136&amp;IF(N136&lt;&gt;"", ", com "&amp;LOWER(N136),"")&amp;IF(O136&lt;&gt;"", " — "&amp;O136,"")&amp;".",""),IF(P136="Febre","Apresentou episódio febril nas últimas 24h"&amp;IF(Q136&lt;&gt;""," ("&amp;Q136&amp;")","")&amp;".",IF(P136="Afebril","Encontra-se afebril.","")),IF(R136&lt;&gt;"",IF(S136="Sim","Apresenta disfunção renal aguda ","Função renal preservada ")&amp;"("&amp;R136&amp;").",""),IF(T136&lt;&gt;"","Em uso do esquema antimicrobiano com "&amp;T136&amp;".",""),IF(U136&lt;&gt;"","Em uso de profilaxia: "&amp;U136&amp;".",""))&amp;CHAR(10)&amp;CHAR(10)&amp;"2. Farmacoterapia"&amp;CHAR(10)&amp;IF(V136&lt;&gt;"","Corticoide/DART: "&amp;V136,"Sem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("&amp;Intervenções!$G$2:$G$500&amp;")",(Intervenções!$B$2:$B$500=A136)*(Intervenções!$A$2:$A$500=F136))),"Nenhuma intervenção registrada hoje.")&amp;CHAR(10)&amp;CHAR(10)&amp;"4. Plano Terapêutico"&amp;CHAR(10)&amp;IF(W136&lt;&gt;"",W136,"Não definido.")</f>
      </c>
    </row>
    <row r="137" spans="1:24" x14ac:dyDescent="0.25">
      <c r="A137" s="6"/>
      <c r="B137" s="9">
        <f>IFERROR(INDEX(Pacientes!$A:$A,MATCH($A137,Pacientes!$B:$B,0)),"")</f>
      </c>
      <c r="C137" s="9">
        <f>IFERROR(INDEX(Pacientes!$C:$C,MATCH($A137,Pacientes!$B:$B,0)),"")</f>
      </c>
      <c r="D137" s="9">
        <f>IFERROR(INDEX(Pacientes!$D:$D,MATCH($A137,Pacientes!$B:$B,0)),"")</f>
      </c>
      <c r="E137" s="9">
        <f>IFERROR(INDEX(Pacientes!$E:$E,MATCH($A137,Pacientes!$B:$B,0)),"")</f>
      </c>
      <c r="F137" s="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>
        <f>"1. Evolução Clínica"&amp;CHAR(10)&amp;TEXTJOIN(" ",TRUE,"Paciente "&amp;G137&amp;", "&amp;IF(H137="","sem DVA","em uso de "&amp;H137)&amp;".",IF(I137&lt;&gt;"","Em "&amp;I137&amp;IF(J137&lt;&gt;""," ("&amp;J137&amp;")","")&amp;IF(K137&lt;&gt;"", ", "&amp;K137,"")&amp;IF(L137&lt;&gt;"", ", sob analgosedação com "&amp;L137,"")&amp;".",""),IF(M137&lt;&gt;"","Dieta "&amp;M137&amp;IF(N137&lt;&gt;"", ", com "&amp;LOWER(N137),"")&amp;IF(O137&lt;&gt;"", " — "&amp;O137,"")&amp;".",""),IF(P137="Febre","Apresentou episódio febril nas últimas 24h"&amp;IF(Q137&lt;&gt;""," ("&amp;Q137&amp;")","")&amp;".",IF(P137="Afebril","Encontra-se afebril.","")),IF(R137&lt;&gt;"",IF(S137="Sim","Apresenta disfunção renal aguda ","Função renal preservada ")&amp;"("&amp;R137&amp;").",""),IF(T137&lt;&gt;"","Em uso do esquema antimicrobiano com "&amp;T137&amp;".",""),IF(U137&lt;&gt;"","Em uso de profilaxia: "&amp;U137&amp;".",""))&amp;CHAR(10)&amp;CHAR(10)&amp;"2. Farmacoterapia"&amp;CHAR(10)&amp;IF(V137&lt;&gt;"","Corticoide/DART: "&amp;V137,"Sem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("&amp;Intervenções!$G$2:$G$500&amp;")",(Intervenções!$B$2:$B$500=A137)*(Intervenções!$A$2:$A$500=F137))),"Nenhuma intervenção registrada hoje.")&amp;CHAR(10)&amp;CHAR(10)&amp;"4. Plano Terapêutico"&amp;CHAR(10)&amp;IF(W137&lt;&gt;"",W137,"Não definido.")</f>
      </c>
    </row>
    <row r="138" spans="1:24" x14ac:dyDescent="0.25">
      <c r="A138" s="6"/>
      <c r="B138" s="9">
        <f>IFERROR(INDEX(Pacientes!$A:$A,MATCH($A138,Pacientes!$B:$B,0)),"")</f>
      </c>
      <c r="C138" s="9">
        <f>IFERROR(INDEX(Pacientes!$C:$C,MATCH($A138,Pacientes!$B:$B,0)),"")</f>
      </c>
      <c r="D138" s="9">
        <f>IFERROR(INDEX(Pacientes!$D:$D,MATCH($A138,Pacientes!$B:$B,0)),"")</f>
      </c>
      <c r="E138" s="9">
        <f>IFERROR(INDEX(Pacientes!$E:$E,MATCH($A138,Pacientes!$B:$B,0)),"")</f>
      </c>
      <c r="F138" s="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>
        <f>"1. Evolução Clínica"&amp;CHAR(10)&amp;TEXTJOIN(" ",TRUE,"Paciente "&amp;G138&amp;", "&amp;IF(H138="","sem DVA","em uso de "&amp;H138)&amp;".",IF(I138&lt;&gt;"","Em "&amp;I138&amp;IF(J138&lt;&gt;""," ("&amp;J138&amp;")","")&amp;IF(K138&lt;&gt;"", ", "&amp;K138,"")&amp;IF(L138&lt;&gt;"", ", sob analgosedação com "&amp;L138,"")&amp;".",""),IF(M138&lt;&gt;"","Dieta "&amp;M138&amp;IF(N138&lt;&gt;"", ", com "&amp;LOWER(N138),"")&amp;IF(O138&lt;&gt;"", " — "&amp;O138,"")&amp;".",""),IF(P138="Febre","Apresentou episódio febril nas últimas 24h"&amp;IF(Q138&lt;&gt;""," ("&amp;Q138&amp;")","")&amp;".",IF(P138="Afebril","Encontra-se afebril.","")),IF(R138&lt;&gt;"",IF(S138="Sim","Apresenta disfunção renal aguda ","Função renal preservada ")&amp;"("&amp;R138&amp;").",""),IF(T138&lt;&gt;"","Em uso do esquema antimicrobiano com "&amp;T138&amp;".",""),IF(U138&lt;&gt;"","Em uso de profilaxia: "&amp;U138&amp;".",""))&amp;CHAR(10)&amp;CHAR(10)&amp;"2. Farmacoterapia"&amp;CHAR(10)&amp;IF(V138&lt;&gt;"","Corticoide/DART: "&amp;V138,"Sem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("&amp;Intervenções!$G$2:$G$500&amp;")",(Intervenções!$B$2:$B$500=A138)*(Intervenções!$A$2:$A$500=F138))),"Nenhuma intervenção registrada hoje.")&amp;CHAR(10)&amp;CHAR(10)&amp;"4. Plano Terapêutico"&amp;CHAR(10)&amp;IF(W138&lt;&gt;"",W138,"Não definido.")</f>
      </c>
    </row>
    <row r="139" spans="1:24" x14ac:dyDescent="0.25">
      <c r="A139" s="6"/>
      <c r="B139" s="9">
        <f>IFERROR(INDEX(Pacientes!$A:$A,MATCH($A139,Pacientes!$B:$B,0)),"")</f>
      </c>
      <c r="C139" s="9">
        <f>IFERROR(INDEX(Pacientes!$C:$C,MATCH($A139,Pacientes!$B:$B,0)),"")</f>
      </c>
      <c r="D139" s="9">
        <f>IFERROR(INDEX(Pacientes!$D:$D,MATCH($A139,Pacientes!$B:$B,0)),"")</f>
      </c>
      <c r="E139" s="9">
        <f>IFERROR(INDEX(Pacientes!$E:$E,MATCH($A139,Pacientes!$B:$B,0)),"")</f>
      </c>
      <c r="F139" s="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>
        <f>"1. Evolução Clínica"&amp;CHAR(10)&amp;TEXTJOIN(" ",TRUE,"Paciente "&amp;G139&amp;", "&amp;IF(H139="","sem DVA","em uso de "&amp;H139)&amp;".",IF(I139&lt;&gt;"","Em "&amp;I139&amp;IF(J139&lt;&gt;""," ("&amp;J139&amp;")","")&amp;IF(K139&lt;&gt;"", ", "&amp;K139,"")&amp;IF(L139&lt;&gt;"", ", sob analgosedação com "&amp;L139,"")&amp;".",""),IF(M139&lt;&gt;"","Dieta "&amp;M139&amp;IF(N139&lt;&gt;"", ", com "&amp;LOWER(N139),"")&amp;IF(O139&lt;&gt;"", " — "&amp;O139,"")&amp;".",""),IF(P139="Febre","Apresentou episódio febril nas últimas 24h"&amp;IF(Q139&lt;&gt;""," ("&amp;Q139&amp;")","")&amp;".",IF(P139="Afebril","Encontra-se afebril.","")),IF(R139&lt;&gt;"",IF(S139="Sim","Apresenta disfunção renal aguda ","Função renal preservada ")&amp;"("&amp;R139&amp;").",""),IF(T139&lt;&gt;"","Em uso do esquema antimicrobiano com "&amp;T139&amp;".",""),IF(U139&lt;&gt;"","Em uso de profilaxia: "&amp;U139&amp;".",""))&amp;CHAR(10)&amp;CHAR(10)&amp;"2. Farmacoterapia"&amp;CHAR(10)&amp;IF(V139&lt;&gt;"","Corticoide/DART: "&amp;V139,"Sem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("&amp;Intervenções!$G$2:$G$500&amp;")",(Intervenções!$B$2:$B$500=A139)*(Intervenções!$A$2:$A$500=F139))),"Nenhuma intervenção registrada hoje.")&amp;CHAR(10)&amp;CHAR(10)&amp;"4. Plano Terapêutico"&amp;CHAR(10)&amp;IF(W139&lt;&gt;"",W139,"Não definido.")</f>
      </c>
    </row>
    <row r="140" spans="1:24" x14ac:dyDescent="0.25">
      <c r="A140" s="6"/>
      <c r="B140" s="9">
        <f>IFERROR(INDEX(Pacientes!$A:$A,MATCH($A140,Pacientes!$B:$B,0)),"")</f>
      </c>
      <c r="C140" s="9">
        <f>IFERROR(INDEX(Pacientes!$C:$C,MATCH($A140,Pacientes!$B:$B,0)),"")</f>
      </c>
      <c r="D140" s="9">
        <f>IFERROR(INDEX(Pacientes!$D:$D,MATCH($A140,Pacientes!$B:$B,0)),"")</f>
      </c>
      <c r="E140" s="9">
        <f>IFERROR(INDEX(Pacientes!$E:$E,MATCH($A140,Pacientes!$B:$B,0)),"")</f>
      </c>
      <c r="F140" s="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>
        <f>"1. Evolução Clínica"&amp;CHAR(10)&amp;TEXTJOIN(" ",TRUE,"Paciente "&amp;G140&amp;", "&amp;IF(H140="","sem DVA","em uso de "&amp;H140)&amp;".",IF(I140&lt;&gt;"","Em "&amp;I140&amp;IF(J140&lt;&gt;""," ("&amp;J140&amp;")","")&amp;IF(K140&lt;&gt;"", ", "&amp;K140,"")&amp;IF(L140&lt;&gt;"", ", sob analgosedação com "&amp;L140,"")&amp;".",""),IF(M140&lt;&gt;"","Dieta "&amp;M140&amp;IF(N140&lt;&gt;"", ", com "&amp;LOWER(N140),"")&amp;IF(O140&lt;&gt;"", " — "&amp;O140,"")&amp;".",""),IF(P140="Febre","Apresentou episódio febril nas últimas 24h"&amp;IF(Q140&lt;&gt;""," ("&amp;Q140&amp;")","")&amp;".",IF(P140="Afebril","Encontra-se afebril.","")),IF(R140&lt;&gt;"",IF(S140="Sim","Apresenta disfunção renal aguda ","Função renal preservada ")&amp;"("&amp;R140&amp;").",""),IF(T140&lt;&gt;"","Em uso do esquema antimicrobiano com "&amp;T140&amp;".",""),IF(U140&lt;&gt;"","Em uso de profilaxia: "&amp;U140&amp;".",""))&amp;CHAR(10)&amp;CHAR(10)&amp;"2. Farmacoterapia"&amp;CHAR(10)&amp;IF(V140&lt;&gt;"","Corticoide/DART: "&amp;V140,"Sem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("&amp;Intervenções!$G$2:$G$500&amp;")",(Intervenções!$B$2:$B$500=A140)*(Intervenções!$A$2:$A$500=F140))),"Nenhuma intervenção registrada hoje.")&amp;CHAR(10)&amp;CHAR(10)&amp;"4. Plano Terapêutico"&amp;CHAR(10)&amp;IF(W140&lt;&gt;"",W140,"Não definido.")</f>
      </c>
    </row>
    <row r="141" spans="1:24" x14ac:dyDescent="0.25">
      <c r="A141" s="6"/>
      <c r="B141" s="9">
        <f>IFERROR(INDEX(Pacientes!$A:$A,MATCH($A141,Pacientes!$B:$B,0)),"")</f>
      </c>
      <c r="C141" s="9">
        <f>IFERROR(INDEX(Pacientes!$C:$C,MATCH($A141,Pacientes!$B:$B,0)),"")</f>
      </c>
      <c r="D141" s="9">
        <f>IFERROR(INDEX(Pacientes!$D:$D,MATCH($A141,Pacientes!$B:$B,0)),"")</f>
      </c>
      <c r="E141" s="9">
        <f>IFERROR(INDEX(Pacientes!$E:$E,MATCH($A141,Pacientes!$B:$B,0)),"")</f>
      </c>
      <c r="F141" s="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>
        <f>"1. Evolução Clínica"&amp;CHAR(10)&amp;TEXTJOIN(" ",TRUE,"Paciente "&amp;G141&amp;", "&amp;IF(H141="","sem DVA","em uso de "&amp;H141)&amp;".",IF(I141&lt;&gt;"","Em "&amp;I141&amp;IF(J141&lt;&gt;""," ("&amp;J141&amp;")","")&amp;IF(K141&lt;&gt;"", ", "&amp;K141,"")&amp;IF(L141&lt;&gt;"", ", sob analgosedação com "&amp;L141,"")&amp;".",""),IF(M141&lt;&gt;"","Dieta "&amp;M141&amp;IF(N141&lt;&gt;"", ", com "&amp;LOWER(N141),"")&amp;IF(O141&lt;&gt;"", " — "&amp;O141,"")&amp;".",""),IF(P141="Febre","Apresentou episódio febril nas últimas 24h"&amp;IF(Q141&lt;&gt;""," ("&amp;Q141&amp;")","")&amp;".",IF(P141="Afebril","Encontra-se afebril.","")),IF(R141&lt;&gt;"",IF(S141="Sim","Apresenta disfunção renal aguda ","Função renal preservada ")&amp;"("&amp;R141&amp;").",""),IF(T141&lt;&gt;"","Em uso do esquema antimicrobiano com "&amp;T141&amp;".",""),IF(U141&lt;&gt;"","Em uso de profilaxia: "&amp;U141&amp;".",""))&amp;CHAR(10)&amp;CHAR(10)&amp;"2. Farmacoterapia"&amp;CHAR(10)&amp;IF(V141&lt;&gt;"","Corticoide/DART: "&amp;V141,"Sem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("&amp;Intervenções!$G$2:$G$500&amp;")",(Intervenções!$B$2:$B$500=A141)*(Intervenções!$A$2:$A$500=F141))),"Nenhuma intervenção registrada hoje.")&amp;CHAR(10)&amp;CHAR(10)&amp;"4. Plano Terapêutico"&amp;CHAR(10)&amp;IF(W141&lt;&gt;"",W141,"Não definido.")</f>
      </c>
    </row>
    <row r="142" spans="1:24" x14ac:dyDescent="0.25">
      <c r="A142" s="6"/>
      <c r="B142" s="9">
        <f>IFERROR(INDEX(Pacientes!$A:$A,MATCH($A142,Pacientes!$B:$B,0)),"")</f>
      </c>
      <c r="C142" s="9">
        <f>IFERROR(INDEX(Pacientes!$C:$C,MATCH($A142,Pacientes!$B:$B,0)),"")</f>
      </c>
      <c r="D142" s="9">
        <f>IFERROR(INDEX(Pacientes!$D:$D,MATCH($A142,Pacientes!$B:$B,0)),"")</f>
      </c>
      <c r="E142" s="9">
        <f>IFERROR(INDEX(Pacientes!$E:$E,MATCH($A142,Pacientes!$B:$B,0)),"")</f>
      </c>
      <c r="F142" s="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>
        <f>"1. Evolução Clínica"&amp;CHAR(10)&amp;TEXTJOIN(" ",TRUE,"Paciente "&amp;G142&amp;", "&amp;IF(H142="","sem DVA","em uso de "&amp;H142)&amp;".",IF(I142&lt;&gt;"","Em "&amp;I142&amp;IF(J142&lt;&gt;""," ("&amp;J142&amp;")","")&amp;IF(K142&lt;&gt;"", ", "&amp;K142,"")&amp;IF(L142&lt;&gt;"", ", sob analgosedação com "&amp;L142,"")&amp;".",""),IF(M142&lt;&gt;"","Dieta "&amp;M142&amp;IF(N142&lt;&gt;"", ", com "&amp;LOWER(N142),"")&amp;IF(O142&lt;&gt;"", " — "&amp;O142,"")&amp;".",""),IF(P142="Febre","Apresentou episódio febril nas últimas 24h"&amp;IF(Q142&lt;&gt;""," ("&amp;Q142&amp;")","")&amp;".",IF(P142="Afebril","Encontra-se afebril.","")),IF(R142&lt;&gt;"",IF(S142="Sim","Apresenta disfunção renal aguda ","Função renal preservada ")&amp;"("&amp;R142&amp;").",""),IF(T142&lt;&gt;"","Em uso do esquema antimicrobiano com "&amp;T142&amp;".",""),IF(U142&lt;&gt;"","Em uso de profilaxia: "&amp;U142&amp;".",""))&amp;CHAR(10)&amp;CHAR(10)&amp;"2. Farmacoterapia"&amp;CHAR(10)&amp;IF(V142&lt;&gt;"","Corticoide/DART: "&amp;V142,"Sem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("&amp;Intervenções!$G$2:$G$500&amp;")",(Intervenções!$B$2:$B$500=A142)*(Intervenções!$A$2:$A$500=F142))),"Nenhuma intervenção registrada hoje.")&amp;CHAR(10)&amp;CHAR(10)&amp;"4. Plano Terapêutico"&amp;CHAR(10)&amp;IF(W142&lt;&gt;"",W142,"Não definido.")</f>
      </c>
    </row>
    <row r="143" spans="1:24" x14ac:dyDescent="0.25">
      <c r="A143" s="6"/>
      <c r="B143" s="9">
        <f>IFERROR(INDEX(Pacientes!$A:$A,MATCH($A143,Pacientes!$B:$B,0)),"")</f>
      </c>
      <c r="C143" s="9">
        <f>IFERROR(INDEX(Pacientes!$C:$C,MATCH($A143,Pacientes!$B:$B,0)),"")</f>
      </c>
      <c r="D143" s="9">
        <f>IFERROR(INDEX(Pacientes!$D:$D,MATCH($A143,Pacientes!$B:$B,0)),"")</f>
      </c>
      <c r="E143" s="9">
        <f>IFERROR(INDEX(Pacientes!$E:$E,MATCH($A143,Pacientes!$B:$B,0)),"")</f>
      </c>
      <c r="F143" s="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>
        <f>"1. Evolução Clínica"&amp;CHAR(10)&amp;TEXTJOIN(" ",TRUE,"Paciente "&amp;G143&amp;", "&amp;IF(H143="","sem DVA","em uso de "&amp;H143)&amp;".",IF(I143&lt;&gt;"","Em "&amp;I143&amp;IF(J143&lt;&gt;""," ("&amp;J143&amp;")","")&amp;IF(K143&lt;&gt;"", ", "&amp;K143,"")&amp;IF(L143&lt;&gt;"", ", sob analgosedação com "&amp;L143,"")&amp;".",""),IF(M143&lt;&gt;"","Dieta "&amp;M143&amp;IF(N143&lt;&gt;"", ", com "&amp;LOWER(N143),"")&amp;IF(O143&lt;&gt;"", " — "&amp;O143,"")&amp;".",""),IF(P143="Febre","Apresentou episódio febril nas últimas 24h"&amp;IF(Q143&lt;&gt;""," ("&amp;Q143&amp;")","")&amp;".",IF(P143="Afebril","Encontra-se afebril.","")),IF(R143&lt;&gt;"",IF(S143="Sim","Apresenta disfunção renal aguda ","Função renal preservada ")&amp;"("&amp;R143&amp;").",""),IF(T143&lt;&gt;"","Em uso do esquema antimicrobiano com "&amp;T143&amp;".",""),IF(U143&lt;&gt;"","Em uso de profilaxia: "&amp;U143&amp;".",""))&amp;CHAR(10)&amp;CHAR(10)&amp;"2. Farmacoterapia"&amp;CHAR(10)&amp;IF(V143&lt;&gt;"","Corticoide/DART: "&amp;V143,"Sem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("&amp;Intervenções!$G$2:$G$500&amp;")",(Intervenções!$B$2:$B$500=A143)*(Intervenções!$A$2:$A$500=F143))),"Nenhuma intervenção registrada hoje.")&amp;CHAR(10)&amp;CHAR(10)&amp;"4. Plano Terapêutico"&amp;CHAR(10)&amp;IF(W143&lt;&gt;"",W143,"Não definido.")</f>
      </c>
    </row>
    <row r="144" spans="1:24" x14ac:dyDescent="0.25">
      <c r="A144" s="6"/>
      <c r="B144" s="9">
        <f>IFERROR(INDEX(Pacientes!$A:$A,MATCH($A144,Pacientes!$B:$B,0)),"")</f>
      </c>
      <c r="C144" s="9">
        <f>IFERROR(INDEX(Pacientes!$C:$C,MATCH($A144,Pacientes!$B:$B,0)),"")</f>
      </c>
      <c r="D144" s="9">
        <f>IFERROR(INDEX(Pacientes!$D:$D,MATCH($A144,Pacientes!$B:$B,0)),"")</f>
      </c>
      <c r="E144" s="9">
        <f>IFERROR(INDEX(Pacientes!$E:$E,MATCH($A144,Pacientes!$B:$B,0)),"")</f>
      </c>
      <c r="F144" s="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>
        <f>"1. Evolução Clínica"&amp;CHAR(10)&amp;TEXTJOIN(" ",TRUE,"Paciente "&amp;G144&amp;", "&amp;IF(H144="","sem DVA","em uso de "&amp;H144)&amp;".",IF(I144&lt;&gt;"","Em "&amp;I144&amp;IF(J144&lt;&gt;""," ("&amp;J144&amp;")","")&amp;IF(K144&lt;&gt;"", ", "&amp;K144,"")&amp;IF(L144&lt;&gt;"", ", sob analgosedação com "&amp;L144,"")&amp;".",""),IF(M144&lt;&gt;"","Dieta "&amp;M144&amp;IF(N144&lt;&gt;"", ", com "&amp;LOWER(N144),"")&amp;IF(O144&lt;&gt;"", " — "&amp;O144,"")&amp;".",""),IF(P144="Febre","Apresentou episódio febril nas últimas 24h"&amp;IF(Q144&lt;&gt;""," ("&amp;Q144&amp;")","")&amp;".",IF(P144="Afebril","Encontra-se afebril.","")),IF(R144&lt;&gt;"",IF(S144="Sim","Apresenta disfunção renal aguda ","Função renal preservada ")&amp;"("&amp;R144&amp;").",""),IF(T144&lt;&gt;"","Em uso do esquema antimicrobiano com "&amp;T144&amp;".",""),IF(U144&lt;&gt;"","Em uso de profilaxia: "&amp;U144&amp;".",""))&amp;CHAR(10)&amp;CHAR(10)&amp;"2. Farmacoterapia"&amp;CHAR(10)&amp;IF(V144&lt;&gt;"","Corticoide/DART: "&amp;V144,"Sem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("&amp;Intervenções!$G$2:$G$500&amp;")",(Intervenções!$B$2:$B$500=A144)*(Intervenções!$A$2:$A$500=F144))),"Nenhuma intervenção registrada hoje.")&amp;CHAR(10)&amp;CHAR(10)&amp;"4. Plano Terapêutico"&amp;CHAR(10)&amp;IF(W144&lt;&gt;"",W144,"Não definido.")</f>
      </c>
    </row>
    <row r="145" spans="1:24" x14ac:dyDescent="0.25">
      <c r="A145" s="6"/>
      <c r="B145" s="9">
        <f>IFERROR(INDEX(Pacientes!$A:$A,MATCH($A145,Pacientes!$B:$B,0)),"")</f>
      </c>
      <c r="C145" s="9">
        <f>IFERROR(INDEX(Pacientes!$C:$C,MATCH($A145,Pacientes!$B:$B,0)),"")</f>
      </c>
      <c r="D145" s="9">
        <f>IFERROR(INDEX(Pacientes!$D:$D,MATCH($A145,Pacientes!$B:$B,0)),"")</f>
      </c>
      <c r="E145" s="9">
        <f>IFERROR(INDEX(Pacientes!$E:$E,MATCH($A145,Pacientes!$B:$B,0)),"")</f>
      </c>
      <c r="F145" s="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>
        <f>"1. Evolução Clínica"&amp;CHAR(10)&amp;TEXTJOIN(" ",TRUE,"Paciente "&amp;G145&amp;", "&amp;IF(H145="","sem DVA","em uso de "&amp;H145)&amp;".",IF(I145&lt;&gt;"","Em "&amp;I145&amp;IF(J145&lt;&gt;""," ("&amp;J145&amp;")","")&amp;IF(K145&lt;&gt;"", ", "&amp;K145,"")&amp;IF(L145&lt;&gt;"", ", sob analgosedação com "&amp;L145,"")&amp;".",""),IF(M145&lt;&gt;"","Dieta "&amp;M145&amp;IF(N145&lt;&gt;"", ", com "&amp;LOWER(N145),"")&amp;IF(O145&lt;&gt;"", " — "&amp;O145,"")&amp;".",""),IF(P145="Febre","Apresentou episódio febril nas últimas 24h"&amp;IF(Q145&lt;&gt;""," ("&amp;Q145&amp;")","")&amp;".",IF(P145="Afebril","Encontra-se afebril.","")),IF(R145&lt;&gt;"",IF(S145="Sim","Apresenta disfunção renal aguda ","Função renal preservada ")&amp;"("&amp;R145&amp;").",""),IF(T145&lt;&gt;"","Em uso do esquema antimicrobiano com "&amp;T145&amp;".",""),IF(U145&lt;&gt;"","Em uso de profilaxia: "&amp;U145&amp;".",""))&amp;CHAR(10)&amp;CHAR(10)&amp;"2. Farmacoterapia"&amp;CHAR(10)&amp;IF(V145&lt;&gt;"","Corticoide/DART: "&amp;V145,"Sem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("&amp;Intervenções!$G$2:$G$500&amp;")",(Intervenções!$B$2:$B$500=A145)*(Intervenções!$A$2:$A$500=F145))),"Nenhuma intervenção registrada hoje.")&amp;CHAR(10)&amp;CHAR(10)&amp;"4. Plano Terapêutico"&amp;CHAR(10)&amp;IF(W145&lt;&gt;"",W145,"Não definido.")</f>
      </c>
    </row>
    <row r="146" spans="1:24" x14ac:dyDescent="0.25">
      <c r="A146" s="6"/>
      <c r="B146" s="9">
        <f>IFERROR(INDEX(Pacientes!$A:$A,MATCH($A146,Pacientes!$B:$B,0)),"")</f>
      </c>
      <c r="C146" s="9">
        <f>IFERROR(INDEX(Pacientes!$C:$C,MATCH($A146,Pacientes!$B:$B,0)),"")</f>
      </c>
      <c r="D146" s="9">
        <f>IFERROR(INDEX(Pacientes!$D:$D,MATCH($A146,Pacientes!$B:$B,0)),"")</f>
      </c>
      <c r="E146" s="9">
        <f>IFERROR(INDEX(Pacientes!$E:$E,MATCH($A146,Pacientes!$B:$B,0)),"")</f>
      </c>
      <c r="F146" s="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>
        <f>"1. Evolução Clínica"&amp;CHAR(10)&amp;TEXTJOIN(" ",TRUE,"Paciente "&amp;G146&amp;", "&amp;IF(H146="","sem DVA","em uso de "&amp;H146)&amp;".",IF(I146&lt;&gt;"","Em "&amp;I146&amp;IF(J146&lt;&gt;""," ("&amp;J146&amp;")","")&amp;IF(K146&lt;&gt;"", ", "&amp;K146,"")&amp;IF(L146&lt;&gt;"", ", sob analgosedação com "&amp;L146,"")&amp;".",""),IF(M146&lt;&gt;"","Dieta "&amp;M146&amp;IF(N146&lt;&gt;"", ", com "&amp;LOWER(N146),"")&amp;IF(O146&lt;&gt;"", " — "&amp;O146,"")&amp;".",""),IF(P146="Febre","Apresentou episódio febril nas últimas 24h"&amp;IF(Q146&lt;&gt;""," ("&amp;Q146&amp;")","")&amp;".",IF(P146="Afebril","Encontra-se afebril.","")),IF(R146&lt;&gt;"",IF(S146="Sim","Apresenta disfunção renal aguda ","Função renal preservada ")&amp;"("&amp;R146&amp;").",""),IF(T146&lt;&gt;"","Em uso do esquema antimicrobiano com "&amp;T146&amp;".",""),IF(U146&lt;&gt;"","Em uso de profilaxia: "&amp;U146&amp;".",""))&amp;CHAR(10)&amp;CHAR(10)&amp;"2. Farmacoterapia"&amp;CHAR(10)&amp;IF(V146&lt;&gt;"","Corticoide/DART: "&amp;V146,"Sem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("&amp;Intervenções!$G$2:$G$500&amp;")",(Intervenções!$B$2:$B$500=A146)*(Intervenções!$A$2:$A$500=F146))),"Nenhuma intervenção registrada hoje.")&amp;CHAR(10)&amp;CHAR(10)&amp;"4. Plano Terapêutico"&amp;CHAR(10)&amp;IF(W146&lt;&gt;"",W146,"Não definido.")</f>
      </c>
    </row>
    <row r="147" spans="1:24" x14ac:dyDescent="0.25">
      <c r="A147" s="6"/>
      <c r="B147" s="9">
        <f>IFERROR(INDEX(Pacientes!$A:$A,MATCH($A147,Pacientes!$B:$B,0)),"")</f>
      </c>
      <c r="C147" s="9">
        <f>IFERROR(INDEX(Pacientes!$C:$C,MATCH($A147,Pacientes!$B:$B,0)),"")</f>
      </c>
      <c r="D147" s="9">
        <f>IFERROR(INDEX(Pacientes!$D:$D,MATCH($A147,Pacientes!$B:$B,0)),"")</f>
      </c>
      <c r="E147" s="9">
        <f>IFERROR(INDEX(Pacientes!$E:$E,MATCH($A147,Pacientes!$B:$B,0)),"")</f>
      </c>
      <c r="F147" s="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>
        <f>"1. Evolução Clínica"&amp;CHAR(10)&amp;TEXTJOIN(" ",TRUE,"Paciente "&amp;G147&amp;", "&amp;IF(H147="","sem DVA","em uso de "&amp;H147)&amp;".",IF(I147&lt;&gt;"","Em "&amp;I147&amp;IF(J147&lt;&gt;""," ("&amp;J147&amp;")","")&amp;IF(K147&lt;&gt;"", ", "&amp;K147,"")&amp;IF(L147&lt;&gt;"", ", sob analgosedação com "&amp;L147,"")&amp;".",""),IF(M147&lt;&gt;"","Dieta "&amp;M147&amp;IF(N147&lt;&gt;"", ", com "&amp;LOWER(N147),"")&amp;IF(O147&lt;&gt;"", " — "&amp;O147,"")&amp;".",""),IF(P147="Febre","Apresentou episódio febril nas últimas 24h"&amp;IF(Q147&lt;&gt;""," ("&amp;Q147&amp;")","")&amp;".",IF(P147="Afebril","Encontra-se afebril.","")),IF(R147&lt;&gt;"",IF(S147="Sim","Apresenta disfunção renal aguda ","Função renal preservada ")&amp;"("&amp;R147&amp;").",""),IF(T147&lt;&gt;"","Em uso do esquema antimicrobiano com "&amp;T147&amp;".",""),IF(U147&lt;&gt;"","Em uso de profilaxia: "&amp;U147&amp;".",""))&amp;CHAR(10)&amp;CHAR(10)&amp;"2. Farmacoterapia"&amp;CHAR(10)&amp;IF(V147&lt;&gt;"","Corticoide/DART: "&amp;V147,"Sem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("&amp;Intervenções!$G$2:$G$500&amp;")",(Intervenções!$B$2:$B$500=A147)*(Intervenções!$A$2:$A$500=F147))),"Nenhuma intervenção registrada hoje.")&amp;CHAR(10)&amp;CHAR(10)&amp;"4. Plano Terapêutico"&amp;CHAR(10)&amp;IF(W147&lt;&gt;"",W147,"Não definido.")</f>
      </c>
    </row>
    <row r="148" spans="1:24" x14ac:dyDescent="0.25">
      <c r="A148" s="6"/>
      <c r="B148" s="9">
        <f>IFERROR(INDEX(Pacientes!$A:$A,MATCH($A148,Pacientes!$B:$B,0)),"")</f>
      </c>
      <c r="C148" s="9">
        <f>IFERROR(INDEX(Pacientes!$C:$C,MATCH($A148,Pacientes!$B:$B,0)),"")</f>
      </c>
      <c r="D148" s="9">
        <f>IFERROR(INDEX(Pacientes!$D:$D,MATCH($A148,Pacientes!$B:$B,0)),"")</f>
      </c>
      <c r="E148" s="9">
        <f>IFERROR(INDEX(Pacientes!$E:$E,MATCH($A148,Pacientes!$B:$B,0)),"")</f>
      </c>
      <c r="F148" s="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>
        <f>"1. Evolução Clínica"&amp;CHAR(10)&amp;TEXTJOIN(" ",TRUE,"Paciente "&amp;G148&amp;", "&amp;IF(H148="","sem DVA","em uso de "&amp;H148)&amp;".",IF(I148&lt;&gt;"","Em "&amp;I148&amp;IF(J148&lt;&gt;""," ("&amp;J148&amp;")","")&amp;IF(K148&lt;&gt;"", ", "&amp;K148,"")&amp;IF(L148&lt;&gt;"", ", sob analgosedação com "&amp;L148,"")&amp;".",""),IF(M148&lt;&gt;"","Dieta "&amp;M148&amp;IF(N148&lt;&gt;"", ", com "&amp;LOWER(N148),"")&amp;IF(O148&lt;&gt;"", " — "&amp;O148,"")&amp;".",""),IF(P148="Febre","Apresentou episódio febril nas últimas 24h"&amp;IF(Q148&lt;&gt;""," ("&amp;Q148&amp;")","")&amp;".",IF(P148="Afebril","Encontra-se afebril.","")),IF(R148&lt;&gt;"",IF(S148="Sim","Apresenta disfunção renal aguda ","Função renal preservada ")&amp;"("&amp;R148&amp;").",""),IF(T148&lt;&gt;"","Em uso do esquema antimicrobiano com "&amp;T148&amp;".",""),IF(U148&lt;&gt;"","Em uso de profilaxia: "&amp;U148&amp;".",""))&amp;CHAR(10)&amp;CHAR(10)&amp;"2. Farmacoterapia"&amp;CHAR(10)&amp;IF(V148&lt;&gt;"","Corticoide/DART: "&amp;V148,"Sem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("&amp;Intervenções!$G$2:$G$500&amp;")",(Intervenções!$B$2:$B$500=A148)*(Intervenções!$A$2:$A$500=F148))),"Nenhuma intervenção registrada hoje.")&amp;CHAR(10)&amp;CHAR(10)&amp;"4. Plano Terapêutico"&amp;CHAR(10)&amp;IF(W148&lt;&gt;"",W148,"Não definido.")</f>
      </c>
    </row>
    <row r="149" spans="1:24" x14ac:dyDescent="0.25">
      <c r="A149" s="6"/>
      <c r="B149" s="9">
        <f>IFERROR(INDEX(Pacientes!$A:$A,MATCH($A149,Pacientes!$B:$B,0)),"")</f>
      </c>
      <c r="C149" s="9">
        <f>IFERROR(INDEX(Pacientes!$C:$C,MATCH($A149,Pacientes!$B:$B,0)),"")</f>
      </c>
      <c r="D149" s="9">
        <f>IFERROR(INDEX(Pacientes!$D:$D,MATCH($A149,Pacientes!$B:$B,0)),"")</f>
      </c>
      <c r="E149" s="9">
        <f>IFERROR(INDEX(Pacientes!$E:$E,MATCH($A149,Pacientes!$B:$B,0)),"")</f>
      </c>
      <c r="F149" s="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>
        <f>"1. Evolução Clínica"&amp;CHAR(10)&amp;TEXTJOIN(" ",TRUE,"Paciente "&amp;G149&amp;", "&amp;IF(H149="","sem DVA","em uso de "&amp;H149)&amp;".",IF(I149&lt;&gt;"","Em "&amp;I149&amp;IF(J149&lt;&gt;""," ("&amp;J149&amp;")","")&amp;IF(K149&lt;&gt;"", ", "&amp;K149,"")&amp;IF(L149&lt;&gt;"", ", sob analgosedação com "&amp;L149,"")&amp;".",""),IF(M149&lt;&gt;"","Dieta "&amp;M149&amp;IF(N149&lt;&gt;"", ", com "&amp;LOWER(N149),"")&amp;IF(O149&lt;&gt;"", " — "&amp;O149,"")&amp;".",""),IF(P149="Febre","Apresentou episódio febril nas últimas 24h"&amp;IF(Q149&lt;&gt;""," ("&amp;Q149&amp;")","")&amp;".",IF(P149="Afebril","Encontra-se afebril.","")),IF(R149&lt;&gt;"",IF(S149="Sim","Apresenta disfunção renal aguda ","Função renal preservada ")&amp;"("&amp;R149&amp;").",""),IF(T149&lt;&gt;"","Em uso do esquema antimicrobiano com "&amp;T149&amp;".",""),IF(U149&lt;&gt;"","Em uso de profilaxia: "&amp;U149&amp;".",""))&amp;CHAR(10)&amp;CHAR(10)&amp;"2. Farmacoterapia"&amp;CHAR(10)&amp;IF(V149&lt;&gt;"","Corticoide/DART: "&amp;V149,"Sem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("&amp;Intervenções!$G$2:$G$500&amp;")",(Intervenções!$B$2:$B$500=A149)*(Intervenções!$A$2:$A$500=F149))),"Nenhuma intervenção registrada hoje.")&amp;CHAR(10)&amp;CHAR(10)&amp;"4. Plano Terapêutico"&amp;CHAR(10)&amp;IF(W149&lt;&gt;"",W149,"Não definido.")</f>
      </c>
    </row>
    <row r="150" spans="1:24" x14ac:dyDescent="0.25">
      <c r="A150" s="6"/>
      <c r="B150" s="9">
        <f>IFERROR(INDEX(Pacientes!$A:$A,MATCH($A150,Pacientes!$B:$B,0)),"")</f>
      </c>
      <c r="C150" s="9">
        <f>IFERROR(INDEX(Pacientes!$C:$C,MATCH($A150,Pacientes!$B:$B,0)),"")</f>
      </c>
      <c r="D150" s="9">
        <f>IFERROR(INDEX(Pacientes!$D:$D,MATCH($A150,Pacientes!$B:$B,0)),"")</f>
      </c>
      <c r="E150" s="9">
        <f>IFERROR(INDEX(Pacientes!$E:$E,MATCH($A150,Pacientes!$B:$B,0)),"")</f>
      </c>
      <c r="F150" s="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>
        <f>"1. Evolução Clínica"&amp;CHAR(10)&amp;TEXTJOIN(" ",TRUE,"Paciente "&amp;G150&amp;", "&amp;IF(H150="","sem DVA","em uso de "&amp;H150)&amp;".",IF(I150&lt;&gt;"","Em "&amp;I150&amp;IF(J150&lt;&gt;""," ("&amp;J150&amp;")","")&amp;IF(K150&lt;&gt;"", ", "&amp;K150,"")&amp;IF(L150&lt;&gt;"", ", sob analgosedação com "&amp;L150,"")&amp;".",""),IF(M150&lt;&gt;"","Dieta "&amp;M150&amp;IF(N150&lt;&gt;"", ", com "&amp;LOWER(N150),"")&amp;IF(O150&lt;&gt;"", " — "&amp;O150,"")&amp;".",""),IF(P150="Febre","Apresentou episódio febril nas últimas 24h"&amp;IF(Q150&lt;&gt;""," ("&amp;Q150&amp;")","")&amp;".",IF(P150="Afebril","Encontra-se afebril.","")),IF(R150&lt;&gt;"",IF(S150="Sim","Apresenta disfunção renal aguda ","Função renal preservada ")&amp;"("&amp;R150&amp;").",""),IF(T150&lt;&gt;"","Em uso do esquema antimicrobiano com "&amp;T150&amp;".",""),IF(U150&lt;&gt;"","Em uso de profilaxia: "&amp;U150&amp;".",""))&amp;CHAR(10)&amp;CHAR(10)&amp;"2. Farmacoterapia"&amp;CHAR(10)&amp;IF(V150&lt;&gt;"","Corticoide/DART: "&amp;V150,"Sem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("&amp;Intervenções!$G$2:$G$500&amp;")",(Intervenções!$B$2:$B$500=A150)*(Intervenções!$A$2:$A$500=F150))),"Nenhuma intervenção registrada hoje.")&amp;CHAR(10)&amp;CHAR(10)&amp;"4. Plano Terapêutico"&amp;CHAR(10)&amp;IF(W150&lt;&gt;"",W150,"Não definido.")</f>
      </c>
    </row>
    <row r="151" spans="1:24" x14ac:dyDescent="0.25">
      <c r="A151" s="6"/>
      <c r="B151" s="9">
        <f>IFERROR(INDEX(Pacientes!$A:$A,MATCH($A151,Pacientes!$B:$B,0)),"")</f>
      </c>
      <c r="C151" s="9">
        <f>IFERROR(INDEX(Pacientes!$C:$C,MATCH($A151,Pacientes!$B:$B,0)),"")</f>
      </c>
      <c r="D151" s="9">
        <f>IFERROR(INDEX(Pacientes!$D:$D,MATCH($A151,Pacientes!$B:$B,0)),"")</f>
      </c>
      <c r="E151" s="9">
        <f>IFERROR(INDEX(Pacientes!$E:$E,MATCH($A151,Pacientes!$B:$B,0)),"")</f>
      </c>
      <c r="F151" s="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>
        <f>"1. Evolução Clínica"&amp;CHAR(10)&amp;TEXTJOIN(" ",TRUE,"Paciente "&amp;G151&amp;", "&amp;IF(H151="","sem DVA","em uso de "&amp;H151)&amp;".",IF(I151&lt;&gt;"","Em "&amp;I151&amp;IF(J151&lt;&gt;""," ("&amp;J151&amp;")","")&amp;IF(K151&lt;&gt;"", ", "&amp;K151,"")&amp;IF(L151&lt;&gt;"", ", sob analgosedação com "&amp;L151,"")&amp;".",""),IF(M151&lt;&gt;"","Dieta "&amp;M151&amp;IF(N151&lt;&gt;"", ", com "&amp;LOWER(N151),"")&amp;IF(O151&lt;&gt;"", " — "&amp;O151,"")&amp;".",""),IF(P151="Febre","Apresentou episódio febril nas últimas 24h"&amp;IF(Q151&lt;&gt;""," ("&amp;Q151&amp;")","")&amp;".",IF(P151="Afebril","Encontra-se afebril.","")),IF(R151&lt;&gt;"",IF(S151="Sim","Apresenta disfunção renal aguda ","Função renal preservada ")&amp;"("&amp;R151&amp;").",""),IF(T151&lt;&gt;"","Em uso do esquema antimicrobiano com "&amp;T151&amp;".",""),IF(U151&lt;&gt;"","Em uso de profilaxia: "&amp;U151&amp;".",""))&amp;CHAR(10)&amp;CHAR(10)&amp;"2. Farmacoterapia"&amp;CHAR(10)&amp;IF(V151&lt;&gt;"","Corticoide/DART: "&amp;V151,"Sem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("&amp;Intervenções!$G$2:$G$500&amp;")",(Intervenções!$B$2:$B$500=A151)*(Intervenções!$A$2:$A$500=F151))),"Nenhuma intervenção registrada hoje.")&amp;CHAR(10)&amp;CHAR(10)&amp;"4. Plano Terapêutico"&amp;CHAR(10)&amp;IF(W151&lt;&gt;"",W151,"Não definido.")</f>
      </c>
    </row>
    <row r="152" spans="1:24" x14ac:dyDescent="0.25">
      <c r="A152" s="6"/>
      <c r="B152" s="9">
        <f>IFERROR(INDEX(Pacientes!$A:$A,MATCH($A152,Pacientes!$B:$B,0)),"")</f>
      </c>
      <c r="C152" s="9">
        <f>IFERROR(INDEX(Pacientes!$C:$C,MATCH($A152,Pacientes!$B:$B,0)),"")</f>
      </c>
      <c r="D152" s="9">
        <f>IFERROR(INDEX(Pacientes!$D:$D,MATCH($A152,Pacientes!$B:$B,0)),"")</f>
      </c>
      <c r="E152" s="9">
        <f>IFERROR(INDEX(Pacientes!$E:$E,MATCH($A152,Pacientes!$B:$B,0)),"")</f>
      </c>
      <c r="F152" s="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>
        <f>"1. Evolução Clínica"&amp;CHAR(10)&amp;TEXTJOIN(" ",TRUE,"Paciente "&amp;G152&amp;", "&amp;IF(H152="","sem DVA","em uso de "&amp;H152)&amp;".",IF(I152&lt;&gt;"","Em "&amp;I152&amp;IF(J152&lt;&gt;""," ("&amp;J152&amp;")","")&amp;IF(K152&lt;&gt;"", ", "&amp;K152,"")&amp;IF(L152&lt;&gt;"", ", sob analgosedação com "&amp;L152,"")&amp;".",""),IF(M152&lt;&gt;"","Dieta "&amp;M152&amp;IF(N152&lt;&gt;"", ", com "&amp;LOWER(N152),"")&amp;IF(O152&lt;&gt;"", " — "&amp;O152,"")&amp;".",""),IF(P152="Febre","Apresentou episódio febril nas últimas 24h"&amp;IF(Q152&lt;&gt;""," ("&amp;Q152&amp;")","")&amp;".",IF(P152="Afebril","Encontra-se afebril.","")),IF(R152&lt;&gt;"",IF(S152="Sim","Apresenta disfunção renal aguda ","Função renal preservada ")&amp;"("&amp;R152&amp;").",""),IF(T152&lt;&gt;"","Em uso do esquema antimicrobiano com "&amp;T152&amp;".",""),IF(U152&lt;&gt;"","Em uso de profilaxia: "&amp;U152&amp;".",""))&amp;CHAR(10)&amp;CHAR(10)&amp;"2. Farmacoterapia"&amp;CHAR(10)&amp;IF(V152&lt;&gt;"","Corticoide/DART: "&amp;V152,"Sem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("&amp;Intervenções!$G$2:$G$500&amp;")",(Intervenções!$B$2:$B$500=A152)*(Intervenções!$A$2:$A$500=F152))),"Nenhuma intervenção registrada hoje.")&amp;CHAR(10)&amp;CHAR(10)&amp;"4. Plano Terapêutico"&amp;CHAR(10)&amp;IF(W152&lt;&gt;"",W152,"Não definido.")</f>
      </c>
    </row>
    <row r="153" spans="1:24" x14ac:dyDescent="0.25">
      <c r="A153" s="6"/>
      <c r="B153" s="9">
        <f>IFERROR(INDEX(Pacientes!$A:$A,MATCH($A153,Pacientes!$B:$B,0)),"")</f>
      </c>
      <c r="C153" s="9">
        <f>IFERROR(INDEX(Pacientes!$C:$C,MATCH($A153,Pacientes!$B:$B,0)),"")</f>
      </c>
      <c r="D153" s="9">
        <f>IFERROR(INDEX(Pacientes!$D:$D,MATCH($A153,Pacientes!$B:$B,0)),"")</f>
      </c>
      <c r="E153" s="9">
        <f>IFERROR(INDEX(Pacientes!$E:$E,MATCH($A153,Pacientes!$B:$B,0)),"")</f>
      </c>
      <c r="F153" s="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>
        <f>"1. Evolução Clínica"&amp;CHAR(10)&amp;TEXTJOIN(" ",TRUE,"Paciente "&amp;G153&amp;", "&amp;IF(H153="","sem DVA","em uso de "&amp;H153)&amp;".",IF(I153&lt;&gt;"","Em "&amp;I153&amp;IF(J153&lt;&gt;""," ("&amp;J153&amp;")","")&amp;IF(K153&lt;&gt;"", ", "&amp;K153,"")&amp;IF(L153&lt;&gt;"", ", sob analgosedação com "&amp;L153,"")&amp;".",""),IF(M153&lt;&gt;"","Dieta "&amp;M153&amp;IF(N153&lt;&gt;"", ", com "&amp;LOWER(N153),"")&amp;IF(O153&lt;&gt;"", " — "&amp;O153,"")&amp;".",""),IF(P153="Febre","Apresentou episódio febril nas últimas 24h"&amp;IF(Q153&lt;&gt;""," ("&amp;Q153&amp;")","")&amp;".",IF(P153="Afebril","Encontra-se afebril.","")),IF(R153&lt;&gt;"",IF(S153="Sim","Apresenta disfunção renal aguda ","Função renal preservada ")&amp;"("&amp;R153&amp;").",""),IF(T153&lt;&gt;"","Em uso do esquema antimicrobiano com "&amp;T153&amp;".",""),IF(U153&lt;&gt;"","Em uso de profilaxia: "&amp;U153&amp;".",""))&amp;CHAR(10)&amp;CHAR(10)&amp;"2. Farmacoterapia"&amp;CHAR(10)&amp;IF(V153&lt;&gt;"","Corticoide/DART: "&amp;V153,"Sem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("&amp;Intervenções!$G$2:$G$500&amp;")",(Intervenções!$B$2:$B$500=A153)*(Intervenções!$A$2:$A$500=F153))),"Nenhuma intervenção registrada hoje.")&amp;CHAR(10)&amp;CHAR(10)&amp;"4. Plano Terapêutico"&amp;CHAR(10)&amp;IF(W153&lt;&gt;"",W153,"Não definido.")</f>
      </c>
    </row>
    <row r="154" spans="1:24" x14ac:dyDescent="0.25">
      <c r="A154" s="6"/>
      <c r="B154" s="9">
        <f>IFERROR(INDEX(Pacientes!$A:$A,MATCH($A154,Pacientes!$B:$B,0)),"")</f>
      </c>
      <c r="C154" s="9">
        <f>IFERROR(INDEX(Pacientes!$C:$C,MATCH($A154,Pacientes!$B:$B,0)),"")</f>
      </c>
      <c r="D154" s="9">
        <f>IFERROR(INDEX(Pacientes!$D:$D,MATCH($A154,Pacientes!$B:$B,0)),"")</f>
      </c>
      <c r="E154" s="9">
        <f>IFERROR(INDEX(Pacientes!$E:$E,MATCH($A154,Pacientes!$B:$B,0)),"")</f>
      </c>
      <c r="F154" s="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>
        <f>"1. Evolução Clínica"&amp;CHAR(10)&amp;TEXTJOIN(" ",TRUE,"Paciente "&amp;G154&amp;", "&amp;IF(H154="","sem DVA","em uso de "&amp;H154)&amp;".",IF(I154&lt;&gt;"","Em "&amp;I154&amp;IF(J154&lt;&gt;""," ("&amp;J154&amp;")","")&amp;IF(K154&lt;&gt;"", ", "&amp;K154,"")&amp;IF(L154&lt;&gt;"", ", sob analgosedação com "&amp;L154,"")&amp;".",""),IF(M154&lt;&gt;"","Dieta "&amp;M154&amp;IF(N154&lt;&gt;"", ", com "&amp;LOWER(N154),"")&amp;IF(O154&lt;&gt;"", " — "&amp;O154,"")&amp;".",""),IF(P154="Febre","Apresentou episódio febril nas últimas 24h"&amp;IF(Q154&lt;&gt;""," ("&amp;Q154&amp;")","")&amp;".",IF(P154="Afebril","Encontra-se afebril.","")),IF(R154&lt;&gt;"",IF(S154="Sim","Apresenta disfunção renal aguda ","Função renal preservada ")&amp;"("&amp;R154&amp;").",""),IF(T154&lt;&gt;"","Em uso do esquema antimicrobiano com "&amp;T154&amp;".",""),IF(U154&lt;&gt;"","Em uso de profilaxia: "&amp;U154&amp;".",""))&amp;CHAR(10)&amp;CHAR(10)&amp;"2. Farmacoterapia"&amp;CHAR(10)&amp;IF(V154&lt;&gt;"","Corticoide/DART: "&amp;V154,"Sem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("&amp;Intervenções!$G$2:$G$500&amp;")",(Intervenções!$B$2:$B$500=A154)*(Intervenções!$A$2:$A$500=F154))),"Nenhuma intervenção registrada hoje.")&amp;CHAR(10)&amp;CHAR(10)&amp;"4. Plano Terapêutico"&amp;CHAR(10)&amp;IF(W154&lt;&gt;"",W154,"Não definido.")</f>
      </c>
    </row>
    <row r="155" spans="1:24" x14ac:dyDescent="0.25">
      <c r="A155" s="6"/>
      <c r="B155" s="9">
        <f>IFERROR(INDEX(Pacientes!$A:$A,MATCH($A155,Pacientes!$B:$B,0)),"")</f>
      </c>
      <c r="C155" s="9">
        <f>IFERROR(INDEX(Pacientes!$C:$C,MATCH($A155,Pacientes!$B:$B,0)),"")</f>
      </c>
      <c r="D155" s="9">
        <f>IFERROR(INDEX(Pacientes!$D:$D,MATCH($A155,Pacientes!$B:$B,0)),"")</f>
      </c>
      <c r="E155" s="9">
        <f>IFERROR(INDEX(Pacientes!$E:$E,MATCH($A155,Pacientes!$B:$B,0)),"")</f>
      </c>
      <c r="F155" s="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>
        <f>"1. Evolução Clínica"&amp;CHAR(10)&amp;TEXTJOIN(" ",TRUE,"Paciente "&amp;G155&amp;", "&amp;IF(H155="","sem DVA","em uso de "&amp;H155)&amp;".",IF(I155&lt;&gt;"","Em "&amp;I155&amp;IF(J155&lt;&gt;""," ("&amp;J155&amp;")","")&amp;IF(K155&lt;&gt;"", ", "&amp;K155,"")&amp;IF(L155&lt;&gt;"", ", sob analgosedação com "&amp;L155,"")&amp;".",""),IF(M155&lt;&gt;"","Dieta "&amp;M155&amp;IF(N155&lt;&gt;"", ", com "&amp;LOWER(N155),"")&amp;IF(O155&lt;&gt;"", " — "&amp;O155,"")&amp;".",""),IF(P155="Febre","Apresentou episódio febril nas últimas 24h"&amp;IF(Q155&lt;&gt;""," ("&amp;Q155&amp;")","")&amp;".",IF(P155="Afebril","Encontra-se afebril.","")),IF(R155&lt;&gt;"",IF(S155="Sim","Apresenta disfunção renal aguda ","Função renal preservada ")&amp;"("&amp;R155&amp;").",""),IF(T155&lt;&gt;"","Em uso do esquema antimicrobiano com "&amp;T155&amp;".",""),IF(U155&lt;&gt;"","Em uso de profilaxia: "&amp;U155&amp;".",""))&amp;CHAR(10)&amp;CHAR(10)&amp;"2. Farmacoterapia"&amp;CHAR(10)&amp;IF(V155&lt;&gt;"","Corticoide/DART: "&amp;V155,"Sem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("&amp;Intervenções!$G$2:$G$500&amp;")",(Intervenções!$B$2:$B$500=A155)*(Intervenções!$A$2:$A$500=F155))),"Nenhuma intervenção registrada hoje.")&amp;CHAR(10)&amp;CHAR(10)&amp;"4. Plano Terapêutico"&amp;CHAR(10)&amp;IF(W155&lt;&gt;"",W155,"Não definido.")</f>
      </c>
    </row>
    <row r="156" spans="1:24" x14ac:dyDescent="0.25">
      <c r="A156" s="6"/>
      <c r="B156" s="9">
        <f>IFERROR(INDEX(Pacientes!$A:$A,MATCH($A156,Pacientes!$B:$B,0)),"")</f>
      </c>
      <c r="C156" s="9">
        <f>IFERROR(INDEX(Pacientes!$C:$C,MATCH($A156,Pacientes!$B:$B,0)),"")</f>
      </c>
      <c r="D156" s="9">
        <f>IFERROR(INDEX(Pacientes!$D:$D,MATCH($A156,Pacientes!$B:$B,0)),"")</f>
      </c>
      <c r="E156" s="9">
        <f>IFERROR(INDEX(Pacientes!$E:$E,MATCH($A156,Pacientes!$B:$B,0)),"")</f>
      </c>
      <c r="F156" s="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>
        <f>"1. Evolução Clínica"&amp;CHAR(10)&amp;TEXTJOIN(" ",TRUE,"Paciente "&amp;G156&amp;", "&amp;IF(H156="","sem DVA","em uso de "&amp;H156)&amp;".",IF(I156&lt;&gt;"","Em "&amp;I156&amp;IF(J156&lt;&gt;""," ("&amp;J156&amp;")","")&amp;IF(K156&lt;&gt;"", ", "&amp;K156,"")&amp;IF(L156&lt;&gt;"", ", sob analgosedação com "&amp;L156,"")&amp;".",""),IF(M156&lt;&gt;"","Dieta "&amp;M156&amp;IF(N156&lt;&gt;"", ", com "&amp;LOWER(N156),"")&amp;IF(O156&lt;&gt;"", " — "&amp;O156,"")&amp;".",""),IF(P156="Febre","Apresentou episódio febril nas últimas 24h"&amp;IF(Q156&lt;&gt;""," ("&amp;Q156&amp;")","")&amp;".",IF(P156="Afebril","Encontra-se afebril.","")),IF(R156&lt;&gt;"",IF(S156="Sim","Apresenta disfunção renal aguda ","Função renal preservada ")&amp;"("&amp;R156&amp;").",""),IF(T156&lt;&gt;"","Em uso do esquema antimicrobiano com "&amp;T156&amp;".",""),IF(U156&lt;&gt;"","Em uso de profilaxia: "&amp;U156&amp;".",""))&amp;CHAR(10)&amp;CHAR(10)&amp;"2. Farmacoterapia"&amp;CHAR(10)&amp;IF(V156&lt;&gt;"","Corticoide/DART: "&amp;V156,"Sem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("&amp;Intervenções!$G$2:$G$500&amp;")",(Intervenções!$B$2:$B$500=A156)*(Intervenções!$A$2:$A$500=F156))),"Nenhuma intervenção registrada hoje.")&amp;CHAR(10)&amp;CHAR(10)&amp;"4. Plano Terapêutico"&amp;CHAR(10)&amp;IF(W156&lt;&gt;"",W156,"Não definido.")</f>
      </c>
    </row>
    <row r="157" spans="1:24" x14ac:dyDescent="0.25">
      <c r="A157" s="6"/>
      <c r="B157" s="9">
        <f>IFERROR(INDEX(Pacientes!$A:$A,MATCH($A157,Pacientes!$B:$B,0)),"")</f>
      </c>
      <c r="C157" s="9">
        <f>IFERROR(INDEX(Pacientes!$C:$C,MATCH($A157,Pacientes!$B:$B,0)),"")</f>
      </c>
      <c r="D157" s="9">
        <f>IFERROR(INDEX(Pacientes!$D:$D,MATCH($A157,Pacientes!$B:$B,0)),"")</f>
      </c>
      <c r="E157" s="9">
        <f>IFERROR(INDEX(Pacientes!$E:$E,MATCH($A157,Pacientes!$B:$B,0)),"")</f>
      </c>
      <c r="F157" s="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>
        <f>"1. Evolução Clínica"&amp;CHAR(10)&amp;TEXTJOIN(" ",TRUE,"Paciente "&amp;G157&amp;", "&amp;IF(H157="","sem DVA","em uso de "&amp;H157)&amp;".",IF(I157&lt;&gt;"","Em "&amp;I157&amp;IF(J157&lt;&gt;""," ("&amp;J157&amp;")","")&amp;IF(K157&lt;&gt;"", ", "&amp;K157,"")&amp;IF(L157&lt;&gt;"", ", sob analgosedação com "&amp;L157,"")&amp;".",""),IF(M157&lt;&gt;"","Dieta "&amp;M157&amp;IF(N157&lt;&gt;"", ", com "&amp;LOWER(N157),"")&amp;IF(O157&lt;&gt;"", " — "&amp;O157,"")&amp;".",""),IF(P157="Febre","Apresentou episódio febril nas últimas 24h"&amp;IF(Q157&lt;&gt;""," ("&amp;Q157&amp;")","")&amp;".",IF(P157="Afebril","Encontra-se afebril.","")),IF(R157&lt;&gt;"",IF(S157="Sim","Apresenta disfunção renal aguda ","Função renal preservada ")&amp;"("&amp;R157&amp;").",""),IF(T157&lt;&gt;"","Em uso do esquema antimicrobiano com "&amp;T157&amp;".",""),IF(U157&lt;&gt;"","Em uso de profilaxia: "&amp;U157&amp;".",""))&amp;CHAR(10)&amp;CHAR(10)&amp;"2. Farmacoterapia"&amp;CHAR(10)&amp;IF(V157&lt;&gt;"","Corticoide/DART: "&amp;V157,"Sem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("&amp;Intervenções!$G$2:$G$500&amp;")",(Intervenções!$B$2:$B$500=A157)*(Intervenções!$A$2:$A$500=F157))),"Nenhuma intervenção registrada hoje.")&amp;CHAR(10)&amp;CHAR(10)&amp;"4. Plano Terapêutico"&amp;CHAR(10)&amp;IF(W157&lt;&gt;"",W157,"Não definido.")</f>
      </c>
    </row>
    <row r="158" spans="1:24" x14ac:dyDescent="0.25">
      <c r="A158" s="6"/>
      <c r="B158" s="9">
        <f>IFERROR(INDEX(Pacientes!$A:$A,MATCH($A158,Pacientes!$B:$B,0)),"")</f>
      </c>
      <c r="C158" s="9">
        <f>IFERROR(INDEX(Pacientes!$C:$C,MATCH($A158,Pacientes!$B:$B,0)),"")</f>
      </c>
      <c r="D158" s="9">
        <f>IFERROR(INDEX(Pacientes!$D:$D,MATCH($A158,Pacientes!$B:$B,0)),"")</f>
      </c>
      <c r="E158" s="9">
        <f>IFERROR(INDEX(Pacientes!$E:$E,MATCH($A158,Pacientes!$B:$B,0)),"")</f>
      </c>
      <c r="F158" s="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>
        <f>"1. Evolução Clínica"&amp;CHAR(10)&amp;TEXTJOIN(" ",TRUE,"Paciente "&amp;G158&amp;", "&amp;IF(H158="","sem DVA","em uso de "&amp;H158)&amp;".",IF(I158&lt;&gt;"","Em "&amp;I158&amp;IF(J158&lt;&gt;""," ("&amp;J158&amp;")","")&amp;IF(K158&lt;&gt;"", ", "&amp;K158,"")&amp;IF(L158&lt;&gt;"", ", sob analgosedação com "&amp;L158,"")&amp;".",""),IF(M158&lt;&gt;"","Dieta "&amp;M158&amp;IF(N158&lt;&gt;"", ", com "&amp;LOWER(N158),"")&amp;IF(O158&lt;&gt;"", " — "&amp;O158,"")&amp;".",""),IF(P158="Febre","Apresentou episódio febril nas últimas 24h"&amp;IF(Q158&lt;&gt;""," ("&amp;Q158&amp;")","")&amp;".",IF(P158="Afebril","Encontra-se afebril.","")),IF(R158&lt;&gt;"",IF(S158="Sim","Apresenta disfunção renal aguda ","Função renal preservada ")&amp;"("&amp;R158&amp;").",""),IF(T158&lt;&gt;"","Em uso do esquema antimicrobiano com "&amp;T158&amp;".",""),IF(U158&lt;&gt;"","Em uso de profilaxia: "&amp;U158&amp;".",""))&amp;CHAR(10)&amp;CHAR(10)&amp;"2. Farmacoterapia"&amp;CHAR(10)&amp;IF(V158&lt;&gt;"","Corticoide/DART: "&amp;V158,"Sem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("&amp;Intervenções!$G$2:$G$500&amp;")",(Intervenções!$B$2:$B$500=A158)*(Intervenções!$A$2:$A$500=F158))),"Nenhuma intervenção registrada hoje.")&amp;CHAR(10)&amp;CHAR(10)&amp;"4. Plano Terapêutico"&amp;CHAR(10)&amp;IF(W158&lt;&gt;"",W158,"Não definido.")</f>
      </c>
    </row>
    <row r="159" spans="1:24" x14ac:dyDescent="0.25">
      <c r="A159" s="6"/>
      <c r="B159" s="9">
        <f>IFERROR(INDEX(Pacientes!$A:$A,MATCH($A159,Pacientes!$B:$B,0)),"")</f>
      </c>
      <c r="C159" s="9">
        <f>IFERROR(INDEX(Pacientes!$C:$C,MATCH($A159,Pacientes!$B:$B,0)),"")</f>
      </c>
      <c r="D159" s="9">
        <f>IFERROR(INDEX(Pacientes!$D:$D,MATCH($A159,Pacientes!$B:$B,0)),"")</f>
      </c>
      <c r="E159" s="9">
        <f>IFERROR(INDEX(Pacientes!$E:$E,MATCH($A159,Pacientes!$B:$B,0)),"")</f>
      </c>
      <c r="F159" s="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>
        <f>"1. Evolução Clínica"&amp;CHAR(10)&amp;TEXTJOIN(" ",TRUE,"Paciente "&amp;G159&amp;", "&amp;IF(H159="","sem DVA","em uso de "&amp;H159)&amp;".",IF(I159&lt;&gt;"","Em "&amp;I159&amp;IF(J159&lt;&gt;""," ("&amp;J159&amp;")","")&amp;IF(K159&lt;&gt;"", ", "&amp;K159,"")&amp;IF(L159&lt;&gt;"", ", sob analgosedação com "&amp;L159,"")&amp;".",""),IF(M159&lt;&gt;"","Dieta "&amp;M159&amp;IF(N159&lt;&gt;"", ", com "&amp;LOWER(N159),"")&amp;IF(O159&lt;&gt;"", " — "&amp;O159,"")&amp;".",""),IF(P159="Febre","Apresentou episódio febril nas últimas 24h"&amp;IF(Q159&lt;&gt;""," ("&amp;Q159&amp;")","")&amp;".",IF(P159="Afebril","Encontra-se afebril.","")),IF(R159&lt;&gt;"",IF(S159="Sim","Apresenta disfunção renal aguda ","Função renal preservada ")&amp;"("&amp;R159&amp;").",""),IF(T159&lt;&gt;"","Em uso do esquema antimicrobiano com "&amp;T159&amp;".",""),IF(U159&lt;&gt;"","Em uso de profilaxia: "&amp;U159&amp;".",""))&amp;CHAR(10)&amp;CHAR(10)&amp;"2. Farmacoterapia"&amp;CHAR(10)&amp;IF(V159&lt;&gt;"","Corticoide/DART: "&amp;V159,"Sem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("&amp;Intervenções!$G$2:$G$500&amp;")",(Intervenções!$B$2:$B$500=A159)*(Intervenções!$A$2:$A$500=F159))),"Nenhuma intervenção registrada hoje.")&amp;CHAR(10)&amp;CHAR(10)&amp;"4. Plano Terapêutico"&amp;CHAR(10)&amp;IF(W159&lt;&gt;"",W159,"Não definido.")</f>
      </c>
    </row>
    <row r="160" spans="1:24" x14ac:dyDescent="0.25">
      <c r="A160" s="6"/>
      <c r="B160" s="9">
        <f>IFERROR(INDEX(Pacientes!$A:$A,MATCH($A160,Pacientes!$B:$B,0)),"")</f>
      </c>
      <c r="C160" s="9">
        <f>IFERROR(INDEX(Pacientes!$C:$C,MATCH($A160,Pacientes!$B:$B,0)),"")</f>
      </c>
      <c r="D160" s="9">
        <f>IFERROR(INDEX(Pacientes!$D:$D,MATCH($A160,Pacientes!$B:$B,0)),"")</f>
      </c>
      <c r="E160" s="9">
        <f>IFERROR(INDEX(Pacientes!$E:$E,MATCH($A160,Pacientes!$B:$B,0)),"")</f>
      </c>
      <c r="F160" s="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>
        <f>"1. Evolução Clínica"&amp;CHAR(10)&amp;TEXTJOIN(" ",TRUE,"Paciente "&amp;G160&amp;", "&amp;IF(H160="","sem DVA","em uso de "&amp;H160)&amp;".",IF(I160&lt;&gt;"","Em "&amp;I160&amp;IF(J160&lt;&gt;""," ("&amp;J160&amp;")","")&amp;IF(K160&lt;&gt;"", ", "&amp;K160,"")&amp;IF(L160&lt;&gt;"", ", sob analgosedação com "&amp;L160,"")&amp;".",""),IF(M160&lt;&gt;"","Dieta "&amp;M160&amp;IF(N160&lt;&gt;"", ", com "&amp;LOWER(N160),"")&amp;IF(O160&lt;&gt;"", " — "&amp;O160,"")&amp;".",""),IF(P160="Febre","Apresentou episódio febril nas últimas 24h"&amp;IF(Q160&lt;&gt;""," ("&amp;Q160&amp;")","")&amp;".",IF(P160="Afebril","Encontra-se afebril.","")),IF(R160&lt;&gt;"",IF(S160="Sim","Apresenta disfunção renal aguda ","Função renal preservada ")&amp;"("&amp;R160&amp;").",""),IF(T160&lt;&gt;"","Em uso do esquema antimicrobiano com "&amp;T160&amp;".",""),IF(U160&lt;&gt;"","Em uso de profilaxia: "&amp;U160&amp;".",""))&amp;CHAR(10)&amp;CHAR(10)&amp;"2. Farmacoterapia"&amp;CHAR(10)&amp;IF(V160&lt;&gt;"","Corticoide/DART: "&amp;V160,"Sem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("&amp;Intervenções!$G$2:$G$500&amp;")",(Intervenções!$B$2:$B$500=A160)*(Intervenções!$A$2:$A$500=F160))),"Nenhuma intervenção registrada hoje.")&amp;CHAR(10)&amp;CHAR(10)&amp;"4. Plano Terapêutico"&amp;CHAR(10)&amp;IF(W160&lt;&gt;"",W160,"Não definido.")</f>
      </c>
    </row>
    <row r="161" spans="1:24" x14ac:dyDescent="0.25">
      <c r="A161" s="6"/>
      <c r="B161" s="9">
        <f>IFERROR(INDEX(Pacientes!$A:$A,MATCH($A161,Pacientes!$B:$B,0)),"")</f>
      </c>
      <c r="C161" s="9">
        <f>IFERROR(INDEX(Pacientes!$C:$C,MATCH($A161,Pacientes!$B:$B,0)),"")</f>
      </c>
      <c r="D161" s="9">
        <f>IFERROR(INDEX(Pacientes!$D:$D,MATCH($A161,Pacientes!$B:$B,0)),"")</f>
      </c>
      <c r="E161" s="9">
        <f>IFERROR(INDEX(Pacientes!$E:$E,MATCH($A161,Pacientes!$B:$B,0)),"")</f>
      </c>
      <c r="F161" s="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>
        <f>"1. Evolução Clínica"&amp;CHAR(10)&amp;TEXTJOIN(" ",TRUE,"Paciente "&amp;G161&amp;", "&amp;IF(H161="","sem DVA","em uso de "&amp;H161)&amp;".",IF(I161&lt;&gt;"","Em "&amp;I161&amp;IF(J161&lt;&gt;""," ("&amp;J161&amp;")","")&amp;IF(K161&lt;&gt;"", ", "&amp;K161,"")&amp;IF(L161&lt;&gt;"", ", sob analgosedação com "&amp;L161,"")&amp;".",""),IF(M161&lt;&gt;"","Dieta "&amp;M161&amp;IF(N161&lt;&gt;"", ", com "&amp;LOWER(N161),"")&amp;IF(O161&lt;&gt;"", " — "&amp;O161,"")&amp;".",""),IF(P161="Febre","Apresentou episódio febril nas últimas 24h"&amp;IF(Q161&lt;&gt;""," ("&amp;Q161&amp;")","")&amp;".",IF(P161="Afebril","Encontra-se afebril.","")),IF(R161&lt;&gt;"",IF(S161="Sim","Apresenta disfunção renal aguda ","Função renal preservada ")&amp;"("&amp;R161&amp;").",""),IF(T161&lt;&gt;"","Em uso do esquema antimicrobiano com "&amp;T161&amp;".",""),IF(U161&lt;&gt;"","Em uso de profilaxia: "&amp;U161&amp;".",""))&amp;CHAR(10)&amp;CHAR(10)&amp;"2. Farmacoterapia"&amp;CHAR(10)&amp;IF(V161&lt;&gt;"","Corticoide/DART: "&amp;V161,"Sem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("&amp;Intervenções!$G$2:$G$500&amp;")",(Intervenções!$B$2:$B$500=A161)*(Intervenções!$A$2:$A$500=F161))),"Nenhuma intervenção registrada hoje.")&amp;CHAR(10)&amp;CHAR(10)&amp;"4. Plano Terapêutico"&amp;CHAR(10)&amp;IF(W161&lt;&gt;"",W161,"Não definido.")</f>
      </c>
    </row>
    <row r="162" spans="1:24" x14ac:dyDescent="0.25">
      <c r="A162" s="6"/>
      <c r="B162" s="9">
        <f>IFERROR(INDEX(Pacientes!$A:$A,MATCH($A162,Pacientes!$B:$B,0)),"")</f>
      </c>
      <c r="C162" s="9">
        <f>IFERROR(INDEX(Pacientes!$C:$C,MATCH($A162,Pacientes!$B:$B,0)),"")</f>
      </c>
      <c r="D162" s="9">
        <f>IFERROR(INDEX(Pacientes!$D:$D,MATCH($A162,Pacientes!$B:$B,0)),"")</f>
      </c>
      <c r="E162" s="9">
        <f>IFERROR(INDEX(Pacientes!$E:$E,MATCH($A162,Pacientes!$B:$B,0)),"")</f>
      </c>
      <c r="F162" s="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>
        <f>"1. Evolução Clínica"&amp;CHAR(10)&amp;TEXTJOIN(" ",TRUE,"Paciente "&amp;G162&amp;", "&amp;IF(H162="","sem DVA","em uso de "&amp;H162)&amp;".",IF(I162&lt;&gt;"","Em "&amp;I162&amp;IF(J162&lt;&gt;""," ("&amp;J162&amp;")","")&amp;IF(K162&lt;&gt;"", ", "&amp;K162,"")&amp;IF(L162&lt;&gt;"", ", sob analgosedação com "&amp;L162,"")&amp;".",""),IF(M162&lt;&gt;"","Dieta "&amp;M162&amp;IF(N162&lt;&gt;"", ", com "&amp;LOWER(N162),"")&amp;IF(O162&lt;&gt;"", " — "&amp;O162,"")&amp;".",""),IF(P162="Febre","Apresentou episódio febril nas últimas 24h"&amp;IF(Q162&lt;&gt;""," ("&amp;Q162&amp;")","")&amp;".",IF(P162="Afebril","Encontra-se afebril.","")),IF(R162&lt;&gt;"",IF(S162="Sim","Apresenta disfunção renal aguda ","Função renal preservada ")&amp;"("&amp;R162&amp;").",""),IF(T162&lt;&gt;"","Em uso do esquema antimicrobiano com "&amp;T162&amp;".",""),IF(U162&lt;&gt;"","Em uso de profilaxia: "&amp;U162&amp;".",""))&amp;CHAR(10)&amp;CHAR(10)&amp;"2. Farmacoterapia"&amp;CHAR(10)&amp;IF(V162&lt;&gt;"","Corticoide/DART: "&amp;V162,"Sem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("&amp;Intervenções!$G$2:$G$500&amp;")",(Intervenções!$B$2:$B$500=A162)*(Intervenções!$A$2:$A$500=F162))),"Nenhuma intervenção registrada hoje.")&amp;CHAR(10)&amp;CHAR(10)&amp;"4. Plano Terapêutico"&amp;CHAR(10)&amp;IF(W162&lt;&gt;"",W162,"Não definido.")</f>
      </c>
    </row>
    <row r="163" spans="1:24" x14ac:dyDescent="0.25">
      <c r="A163" s="6"/>
      <c r="B163" s="9">
        <f>IFERROR(INDEX(Pacientes!$A:$A,MATCH($A163,Pacientes!$B:$B,0)),"")</f>
      </c>
      <c r="C163" s="9">
        <f>IFERROR(INDEX(Pacientes!$C:$C,MATCH($A163,Pacientes!$B:$B,0)),"")</f>
      </c>
      <c r="D163" s="9">
        <f>IFERROR(INDEX(Pacientes!$D:$D,MATCH($A163,Pacientes!$B:$B,0)),"")</f>
      </c>
      <c r="E163" s="9">
        <f>IFERROR(INDEX(Pacientes!$E:$E,MATCH($A163,Pacientes!$B:$B,0)),"")</f>
      </c>
      <c r="F163" s="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>
        <f>"1. Evolução Clínica"&amp;CHAR(10)&amp;TEXTJOIN(" ",TRUE,"Paciente "&amp;G163&amp;", "&amp;IF(H163="","sem DVA","em uso de "&amp;H163)&amp;".",IF(I163&lt;&gt;"","Em "&amp;I163&amp;IF(J163&lt;&gt;""," ("&amp;J163&amp;")","")&amp;IF(K163&lt;&gt;"", ", "&amp;K163,"")&amp;IF(L163&lt;&gt;"", ", sob analgosedação com "&amp;L163,"")&amp;".",""),IF(M163&lt;&gt;"","Dieta "&amp;M163&amp;IF(N163&lt;&gt;"", ", com "&amp;LOWER(N163),"")&amp;IF(O163&lt;&gt;"", " — "&amp;O163,"")&amp;".",""),IF(P163="Febre","Apresentou episódio febril nas últimas 24h"&amp;IF(Q163&lt;&gt;""," ("&amp;Q163&amp;")","")&amp;".",IF(P163="Afebril","Encontra-se afebril.","")),IF(R163&lt;&gt;"",IF(S163="Sim","Apresenta disfunção renal aguda ","Função renal preservada ")&amp;"("&amp;R163&amp;").",""),IF(T163&lt;&gt;"","Em uso do esquema antimicrobiano com "&amp;T163&amp;".",""),IF(U163&lt;&gt;"","Em uso de profilaxia: "&amp;U163&amp;".",""))&amp;CHAR(10)&amp;CHAR(10)&amp;"2. Farmacoterapia"&amp;CHAR(10)&amp;IF(V163&lt;&gt;"","Corticoide/DART: "&amp;V163,"Sem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("&amp;Intervenções!$G$2:$G$500&amp;")",(Intervenções!$B$2:$B$500=A163)*(Intervenções!$A$2:$A$500=F163))),"Nenhuma intervenção registrada hoje.")&amp;CHAR(10)&amp;CHAR(10)&amp;"4. Plano Terapêutico"&amp;CHAR(10)&amp;IF(W163&lt;&gt;"",W163,"Não definido.")</f>
      </c>
    </row>
    <row r="164" spans="1:24" x14ac:dyDescent="0.25">
      <c r="A164" s="6"/>
      <c r="B164" s="9">
        <f>IFERROR(INDEX(Pacientes!$A:$A,MATCH($A164,Pacientes!$B:$B,0)),"")</f>
      </c>
      <c r="C164" s="9">
        <f>IFERROR(INDEX(Pacientes!$C:$C,MATCH($A164,Pacientes!$B:$B,0)),"")</f>
      </c>
      <c r="D164" s="9">
        <f>IFERROR(INDEX(Pacientes!$D:$D,MATCH($A164,Pacientes!$B:$B,0)),"")</f>
      </c>
      <c r="E164" s="9">
        <f>IFERROR(INDEX(Pacientes!$E:$E,MATCH($A164,Pacientes!$B:$B,0)),"")</f>
      </c>
      <c r="F164" s="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>
        <f>"1. Evolução Clínica"&amp;CHAR(10)&amp;TEXTJOIN(" ",TRUE,"Paciente "&amp;G164&amp;", "&amp;IF(H164="","sem DVA","em uso de "&amp;H164)&amp;".",IF(I164&lt;&gt;"","Em "&amp;I164&amp;IF(J164&lt;&gt;""," ("&amp;J164&amp;")","")&amp;IF(K164&lt;&gt;"", ", "&amp;K164,"")&amp;IF(L164&lt;&gt;"", ", sob analgosedação com "&amp;L164,"")&amp;".",""),IF(M164&lt;&gt;"","Dieta "&amp;M164&amp;IF(N164&lt;&gt;"", ", com "&amp;LOWER(N164),"")&amp;IF(O164&lt;&gt;"", " — "&amp;O164,"")&amp;".",""),IF(P164="Febre","Apresentou episódio febril nas últimas 24h"&amp;IF(Q164&lt;&gt;""," ("&amp;Q164&amp;")","")&amp;".",IF(P164="Afebril","Encontra-se afebril.","")),IF(R164&lt;&gt;"",IF(S164="Sim","Apresenta disfunção renal aguda ","Função renal preservada ")&amp;"("&amp;R164&amp;").",""),IF(T164&lt;&gt;"","Em uso do esquema antimicrobiano com "&amp;T164&amp;".",""),IF(U164&lt;&gt;"","Em uso de profilaxia: "&amp;U164&amp;".",""))&amp;CHAR(10)&amp;CHAR(10)&amp;"2. Farmacoterapia"&amp;CHAR(10)&amp;IF(V164&lt;&gt;"","Corticoide/DART: "&amp;V164,"Sem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("&amp;Intervenções!$G$2:$G$500&amp;")",(Intervenções!$B$2:$B$500=A164)*(Intervenções!$A$2:$A$500=F164))),"Nenhuma intervenção registrada hoje.")&amp;CHAR(10)&amp;CHAR(10)&amp;"4. Plano Terapêutico"&amp;CHAR(10)&amp;IF(W164&lt;&gt;"",W164,"Não definido.")</f>
      </c>
    </row>
    <row r="165" spans="1:24" x14ac:dyDescent="0.25">
      <c r="A165" s="6"/>
      <c r="B165" s="9">
        <f>IFERROR(INDEX(Pacientes!$A:$A,MATCH($A165,Pacientes!$B:$B,0)),"")</f>
      </c>
      <c r="C165" s="9">
        <f>IFERROR(INDEX(Pacientes!$C:$C,MATCH($A165,Pacientes!$B:$B,0)),"")</f>
      </c>
      <c r="D165" s="9">
        <f>IFERROR(INDEX(Pacientes!$D:$D,MATCH($A165,Pacientes!$B:$B,0)),"")</f>
      </c>
      <c r="E165" s="9">
        <f>IFERROR(INDEX(Pacientes!$E:$E,MATCH($A165,Pacientes!$B:$B,0)),"")</f>
      </c>
      <c r="F165" s="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>
        <f>"1. Evolução Clínica"&amp;CHAR(10)&amp;TEXTJOIN(" ",TRUE,"Paciente "&amp;G165&amp;", "&amp;IF(H165="","sem DVA","em uso de "&amp;H165)&amp;".",IF(I165&lt;&gt;"","Em "&amp;I165&amp;IF(J165&lt;&gt;""," ("&amp;J165&amp;")","")&amp;IF(K165&lt;&gt;"", ", "&amp;K165,"")&amp;IF(L165&lt;&gt;"", ", sob analgosedação com "&amp;L165,"")&amp;".",""),IF(M165&lt;&gt;"","Dieta "&amp;M165&amp;IF(N165&lt;&gt;"", ", com "&amp;LOWER(N165),"")&amp;IF(O165&lt;&gt;"", " — "&amp;O165,"")&amp;".",""),IF(P165="Febre","Apresentou episódio febril nas últimas 24h"&amp;IF(Q165&lt;&gt;""," ("&amp;Q165&amp;")","")&amp;".",IF(P165="Afebril","Encontra-se afebril.","")),IF(R165&lt;&gt;"",IF(S165="Sim","Apresenta disfunção renal aguda ","Função renal preservada ")&amp;"("&amp;R165&amp;").",""),IF(T165&lt;&gt;"","Em uso do esquema antimicrobiano com "&amp;T165&amp;".",""),IF(U165&lt;&gt;"","Em uso de profilaxia: "&amp;U165&amp;".",""))&amp;CHAR(10)&amp;CHAR(10)&amp;"2. Farmacoterapia"&amp;CHAR(10)&amp;IF(V165&lt;&gt;"","Corticoide/DART: "&amp;V165,"Sem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("&amp;Intervenções!$G$2:$G$500&amp;")",(Intervenções!$B$2:$B$500=A165)*(Intervenções!$A$2:$A$500=F165))),"Nenhuma intervenção registrada hoje.")&amp;CHAR(10)&amp;CHAR(10)&amp;"4. Plano Terapêutico"&amp;CHAR(10)&amp;IF(W165&lt;&gt;"",W165,"Não definido.")</f>
      </c>
    </row>
    <row r="166" spans="1:24" x14ac:dyDescent="0.25">
      <c r="A166" s="6"/>
      <c r="B166" s="9">
        <f>IFERROR(INDEX(Pacientes!$A:$A,MATCH($A166,Pacientes!$B:$B,0)),"")</f>
      </c>
      <c r="C166" s="9">
        <f>IFERROR(INDEX(Pacientes!$C:$C,MATCH($A166,Pacientes!$B:$B,0)),"")</f>
      </c>
      <c r="D166" s="9">
        <f>IFERROR(INDEX(Pacientes!$D:$D,MATCH($A166,Pacientes!$B:$B,0)),"")</f>
      </c>
      <c r="E166" s="9">
        <f>IFERROR(INDEX(Pacientes!$E:$E,MATCH($A166,Pacientes!$B:$B,0)),"")</f>
      </c>
      <c r="F166" s="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>
        <f>"1. Evolução Clínica"&amp;CHAR(10)&amp;TEXTJOIN(" ",TRUE,"Paciente "&amp;G166&amp;", "&amp;IF(H166="","sem DVA","em uso de "&amp;H166)&amp;".",IF(I166&lt;&gt;"","Em "&amp;I166&amp;IF(J166&lt;&gt;""," ("&amp;J166&amp;")","")&amp;IF(K166&lt;&gt;"", ", "&amp;K166,"")&amp;IF(L166&lt;&gt;"", ", sob analgosedação com "&amp;L166,"")&amp;".",""),IF(M166&lt;&gt;"","Dieta "&amp;M166&amp;IF(N166&lt;&gt;"", ", com "&amp;LOWER(N166),"")&amp;IF(O166&lt;&gt;"", " — "&amp;O166,"")&amp;".",""),IF(P166="Febre","Apresentou episódio febril nas últimas 24h"&amp;IF(Q166&lt;&gt;""," ("&amp;Q166&amp;")","")&amp;".",IF(P166="Afebril","Encontra-se afebril.","")),IF(R166&lt;&gt;"",IF(S166="Sim","Apresenta disfunção renal aguda ","Função renal preservada ")&amp;"("&amp;R166&amp;").",""),IF(T166&lt;&gt;"","Em uso do esquema antimicrobiano com "&amp;T166&amp;".",""),IF(U166&lt;&gt;"","Em uso de profilaxia: "&amp;U166&amp;".",""))&amp;CHAR(10)&amp;CHAR(10)&amp;"2. Farmacoterapia"&amp;CHAR(10)&amp;IF(V166&lt;&gt;"","Corticoide/DART: "&amp;V166,"Sem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("&amp;Intervenções!$G$2:$G$500&amp;")",(Intervenções!$B$2:$B$500=A166)*(Intervenções!$A$2:$A$500=F166))),"Nenhuma intervenção registrada hoje.")&amp;CHAR(10)&amp;CHAR(10)&amp;"4. Plano Terapêutico"&amp;CHAR(10)&amp;IF(W166&lt;&gt;"",W166,"Não definido.")</f>
      </c>
    </row>
    <row r="167" spans="1:24" x14ac:dyDescent="0.25">
      <c r="A167" s="6"/>
      <c r="B167" s="9">
        <f>IFERROR(INDEX(Pacientes!$A:$A,MATCH($A167,Pacientes!$B:$B,0)),"")</f>
      </c>
      <c r="C167" s="9">
        <f>IFERROR(INDEX(Pacientes!$C:$C,MATCH($A167,Pacientes!$B:$B,0)),"")</f>
      </c>
      <c r="D167" s="9">
        <f>IFERROR(INDEX(Pacientes!$D:$D,MATCH($A167,Pacientes!$B:$B,0)),"")</f>
      </c>
      <c r="E167" s="9">
        <f>IFERROR(INDEX(Pacientes!$E:$E,MATCH($A167,Pacientes!$B:$B,0)),"")</f>
      </c>
      <c r="F167" s="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>
        <f>"1. Evolução Clínica"&amp;CHAR(10)&amp;TEXTJOIN(" ",TRUE,"Paciente "&amp;G167&amp;", "&amp;IF(H167="","sem DVA","em uso de "&amp;H167)&amp;".",IF(I167&lt;&gt;"","Em "&amp;I167&amp;IF(J167&lt;&gt;""," ("&amp;J167&amp;")","")&amp;IF(K167&lt;&gt;"", ", "&amp;K167,"")&amp;IF(L167&lt;&gt;"", ", sob analgosedação com "&amp;L167,"")&amp;".",""),IF(M167&lt;&gt;"","Dieta "&amp;M167&amp;IF(N167&lt;&gt;"", ", com "&amp;LOWER(N167),"")&amp;IF(O167&lt;&gt;"", " — "&amp;O167,"")&amp;".",""),IF(P167="Febre","Apresentou episódio febril nas últimas 24h"&amp;IF(Q167&lt;&gt;""," ("&amp;Q167&amp;")","")&amp;".",IF(P167="Afebril","Encontra-se afebril.","")),IF(R167&lt;&gt;"",IF(S167="Sim","Apresenta disfunção renal aguda ","Função renal preservada ")&amp;"("&amp;R167&amp;").",""),IF(T167&lt;&gt;"","Em uso do esquema antimicrobiano com "&amp;T167&amp;".",""),IF(U167&lt;&gt;"","Em uso de profilaxia: "&amp;U167&amp;".",""))&amp;CHAR(10)&amp;CHAR(10)&amp;"2. Farmacoterapia"&amp;CHAR(10)&amp;IF(V167&lt;&gt;"","Corticoide/DART: "&amp;V167,"Sem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("&amp;Intervenções!$G$2:$G$500&amp;")",(Intervenções!$B$2:$B$500=A167)*(Intervenções!$A$2:$A$500=F167))),"Nenhuma intervenção registrada hoje.")&amp;CHAR(10)&amp;CHAR(10)&amp;"4. Plano Terapêutico"&amp;CHAR(10)&amp;IF(W167&lt;&gt;"",W167,"Não definido.")</f>
      </c>
    </row>
    <row r="168" spans="1:24" x14ac:dyDescent="0.25">
      <c r="A168" s="6"/>
      <c r="B168" s="9">
        <f>IFERROR(INDEX(Pacientes!$A:$A,MATCH($A168,Pacientes!$B:$B,0)),"")</f>
      </c>
      <c r="C168" s="9">
        <f>IFERROR(INDEX(Pacientes!$C:$C,MATCH($A168,Pacientes!$B:$B,0)),"")</f>
      </c>
      <c r="D168" s="9">
        <f>IFERROR(INDEX(Pacientes!$D:$D,MATCH($A168,Pacientes!$B:$B,0)),"")</f>
      </c>
      <c r="E168" s="9">
        <f>IFERROR(INDEX(Pacientes!$E:$E,MATCH($A168,Pacientes!$B:$B,0)),"")</f>
      </c>
      <c r="F168" s="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>
        <f>"1. Evolução Clínica"&amp;CHAR(10)&amp;TEXTJOIN(" ",TRUE,"Paciente "&amp;G168&amp;", "&amp;IF(H168="","sem DVA","em uso de "&amp;H168)&amp;".",IF(I168&lt;&gt;"","Em "&amp;I168&amp;IF(J168&lt;&gt;""," ("&amp;J168&amp;")","")&amp;IF(K168&lt;&gt;"", ", "&amp;K168,"")&amp;IF(L168&lt;&gt;"", ", sob analgosedação com "&amp;L168,"")&amp;".",""),IF(M168&lt;&gt;"","Dieta "&amp;M168&amp;IF(N168&lt;&gt;"", ", com "&amp;LOWER(N168),"")&amp;IF(O168&lt;&gt;"", " — "&amp;O168,"")&amp;".",""),IF(P168="Febre","Apresentou episódio febril nas últimas 24h"&amp;IF(Q168&lt;&gt;""," ("&amp;Q168&amp;")","")&amp;".",IF(P168="Afebril","Encontra-se afebril.","")),IF(R168&lt;&gt;"",IF(S168="Sim","Apresenta disfunção renal aguda ","Função renal preservada ")&amp;"("&amp;R168&amp;").",""),IF(T168&lt;&gt;"","Em uso do esquema antimicrobiano com "&amp;T168&amp;".",""),IF(U168&lt;&gt;"","Em uso de profilaxia: "&amp;U168&amp;".",""))&amp;CHAR(10)&amp;CHAR(10)&amp;"2. Farmacoterapia"&amp;CHAR(10)&amp;IF(V168&lt;&gt;"","Corticoide/DART: "&amp;V168,"Sem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("&amp;Intervenções!$G$2:$G$500&amp;")",(Intervenções!$B$2:$B$500=A168)*(Intervenções!$A$2:$A$500=F168))),"Nenhuma intervenção registrada hoje.")&amp;CHAR(10)&amp;CHAR(10)&amp;"4. Plano Terapêutico"&amp;CHAR(10)&amp;IF(W168&lt;&gt;"",W168,"Não definido.")</f>
      </c>
    </row>
    <row r="169" spans="1:24" x14ac:dyDescent="0.25">
      <c r="A169" s="6"/>
      <c r="B169" s="9">
        <f>IFERROR(INDEX(Pacientes!$A:$A,MATCH($A169,Pacientes!$B:$B,0)),"")</f>
      </c>
      <c r="C169" s="9">
        <f>IFERROR(INDEX(Pacientes!$C:$C,MATCH($A169,Pacientes!$B:$B,0)),"")</f>
      </c>
      <c r="D169" s="9">
        <f>IFERROR(INDEX(Pacientes!$D:$D,MATCH($A169,Pacientes!$B:$B,0)),"")</f>
      </c>
      <c r="E169" s="9">
        <f>IFERROR(INDEX(Pacientes!$E:$E,MATCH($A169,Pacientes!$B:$B,0)),"")</f>
      </c>
      <c r="F169" s="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>
        <f>"1. Evolução Clínica"&amp;CHAR(10)&amp;TEXTJOIN(" ",TRUE,"Paciente "&amp;G169&amp;", "&amp;IF(H169="","sem DVA","em uso de "&amp;H169)&amp;".",IF(I169&lt;&gt;"","Em "&amp;I169&amp;IF(J169&lt;&gt;""," ("&amp;J169&amp;")","")&amp;IF(K169&lt;&gt;"", ", "&amp;K169,"")&amp;IF(L169&lt;&gt;"", ", sob analgosedação com "&amp;L169,"")&amp;".",""),IF(M169&lt;&gt;"","Dieta "&amp;M169&amp;IF(N169&lt;&gt;"", ", com "&amp;LOWER(N169),"")&amp;IF(O169&lt;&gt;"", " — "&amp;O169,"")&amp;".",""),IF(P169="Febre","Apresentou episódio febril nas últimas 24h"&amp;IF(Q169&lt;&gt;""," ("&amp;Q169&amp;")","")&amp;".",IF(P169="Afebril","Encontra-se afebril.","")),IF(R169&lt;&gt;"",IF(S169="Sim","Apresenta disfunção renal aguda ","Função renal preservada ")&amp;"("&amp;R169&amp;").",""),IF(T169&lt;&gt;"","Em uso do esquema antimicrobiano com "&amp;T169&amp;".",""),IF(U169&lt;&gt;"","Em uso de profilaxia: "&amp;U169&amp;".",""))&amp;CHAR(10)&amp;CHAR(10)&amp;"2. Farmacoterapia"&amp;CHAR(10)&amp;IF(V169&lt;&gt;"","Corticoide/DART: "&amp;V169,"Sem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("&amp;Intervenções!$G$2:$G$500&amp;")",(Intervenções!$B$2:$B$500=A169)*(Intervenções!$A$2:$A$500=F169))),"Nenhuma intervenção registrada hoje.")&amp;CHAR(10)&amp;CHAR(10)&amp;"4. Plano Terapêutico"&amp;CHAR(10)&amp;IF(W169&lt;&gt;"",W169,"Não definido.")</f>
      </c>
    </row>
    <row r="170" spans="1:24" x14ac:dyDescent="0.25">
      <c r="A170" s="6"/>
      <c r="B170" s="9">
        <f>IFERROR(INDEX(Pacientes!$A:$A,MATCH($A170,Pacientes!$B:$B,0)),"")</f>
      </c>
      <c r="C170" s="9">
        <f>IFERROR(INDEX(Pacientes!$C:$C,MATCH($A170,Pacientes!$B:$B,0)),"")</f>
      </c>
      <c r="D170" s="9">
        <f>IFERROR(INDEX(Pacientes!$D:$D,MATCH($A170,Pacientes!$B:$B,0)),"")</f>
      </c>
      <c r="E170" s="9">
        <f>IFERROR(INDEX(Pacientes!$E:$E,MATCH($A170,Pacientes!$B:$B,0)),"")</f>
      </c>
      <c r="F170" s="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>
        <f>"1. Evolução Clínica"&amp;CHAR(10)&amp;TEXTJOIN(" ",TRUE,"Paciente "&amp;G170&amp;", "&amp;IF(H170="","sem DVA","em uso de "&amp;H170)&amp;".",IF(I170&lt;&gt;"","Em "&amp;I170&amp;IF(J170&lt;&gt;""," ("&amp;J170&amp;")","")&amp;IF(K170&lt;&gt;"", ", "&amp;K170,"")&amp;IF(L170&lt;&gt;"", ", sob analgosedação com "&amp;L170,"")&amp;".",""),IF(M170&lt;&gt;"","Dieta "&amp;M170&amp;IF(N170&lt;&gt;"", ", com "&amp;LOWER(N170),"")&amp;IF(O170&lt;&gt;"", " — "&amp;O170,"")&amp;".",""),IF(P170="Febre","Apresentou episódio febril nas últimas 24h"&amp;IF(Q170&lt;&gt;""," ("&amp;Q170&amp;")","")&amp;".",IF(P170="Afebril","Encontra-se afebril.","")),IF(R170&lt;&gt;"",IF(S170="Sim","Apresenta disfunção renal aguda ","Função renal preservada ")&amp;"("&amp;R170&amp;").",""),IF(T170&lt;&gt;"","Em uso do esquema antimicrobiano com "&amp;T170&amp;".",""),IF(U170&lt;&gt;"","Em uso de profilaxia: "&amp;U170&amp;".",""))&amp;CHAR(10)&amp;CHAR(10)&amp;"2. Farmacoterapia"&amp;CHAR(10)&amp;IF(V170&lt;&gt;"","Corticoide/DART: "&amp;V170,"Sem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("&amp;Intervenções!$G$2:$G$500&amp;")",(Intervenções!$B$2:$B$500=A170)*(Intervenções!$A$2:$A$500=F170))),"Nenhuma intervenção registrada hoje.")&amp;CHAR(10)&amp;CHAR(10)&amp;"4. Plano Terapêutico"&amp;CHAR(10)&amp;IF(W170&lt;&gt;"",W170,"Não definido.")</f>
      </c>
    </row>
    <row r="171" spans="1:24" x14ac:dyDescent="0.25">
      <c r="A171" s="6"/>
      <c r="B171" s="9">
        <f>IFERROR(INDEX(Pacientes!$A:$A,MATCH($A171,Pacientes!$B:$B,0)),"")</f>
      </c>
      <c r="C171" s="9">
        <f>IFERROR(INDEX(Pacientes!$C:$C,MATCH($A171,Pacientes!$B:$B,0)),"")</f>
      </c>
      <c r="D171" s="9">
        <f>IFERROR(INDEX(Pacientes!$D:$D,MATCH($A171,Pacientes!$B:$B,0)),"")</f>
      </c>
      <c r="E171" s="9">
        <f>IFERROR(INDEX(Pacientes!$E:$E,MATCH($A171,Pacientes!$B:$B,0)),"")</f>
      </c>
      <c r="F171" s="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>
        <f>"1. Evolução Clínica"&amp;CHAR(10)&amp;TEXTJOIN(" ",TRUE,"Paciente "&amp;G171&amp;", "&amp;IF(H171="","sem DVA","em uso de "&amp;H171)&amp;".",IF(I171&lt;&gt;"","Em "&amp;I171&amp;IF(J171&lt;&gt;""," ("&amp;J171&amp;")","")&amp;IF(K171&lt;&gt;"", ", "&amp;K171,"")&amp;IF(L171&lt;&gt;"", ", sob analgosedação com "&amp;L171,"")&amp;".",""),IF(M171&lt;&gt;"","Dieta "&amp;M171&amp;IF(N171&lt;&gt;"", ", com "&amp;LOWER(N171),"")&amp;IF(O171&lt;&gt;"", " — "&amp;O171,"")&amp;".",""),IF(P171="Febre","Apresentou episódio febril nas últimas 24h"&amp;IF(Q171&lt;&gt;""," ("&amp;Q171&amp;")","")&amp;".",IF(P171="Afebril","Encontra-se afebril.","")),IF(R171&lt;&gt;"",IF(S171="Sim","Apresenta disfunção renal aguda ","Função renal preservada ")&amp;"("&amp;R171&amp;").",""),IF(T171&lt;&gt;"","Em uso do esquema antimicrobiano com "&amp;T171&amp;".",""),IF(U171&lt;&gt;"","Em uso de profilaxia: "&amp;U171&amp;".",""))&amp;CHAR(10)&amp;CHAR(10)&amp;"2. Farmacoterapia"&amp;CHAR(10)&amp;IF(V171&lt;&gt;"","Corticoide/DART: "&amp;V171,"Sem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("&amp;Intervenções!$G$2:$G$500&amp;")",(Intervenções!$B$2:$B$500=A171)*(Intervenções!$A$2:$A$500=F171))),"Nenhuma intervenção registrada hoje.")&amp;CHAR(10)&amp;CHAR(10)&amp;"4. Plano Terapêutico"&amp;CHAR(10)&amp;IF(W171&lt;&gt;"",W171,"Não definido.")</f>
      </c>
    </row>
    <row r="172" spans="1:24" x14ac:dyDescent="0.25">
      <c r="A172" s="6"/>
      <c r="B172" s="9">
        <f>IFERROR(INDEX(Pacientes!$A:$A,MATCH($A172,Pacientes!$B:$B,0)),"")</f>
      </c>
      <c r="C172" s="9">
        <f>IFERROR(INDEX(Pacientes!$C:$C,MATCH($A172,Pacientes!$B:$B,0)),"")</f>
      </c>
      <c r="D172" s="9">
        <f>IFERROR(INDEX(Pacientes!$D:$D,MATCH($A172,Pacientes!$B:$B,0)),"")</f>
      </c>
      <c r="E172" s="9">
        <f>IFERROR(INDEX(Pacientes!$E:$E,MATCH($A172,Pacientes!$B:$B,0)),"")</f>
      </c>
      <c r="F172" s="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>
        <f>"1. Evolução Clínica"&amp;CHAR(10)&amp;TEXTJOIN(" ",TRUE,"Paciente "&amp;G172&amp;", "&amp;IF(H172="","sem DVA","em uso de "&amp;H172)&amp;".",IF(I172&lt;&gt;"","Em "&amp;I172&amp;IF(J172&lt;&gt;""," ("&amp;J172&amp;")","")&amp;IF(K172&lt;&gt;"", ", "&amp;K172,"")&amp;IF(L172&lt;&gt;"", ", sob analgosedação com "&amp;L172,"")&amp;".",""),IF(M172&lt;&gt;"","Dieta "&amp;M172&amp;IF(N172&lt;&gt;"", ", com "&amp;LOWER(N172),"")&amp;IF(O172&lt;&gt;"", " — "&amp;O172,"")&amp;".",""),IF(P172="Febre","Apresentou episódio febril nas últimas 24h"&amp;IF(Q172&lt;&gt;""," ("&amp;Q172&amp;")","")&amp;".",IF(P172="Afebril","Encontra-se afebril.","")),IF(R172&lt;&gt;"",IF(S172="Sim","Apresenta disfunção renal aguda ","Função renal preservada ")&amp;"("&amp;R172&amp;").",""),IF(T172&lt;&gt;"","Em uso do esquema antimicrobiano com "&amp;T172&amp;".",""),IF(U172&lt;&gt;"","Em uso de profilaxia: "&amp;U172&amp;".",""))&amp;CHAR(10)&amp;CHAR(10)&amp;"2. Farmacoterapia"&amp;CHAR(10)&amp;IF(V172&lt;&gt;"","Corticoide/DART: "&amp;V172,"Sem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("&amp;Intervenções!$G$2:$G$500&amp;")",(Intervenções!$B$2:$B$500=A172)*(Intervenções!$A$2:$A$500=F172))),"Nenhuma intervenção registrada hoje.")&amp;CHAR(10)&amp;CHAR(10)&amp;"4. Plano Terapêutico"&amp;CHAR(10)&amp;IF(W172&lt;&gt;"",W172,"Não definido.")</f>
      </c>
    </row>
    <row r="173" spans="1:24" x14ac:dyDescent="0.25">
      <c r="A173" s="6"/>
      <c r="B173" s="9">
        <f>IFERROR(INDEX(Pacientes!$A:$A,MATCH($A173,Pacientes!$B:$B,0)),"")</f>
      </c>
      <c r="C173" s="9">
        <f>IFERROR(INDEX(Pacientes!$C:$C,MATCH($A173,Pacientes!$B:$B,0)),"")</f>
      </c>
      <c r="D173" s="9">
        <f>IFERROR(INDEX(Pacientes!$D:$D,MATCH($A173,Pacientes!$B:$B,0)),"")</f>
      </c>
      <c r="E173" s="9">
        <f>IFERROR(INDEX(Pacientes!$E:$E,MATCH($A173,Pacientes!$B:$B,0)),"")</f>
      </c>
      <c r="F173" s="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>
        <f>"1. Evolução Clínica"&amp;CHAR(10)&amp;TEXTJOIN(" ",TRUE,"Paciente "&amp;G173&amp;", "&amp;IF(H173="","sem DVA","em uso de "&amp;H173)&amp;".",IF(I173&lt;&gt;"","Em "&amp;I173&amp;IF(J173&lt;&gt;""," ("&amp;J173&amp;")","")&amp;IF(K173&lt;&gt;"", ", "&amp;K173,"")&amp;IF(L173&lt;&gt;"", ", sob analgosedação com "&amp;L173,"")&amp;".",""),IF(M173&lt;&gt;"","Dieta "&amp;M173&amp;IF(N173&lt;&gt;"", ", com "&amp;LOWER(N173),"")&amp;IF(O173&lt;&gt;"", " — "&amp;O173,"")&amp;".",""),IF(P173="Febre","Apresentou episódio febril nas últimas 24h"&amp;IF(Q173&lt;&gt;""," ("&amp;Q173&amp;")","")&amp;".",IF(P173="Afebril","Encontra-se afebril.","")),IF(R173&lt;&gt;"",IF(S173="Sim","Apresenta disfunção renal aguda ","Função renal preservada ")&amp;"("&amp;R173&amp;").",""),IF(T173&lt;&gt;"","Em uso do esquema antimicrobiano com "&amp;T173&amp;".",""),IF(U173&lt;&gt;"","Em uso de profilaxia: "&amp;U173&amp;".",""))&amp;CHAR(10)&amp;CHAR(10)&amp;"2. Farmacoterapia"&amp;CHAR(10)&amp;IF(V173&lt;&gt;"","Corticoide/DART: "&amp;V173,"Sem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("&amp;Intervenções!$G$2:$G$500&amp;")",(Intervenções!$B$2:$B$500=A173)*(Intervenções!$A$2:$A$500=F173))),"Nenhuma intervenção registrada hoje.")&amp;CHAR(10)&amp;CHAR(10)&amp;"4. Plano Terapêutico"&amp;CHAR(10)&amp;IF(W173&lt;&gt;"",W173,"Não definido.")</f>
      </c>
    </row>
    <row r="174" spans="1:24" x14ac:dyDescent="0.25">
      <c r="A174" s="6"/>
      <c r="B174" s="9">
        <f>IFERROR(INDEX(Pacientes!$A:$A,MATCH($A174,Pacientes!$B:$B,0)),"")</f>
      </c>
      <c r="C174" s="9">
        <f>IFERROR(INDEX(Pacientes!$C:$C,MATCH($A174,Pacientes!$B:$B,0)),"")</f>
      </c>
      <c r="D174" s="9">
        <f>IFERROR(INDEX(Pacientes!$D:$D,MATCH($A174,Pacientes!$B:$B,0)),"")</f>
      </c>
      <c r="E174" s="9">
        <f>IFERROR(INDEX(Pacientes!$E:$E,MATCH($A174,Pacientes!$B:$B,0)),"")</f>
      </c>
      <c r="F174" s="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>
        <f>"1. Evolução Clínica"&amp;CHAR(10)&amp;TEXTJOIN(" ",TRUE,"Paciente "&amp;G174&amp;", "&amp;IF(H174="","sem DVA","em uso de "&amp;H174)&amp;".",IF(I174&lt;&gt;"","Em "&amp;I174&amp;IF(J174&lt;&gt;""," ("&amp;J174&amp;")","")&amp;IF(K174&lt;&gt;"", ", "&amp;K174,"")&amp;IF(L174&lt;&gt;"", ", sob analgosedação com "&amp;L174,"")&amp;".",""),IF(M174&lt;&gt;"","Dieta "&amp;M174&amp;IF(N174&lt;&gt;"", ", com "&amp;LOWER(N174),"")&amp;IF(O174&lt;&gt;"", " — "&amp;O174,"")&amp;".",""),IF(P174="Febre","Apresentou episódio febril nas últimas 24h"&amp;IF(Q174&lt;&gt;""," ("&amp;Q174&amp;")","")&amp;".",IF(P174="Afebril","Encontra-se afebril.","")),IF(R174&lt;&gt;"",IF(S174="Sim","Apresenta disfunção renal aguda ","Função renal preservada ")&amp;"("&amp;R174&amp;").",""),IF(T174&lt;&gt;"","Em uso do esquema antimicrobiano com "&amp;T174&amp;".",""),IF(U174&lt;&gt;"","Em uso de profilaxia: "&amp;U174&amp;".",""))&amp;CHAR(10)&amp;CHAR(10)&amp;"2. Farmacoterapia"&amp;CHAR(10)&amp;IF(V174&lt;&gt;"","Corticoide/DART: "&amp;V174,"Sem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("&amp;Intervenções!$G$2:$G$500&amp;")",(Intervenções!$B$2:$B$500=A174)*(Intervenções!$A$2:$A$500=F174))),"Nenhuma intervenção registrada hoje.")&amp;CHAR(10)&amp;CHAR(10)&amp;"4. Plano Terapêutico"&amp;CHAR(10)&amp;IF(W174&lt;&gt;"",W174,"Não definido.")</f>
      </c>
    </row>
    <row r="175" spans="1:24" x14ac:dyDescent="0.25">
      <c r="A175" s="6"/>
      <c r="B175" s="9">
        <f>IFERROR(INDEX(Pacientes!$A:$A,MATCH($A175,Pacientes!$B:$B,0)),"")</f>
      </c>
      <c r="C175" s="9">
        <f>IFERROR(INDEX(Pacientes!$C:$C,MATCH($A175,Pacientes!$B:$B,0)),"")</f>
      </c>
      <c r="D175" s="9">
        <f>IFERROR(INDEX(Pacientes!$D:$D,MATCH($A175,Pacientes!$B:$B,0)),"")</f>
      </c>
      <c r="E175" s="9">
        <f>IFERROR(INDEX(Pacientes!$E:$E,MATCH($A175,Pacientes!$B:$B,0)),"")</f>
      </c>
      <c r="F175" s="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>
        <f>"1. Evolução Clínica"&amp;CHAR(10)&amp;TEXTJOIN(" ",TRUE,"Paciente "&amp;G175&amp;", "&amp;IF(H175="","sem DVA","em uso de "&amp;H175)&amp;".",IF(I175&lt;&gt;"","Em "&amp;I175&amp;IF(J175&lt;&gt;""," ("&amp;J175&amp;")","")&amp;IF(K175&lt;&gt;"", ", "&amp;K175,"")&amp;IF(L175&lt;&gt;"", ", sob analgosedação com "&amp;L175,"")&amp;".",""),IF(M175&lt;&gt;"","Dieta "&amp;M175&amp;IF(N175&lt;&gt;"", ", com "&amp;LOWER(N175),"")&amp;IF(O175&lt;&gt;"", " — "&amp;O175,"")&amp;".",""),IF(P175="Febre","Apresentou episódio febril nas últimas 24h"&amp;IF(Q175&lt;&gt;""," ("&amp;Q175&amp;")","")&amp;".",IF(P175="Afebril","Encontra-se afebril.","")),IF(R175&lt;&gt;"",IF(S175="Sim","Apresenta disfunção renal aguda ","Função renal preservada ")&amp;"("&amp;R175&amp;").",""),IF(T175&lt;&gt;"","Em uso do esquema antimicrobiano com "&amp;T175&amp;".",""),IF(U175&lt;&gt;"","Em uso de profilaxia: "&amp;U175&amp;".",""))&amp;CHAR(10)&amp;CHAR(10)&amp;"2. Farmacoterapia"&amp;CHAR(10)&amp;IF(V175&lt;&gt;"","Corticoide/DART: "&amp;V175,"Sem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("&amp;Intervenções!$G$2:$G$500&amp;")",(Intervenções!$B$2:$B$500=A175)*(Intervenções!$A$2:$A$500=F175))),"Nenhuma intervenção registrada hoje.")&amp;CHAR(10)&amp;CHAR(10)&amp;"4. Plano Terapêutico"&amp;CHAR(10)&amp;IF(W175&lt;&gt;"",W175,"Não definido.")</f>
      </c>
    </row>
    <row r="176" spans="1:24" x14ac:dyDescent="0.25">
      <c r="A176" s="6"/>
      <c r="B176" s="9">
        <f>IFERROR(INDEX(Pacientes!$A:$A,MATCH($A176,Pacientes!$B:$B,0)),"")</f>
      </c>
      <c r="C176" s="9">
        <f>IFERROR(INDEX(Pacientes!$C:$C,MATCH($A176,Pacientes!$B:$B,0)),"")</f>
      </c>
      <c r="D176" s="9">
        <f>IFERROR(INDEX(Pacientes!$D:$D,MATCH($A176,Pacientes!$B:$B,0)),"")</f>
      </c>
      <c r="E176" s="9">
        <f>IFERROR(INDEX(Pacientes!$E:$E,MATCH($A176,Pacientes!$B:$B,0)),"")</f>
      </c>
      <c r="F176" s="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>
        <f>"1. Evolução Clínica"&amp;CHAR(10)&amp;TEXTJOIN(" ",TRUE,"Paciente "&amp;G176&amp;", "&amp;IF(H176="","sem DVA","em uso de "&amp;H176)&amp;".",IF(I176&lt;&gt;"","Em "&amp;I176&amp;IF(J176&lt;&gt;""," ("&amp;J176&amp;")","")&amp;IF(K176&lt;&gt;"", ", "&amp;K176,"")&amp;IF(L176&lt;&gt;"", ", sob analgosedação com "&amp;L176,"")&amp;".",""),IF(M176&lt;&gt;"","Dieta "&amp;M176&amp;IF(N176&lt;&gt;"", ", com "&amp;LOWER(N176),"")&amp;IF(O176&lt;&gt;"", " — "&amp;O176,"")&amp;".",""),IF(P176="Febre","Apresentou episódio febril nas últimas 24h"&amp;IF(Q176&lt;&gt;""," ("&amp;Q176&amp;")","")&amp;".",IF(P176="Afebril","Encontra-se afebril.","")),IF(R176&lt;&gt;"",IF(S176="Sim","Apresenta disfunção renal aguda ","Função renal preservada ")&amp;"("&amp;R176&amp;").",""),IF(T176&lt;&gt;"","Em uso do esquema antimicrobiano com "&amp;T176&amp;".",""),IF(U176&lt;&gt;"","Em uso de profilaxia: "&amp;U176&amp;".",""))&amp;CHAR(10)&amp;CHAR(10)&amp;"2. Farmacoterapia"&amp;CHAR(10)&amp;IF(V176&lt;&gt;"","Corticoide/DART: "&amp;V176,"Sem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("&amp;Intervenções!$G$2:$G$500&amp;")",(Intervenções!$B$2:$B$500=A176)*(Intervenções!$A$2:$A$500=F176))),"Nenhuma intervenção registrada hoje.")&amp;CHAR(10)&amp;CHAR(10)&amp;"4. Plano Terapêutico"&amp;CHAR(10)&amp;IF(W176&lt;&gt;"",W176,"Não definido.")</f>
      </c>
    </row>
    <row r="177" spans="1:24" x14ac:dyDescent="0.25">
      <c r="A177" s="6"/>
      <c r="B177" s="9">
        <f>IFERROR(INDEX(Pacientes!$A:$A,MATCH($A177,Pacientes!$B:$B,0)),"")</f>
      </c>
      <c r="C177" s="9">
        <f>IFERROR(INDEX(Pacientes!$C:$C,MATCH($A177,Pacientes!$B:$B,0)),"")</f>
      </c>
      <c r="D177" s="9">
        <f>IFERROR(INDEX(Pacientes!$D:$D,MATCH($A177,Pacientes!$B:$B,0)),"")</f>
      </c>
      <c r="E177" s="9">
        <f>IFERROR(INDEX(Pacientes!$E:$E,MATCH($A177,Pacientes!$B:$B,0)),"")</f>
      </c>
      <c r="F177" s="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>
        <f>"1. Evolução Clínica"&amp;CHAR(10)&amp;TEXTJOIN(" ",TRUE,"Paciente "&amp;G177&amp;", "&amp;IF(H177="","sem DVA","em uso de "&amp;H177)&amp;".",IF(I177&lt;&gt;"","Em "&amp;I177&amp;IF(J177&lt;&gt;""," ("&amp;J177&amp;")","")&amp;IF(K177&lt;&gt;"", ", "&amp;K177,"")&amp;IF(L177&lt;&gt;"", ", sob analgosedação com "&amp;L177,"")&amp;".",""),IF(M177&lt;&gt;"","Dieta "&amp;M177&amp;IF(N177&lt;&gt;"", ", com "&amp;LOWER(N177),"")&amp;IF(O177&lt;&gt;"", " — "&amp;O177,"")&amp;".",""),IF(P177="Febre","Apresentou episódio febril nas últimas 24h"&amp;IF(Q177&lt;&gt;""," ("&amp;Q177&amp;")","")&amp;".",IF(P177="Afebril","Encontra-se afebril.","")),IF(R177&lt;&gt;"",IF(S177="Sim","Apresenta disfunção renal aguda ","Função renal preservada ")&amp;"("&amp;R177&amp;").",""),IF(T177&lt;&gt;"","Em uso do esquema antimicrobiano com "&amp;T177&amp;".",""),IF(U177&lt;&gt;"","Em uso de profilaxia: "&amp;U177&amp;".",""))&amp;CHAR(10)&amp;CHAR(10)&amp;"2. Farmacoterapia"&amp;CHAR(10)&amp;IF(V177&lt;&gt;"","Corticoide/DART: "&amp;V177,"Sem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("&amp;Intervenções!$G$2:$G$500&amp;")",(Intervenções!$B$2:$B$500=A177)*(Intervenções!$A$2:$A$500=F177))),"Nenhuma intervenção registrada hoje.")&amp;CHAR(10)&amp;CHAR(10)&amp;"4. Plano Terapêutico"&amp;CHAR(10)&amp;IF(W177&lt;&gt;"",W177,"Não definido.")</f>
      </c>
    </row>
    <row r="178" spans="1:24" x14ac:dyDescent="0.25">
      <c r="A178" s="6"/>
      <c r="B178" s="9">
        <f>IFERROR(INDEX(Pacientes!$A:$A,MATCH($A178,Pacientes!$B:$B,0)),"")</f>
      </c>
      <c r="C178" s="9">
        <f>IFERROR(INDEX(Pacientes!$C:$C,MATCH($A178,Pacientes!$B:$B,0)),"")</f>
      </c>
      <c r="D178" s="9">
        <f>IFERROR(INDEX(Pacientes!$D:$D,MATCH($A178,Pacientes!$B:$B,0)),"")</f>
      </c>
      <c r="E178" s="9">
        <f>IFERROR(INDEX(Pacientes!$E:$E,MATCH($A178,Pacientes!$B:$B,0)),"")</f>
      </c>
      <c r="F178" s="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>
        <f>"1. Evolução Clínica"&amp;CHAR(10)&amp;TEXTJOIN(" ",TRUE,"Paciente "&amp;G178&amp;", "&amp;IF(H178="","sem DVA","em uso de "&amp;H178)&amp;".",IF(I178&lt;&gt;"","Em "&amp;I178&amp;IF(J178&lt;&gt;""," ("&amp;J178&amp;")","")&amp;IF(K178&lt;&gt;"", ", "&amp;K178,"")&amp;IF(L178&lt;&gt;"", ", sob analgosedação com "&amp;L178,"")&amp;".",""),IF(M178&lt;&gt;"","Dieta "&amp;M178&amp;IF(N178&lt;&gt;"", ", com "&amp;LOWER(N178),"")&amp;IF(O178&lt;&gt;"", " — "&amp;O178,"")&amp;".",""),IF(P178="Febre","Apresentou episódio febril nas últimas 24h"&amp;IF(Q178&lt;&gt;""," ("&amp;Q178&amp;")","")&amp;".",IF(P178="Afebril","Encontra-se afebril.","")),IF(R178&lt;&gt;"",IF(S178="Sim","Apresenta disfunção renal aguda ","Função renal preservada ")&amp;"("&amp;R178&amp;").",""),IF(T178&lt;&gt;"","Em uso do esquema antimicrobiano com "&amp;T178&amp;".",""),IF(U178&lt;&gt;"","Em uso de profilaxia: "&amp;U178&amp;".",""))&amp;CHAR(10)&amp;CHAR(10)&amp;"2. Farmacoterapia"&amp;CHAR(10)&amp;IF(V178&lt;&gt;"","Corticoide/DART: "&amp;V178,"Sem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("&amp;Intervenções!$G$2:$G$500&amp;")",(Intervenções!$B$2:$B$500=A178)*(Intervenções!$A$2:$A$500=F178))),"Nenhuma intervenção registrada hoje.")&amp;CHAR(10)&amp;CHAR(10)&amp;"4. Plano Terapêutico"&amp;CHAR(10)&amp;IF(W178&lt;&gt;"",W178,"Não definido.")</f>
      </c>
    </row>
    <row r="179" spans="1:24" x14ac:dyDescent="0.25">
      <c r="A179" s="6"/>
      <c r="B179" s="9">
        <f>IFERROR(INDEX(Pacientes!$A:$A,MATCH($A179,Pacientes!$B:$B,0)),"")</f>
      </c>
      <c r="C179" s="9">
        <f>IFERROR(INDEX(Pacientes!$C:$C,MATCH($A179,Pacientes!$B:$B,0)),"")</f>
      </c>
      <c r="D179" s="9">
        <f>IFERROR(INDEX(Pacientes!$D:$D,MATCH($A179,Pacientes!$B:$B,0)),"")</f>
      </c>
      <c r="E179" s="9">
        <f>IFERROR(INDEX(Pacientes!$E:$E,MATCH($A179,Pacientes!$B:$B,0)),"")</f>
      </c>
      <c r="F179" s="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>
        <f>"1. Evolução Clínica"&amp;CHAR(10)&amp;TEXTJOIN(" ",TRUE,"Paciente "&amp;G179&amp;", "&amp;IF(H179="","sem DVA","em uso de "&amp;H179)&amp;".",IF(I179&lt;&gt;"","Em "&amp;I179&amp;IF(J179&lt;&gt;""," ("&amp;J179&amp;")","")&amp;IF(K179&lt;&gt;"", ", "&amp;K179,"")&amp;IF(L179&lt;&gt;"", ", sob analgosedação com "&amp;L179,"")&amp;".",""),IF(M179&lt;&gt;"","Dieta "&amp;M179&amp;IF(N179&lt;&gt;"", ", com "&amp;LOWER(N179),"")&amp;IF(O179&lt;&gt;"", " — "&amp;O179,"")&amp;".",""),IF(P179="Febre","Apresentou episódio febril nas últimas 24h"&amp;IF(Q179&lt;&gt;""," ("&amp;Q179&amp;")","")&amp;".",IF(P179="Afebril","Encontra-se afebril.","")),IF(R179&lt;&gt;"",IF(S179="Sim","Apresenta disfunção renal aguda ","Função renal preservada ")&amp;"("&amp;R179&amp;").",""),IF(T179&lt;&gt;"","Em uso do esquema antimicrobiano com "&amp;T179&amp;".",""),IF(U179&lt;&gt;"","Em uso de profilaxia: "&amp;U179&amp;".",""))&amp;CHAR(10)&amp;CHAR(10)&amp;"2. Farmacoterapia"&amp;CHAR(10)&amp;IF(V179&lt;&gt;"","Corticoide/DART: "&amp;V179,"Sem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("&amp;Intervenções!$G$2:$G$500&amp;")",(Intervenções!$B$2:$B$500=A179)*(Intervenções!$A$2:$A$500=F179))),"Nenhuma intervenção registrada hoje.")&amp;CHAR(10)&amp;CHAR(10)&amp;"4. Plano Terapêutico"&amp;CHAR(10)&amp;IF(W179&lt;&gt;"",W179,"Não definido.")</f>
      </c>
    </row>
    <row r="180" spans="1:24" x14ac:dyDescent="0.25">
      <c r="A180" s="6"/>
      <c r="B180" s="9">
        <f>IFERROR(INDEX(Pacientes!$A:$A,MATCH($A180,Pacientes!$B:$B,0)),"")</f>
      </c>
      <c r="C180" s="9">
        <f>IFERROR(INDEX(Pacientes!$C:$C,MATCH($A180,Pacientes!$B:$B,0)),"")</f>
      </c>
      <c r="D180" s="9">
        <f>IFERROR(INDEX(Pacientes!$D:$D,MATCH($A180,Pacientes!$B:$B,0)),"")</f>
      </c>
      <c r="E180" s="9">
        <f>IFERROR(INDEX(Pacientes!$E:$E,MATCH($A180,Pacientes!$B:$B,0)),"")</f>
      </c>
      <c r="F180" s="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>
        <f>"1. Evolução Clínica"&amp;CHAR(10)&amp;TEXTJOIN(" ",TRUE,"Paciente "&amp;G180&amp;", "&amp;IF(H180="","sem DVA","em uso de "&amp;H180)&amp;".",IF(I180&lt;&gt;"","Em "&amp;I180&amp;IF(J180&lt;&gt;""," ("&amp;J180&amp;")","")&amp;IF(K180&lt;&gt;"", ", "&amp;K180,"")&amp;IF(L180&lt;&gt;"", ", sob analgosedação com "&amp;L180,"")&amp;".",""),IF(M180&lt;&gt;"","Dieta "&amp;M180&amp;IF(N180&lt;&gt;"", ", com "&amp;LOWER(N180),"")&amp;IF(O180&lt;&gt;"", " — "&amp;O180,"")&amp;".",""),IF(P180="Febre","Apresentou episódio febril nas últimas 24h"&amp;IF(Q180&lt;&gt;""," ("&amp;Q180&amp;")","")&amp;".",IF(P180="Afebril","Encontra-se afebril.","")),IF(R180&lt;&gt;"",IF(S180="Sim","Apresenta disfunção renal aguda ","Função renal preservada ")&amp;"("&amp;R180&amp;").",""),IF(T180&lt;&gt;"","Em uso do esquema antimicrobiano com "&amp;T180&amp;".",""),IF(U180&lt;&gt;"","Em uso de profilaxia: "&amp;U180&amp;".",""))&amp;CHAR(10)&amp;CHAR(10)&amp;"2. Farmacoterapia"&amp;CHAR(10)&amp;IF(V180&lt;&gt;"","Corticoide/DART: "&amp;V180,"Sem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("&amp;Intervenções!$G$2:$G$500&amp;")",(Intervenções!$B$2:$B$500=A180)*(Intervenções!$A$2:$A$500=F180))),"Nenhuma intervenção registrada hoje.")&amp;CHAR(10)&amp;CHAR(10)&amp;"4. Plano Terapêutico"&amp;CHAR(10)&amp;IF(W180&lt;&gt;"",W180,"Não definido.")</f>
      </c>
    </row>
    <row r="181" spans="1:24" x14ac:dyDescent="0.25">
      <c r="A181" s="6"/>
      <c r="B181" s="9">
        <f>IFERROR(INDEX(Pacientes!$A:$A,MATCH($A181,Pacientes!$B:$B,0)),"")</f>
      </c>
      <c r="C181" s="9">
        <f>IFERROR(INDEX(Pacientes!$C:$C,MATCH($A181,Pacientes!$B:$B,0)),"")</f>
      </c>
      <c r="D181" s="9">
        <f>IFERROR(INDEX(Pacientes!$D:$D,MATCH($A181,Pacientes!$B:$B,0)),"")</f>
      </c>
      <c r="E181" s="9">
        <f>IFERROR(INDEX(Pacientes!$E:$E,MATCH($A181,Pacientes!$B:$B,0)),"")</f>
      </c>
      <c r="F181" s="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>
        <f>"1. Evolução Clínica"&amp;CHAR(10)&amp;TEXTJOIN(" ",TRUE,"Paciente "&amp;G181&amp;", "&amp;IF(H181="","sem DVA","em uso de "&amp;H181)&amp;".",IF(I181&lt;&gt;"","Em "&amp;I181&amp;IF(J181&lt;&gt;""," ("&amp;J181&amp;")","")&amp;IF(K181&lt;&gt;"", ", "&amp;K181,"")&amp;IF(L181&lt;&gt;"", ", sob analgosedação com "&amp;L181,"")&amp;".",""),IF(M181&lt;&gt;"","Dieta "&amp;M181&amp;IF(N181&lt;&gt;"", ", com "&amp;LOWER(N181),"")&amp;IF(O181&lt;&gt;"", " — "&amp;O181,"")&amp;".",""),IF(P181="Febre","Apresentou episódio febril nas últimas 24h"&amp;IF(Q181&lt;&gt;""," ("&amp;Q181&amp;")","")&amp;".",IF(P181="Afebril","Encontra-se afebril.","")),IF(R181&lt;&gt;"",IF(S181="Sim","Apresenta disfunção renal aguda ","Função renal preservada ")&amp;"("&amp;R181&amp;").",""),IF(T181&lt;&gt;"","Em uso do esquema antimicrobiano com "&amp;T181&amp;".",""),IF(U181&lt;&gt;"","Em uso de profilaxia: "&amp;U181&amp;".",""))&amp;CHAR(10)&amp;CHAR(10)&amp;"2. Farmacoterapia"&amp;CHAR(10)&amp;IF(V181&lt;&gt;"","Corticoide/DART: "&amp;V181,"Sem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("&amp;Intervenções!$G$2:$G$500&amp;")",(Intervenções!$B$2:$B$500=A181)*(Intervenções!$A$2:$A$500=F181))),"Nenhuma intervenção registrada hoje.")&amp;CHAR(10)&amp;CHAR(10)&amp;"4. Plano Terapêutico"&amp;CHAR(10)&amp;IF(W181&lt;&gt;"",W181,"Não definido.")</f>
      </c>
    </row>
    <row r="182" spans="1:24" x14ac:dyDescent="0.25">
      <c r="A182" s="6"/>
      <c r="B182" s="9">
        <f>IFERROR(INDEX(Pacientes!$A:$A,MATCH($A182,Pacientes!$B:$B,0)),"")</f>
      </c>
      <c r="C182" s="9">
        <f>IFERROR(INDEX(Pacientes!$C:$C,MATCH($A182,Pacientes!$B:$B,0)),"")</f>
      </c>
      <c r="D182" s="9">
        <f>IFERROR(INDEX(Pacientes!$D:$D,MATCH($A182,Pacientes!$B:$B,0)),"")</f>
      </c>
      <c r="E182" s="9">
        <f>IFERROR(INDEX(Pacientes!$E:$E,MATCH($A182,Pacientes!$B:$B,0)),"")</f>
      </c>
      <c r="F182" s="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>
        <f>"1. Evolução Clínica"&amp;CHAR(10)&amp;TEXTJOIN(" ",TRUE,"Paciente "&amp;G182&amp;", "&amp;IF(H182="","sem DVA","em uso de "&amp;H182)&amp;".",IF(I182&lt;&gt;"","Em "&amp;I182&amp;IF(J182&lt;&gt;""," ("&amp;J182&amp;")","")&amp;IF(K182&lt;&gt;"", ", "&amp;K182,"")&amp;IF(L182&lt;&gt;"", ", sob analgosedação com "&amp;L182,"")&amp;".",""),IF(M182&lt;&gt;"","Dieta "&amp;M182&amp;IF(N182&lt;&gt;"", ", com "&amp;LOWER(N182),"")&amp;IF(O182&lt;&gt;"", " — "&amp;O182,"")&amp;".",""),IF(P182="Febre","Apresentou episódio febril nas últimas 24h"&amp;IF(Q182&lt;&gt;""," ("&amp;Q182&amp;")","")&amp;".",IF(P182="Afebril","Encontra-se afebril.","")),IF(R182&lt;&gt;"",IF(S182="Sim","Apresenta disfunção renal aguda ","Função renal preservada ")&amp;"("&amp;R182&amp;").",""),IF(T182&lt;&gt;"","Em uso do esquema antimicrobiano com "&amp;T182&amp;".",""),IF(U182&lt;&gt;"","Em uso de profilaxia: "&amp;U182&amp;".",""))&amp;CHAR(10)&amp;CHAR(10)&amp;"2. Farmacoterapia"&amp;CHAR(10)&amp;IF(V182&lt;&gt;"","Corticoide/DART: "&amp;V182,"Sem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("&amp;Intervenções!$G$2:$G$500&amp;")",(Intervenções!$B$2:$B$500=A182)*(Intervenções!$A$2:$A$500=F182))),"Nenhuma intervenção registrada hoje.")&amp;CHAR(10)&amp;CHAR(10)&amp;"4. Plano Terapêutico"&amp;CHAR(10)&amp;IF(W182&lt;&gt;"",W182,"Não definido.")</f>
      </c>
    </row>
    <row r="183" spans="1:24" x14ac:dyDescent="0.25">
      <c r="A183" s="6"/>
      <c r="B183" s="9">
        <f>IFERROR(INDEX(Pacientes!$A:$A,MATCH($A183,Pacientes!$B:$B,0)),"")</f>
      </c>
      <c r="C183" s="9">
        <f>IFERROR(INDEX(Pacientes!$C:$C,MATCH($A183,Pacientes!$B:$B,0)),"")</f>
      </c>
      <c r="D183" s="9">
        <f>IFERROR(INDEX(Pacientes!$D:$D,MATCH($A183,Pacientes!$B:$B,0)),"")</f>
      </c>
      <c r="E183" s="9">
        <f>IFERROR(INDEX(Pacientes!$E:$E,MATCH($A183,Pacientes!$B:$B,0)),"")</f>
      </c>
      <c r="F183" s="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>
        <f>"1. Evolução Clínica"&amp;CHAR(10)&amp;TEXTJOIN(" ",TRUE,"Paciente "&amp;G183&amp;", "&amp;IF(H183="","sem DVA","em uso de "&amp;H183)&amp;".",IF(I183&lt;&gt;"","Em "&amp;I183&amp;IF(J183&lt;&gt;""," ("&amp;J183&amp;")","")&amp;IF(K183&lt;&gt;"", ", "&amp;K183,"")&amp;IF(L183&lt;&gt;"", ", sob analgosedação com "&amp;L183,"")&amp;".",""),IF(M183&lt;&gt;"","Dieta "&amp;M183&amp;IF(N183&lt;&gt;"", ", com "&amp;LOWER(N183),"")&amp;IF(O183&lt;&gt;"", " — "&amp;O183,"")&amp;".",""),IF(P183="Febre","Apresentou episódio febril nas últimas 24h"&amp;IF(Q183&lt;&gt;""," ("&amp;Q183&amp;")","")&amp;".",IF(P183="Afebril","Encontra-se afebril.","")),IF(R183&lt;&gt;"",IF(S183="Sim","Apresenta disfunção renal aguda ","Função renal preservada ")&amp;"("&amp;R183&amp;").",""),IF(T183&lt;&gt;"","Em uso do esquema antimicrobiano com "&amp;T183&amp;".",""),IF(U183&lt;&gt;"","Em uso de profilaxia: "&amp;U183&amp;".",""))&amp;CHAR(10)&amp;CHAR(10)&amp;"2. Farmacoterapia"&amp;CHAR(10)&amp;IF(V183&lt;&gt;"","Corticoide/DART: "&amp;V183,"Sem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("&amp;Intervenções!$G$2:$G$500&amp;")",(Intervenções!$B$2:$B$500=A183)*(Intervenções!$A$2:$A$500=F183))),"Nenhuma intervenção registrada hoje.")&amp;CHAR(10)&amp;CHAR(10)&amp;"4. Plano Terapêutico"&amp;CHAR(10)&amp;IF(W183&lt;&gt;"",W183,"Não definido.")</f>
      </c>
    </row>
    <row r="184" spans="1:24" x14ac:dyDescent="0.25">
      <c r="A184" s="6"/>
      <c r="B184" s="9">
        <f>IFERROR(INDEX(Pacientes!$A:$A,MATCH($A184,Pacientes!$B:$B,0)),"")</f>
      </c>
      <c r="C184" s="9">
        <f>IFERROR(INDEX(Pacientes!$C:$C,MATCH($A184,Pacientes!$B:$B,0)),"")</f>
      </c>
      <c r="D184" s="9">
        <f>IFERROR(INDEX(Pacientes!$D:$D,MATCH($A184,Pacientes!$B:$B,0)),"")</f>
      </c>
      <c r="E184" s="9">
        <f>IFERROR(INDEX(Pacientes!$E:$E,MATCH($A184,Pacientes!$B:$B,0)),"")</f>
      </c>
      <c r="F184" s="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>
        <f>"1. Evolução Clínica"&amp;CHAR(10)&amp;TEXTJOIN(" ",TRUE,"Paciente "&amp;G184&amp;", "&amp;IF(H184="","sem DVA","em uso de "&amp;H184)&amp;".",IF(I184&lt;&gt;"","Em "&amp;I184&amp;IF(J184&lt;&gt;""," ("&amp;J184&amp;")","")&amp;IF(K184&lt;&gt;"", ", "&amp;K184,"")&amp;IF(L184&lt;&gt;"", ", sob analgosedação com "&amp;L184,"")&amp;".",""),IF(M184&lt;&gt;"","Dieta "&amp;M184&amp;IF(N184&lt;&gt;"", ", com "&amp;LOWER(N184),"")&amp;IF(O184&lt;&gt;"", " — "&amp;O184,"")&amp;".",""),IF(P184="Febre","Apresentou episódio febril nas últimas 24h"&amp;IF(Q184&lt;&gt;""," ("&amp;Q184&amp;")","")&amp;".",IF(P184="Afebril","Encontra-se afebril.","")),IF(R184&lt;&gt;"",IF(S184="Sim","Apresenta disfunção renal aguda ","Função renal preservada ")&amp;"("&amp;R184&amp;").",""),IF(T184&lt;&gt;"","Em uso do esquema antimicrobiano com "&amp;T184&amp;".",""),IF(U184&lt;&gt;"","Em uso de profilaxia: "&amp;U184&amp;".",""))&amp;CHAR(10)&amp;CHAR(10)&amp;"2. Farmacoterapia"&amp;CHAR(10)&amp;IF(V184&lt;&gt;"","Corticoide/DART: "&amp;V184,"Sem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("&amp;Intervenções!$G$2:$G$500&amp;")",(Intervenções!$B$2:$B$500=A184)*(Intervenções!$A$2:$A$500=F184))),"Nenhuma intervenção registrada hoje.")&amp;CHAR(10)&amp;CHAR(10)&amp;"4. Plano Terapêutico"&amp;CHAR(10)&amp;IF(W184&lt;&gt;"",W184,"Não definido.")</f>
      </c>
    </row>
    <row r="185" spans="1:24" x14ac:dyDescent="0.25">
      <c r="A185" s="6"/>
      <c r="B185" s="9">
        <f>IFERROR(INDEX(Pacientes!$A:$A,MATCH($A185,Pacientes!$B:$B,0)),"")</f>
      </c>
      <c r="C185" s="9">
        <f>IFERROR(INDEX(Pacientes!$C:$C,MATCH($A185,Pacientes!$B:$B,0)),"")</f>
      </c>
      <c r="D185" s="9">
        <f>IFERROR(INDEX(Pacientes!$D:$D,MATCH($A185,Pacientes!$B:$B,0)),"")</f>
      </c>
      <c r="E185" s="9">
        <f>IFERROR(INDEX(Pacientes!$E:$E,MATCH($A185,Pacientes!$B:$B,0)),"")</f>
      </c>
      <c r="F185" s="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>
        <f>"1. Evolução Clínica"&amp;CHAR(10)&amp;TEXTJOIN(" ",TRUE,"Paciente "&amp;G185&amp;", "&amp;IF(H185="","sem DVA","em uso de "&amp;H185)&amp;".",IF(I185&lt;&gt;"","Em "&amp;I185&amp;IF(J185&lt;&gt;""," ("&amp;J185&amp;")","")&amp;IF(K185&lt;&gt;"", ", "&amp;K185,"")&amp;IF(L185&lt;&gt;"", ", sob analgosedação com "&amp;L185,"")&amp;".",""),IF(M185&lt;&gt;"","Dieta "&amp;M185&amp;IF(N185&lt;&gt;"", ", com "&amp;LOWER(N185),"")&amp;IF(O185&lt;&gt;"", " — "&amp;O185,"")&amp;".",""),IF(P185="Febre","Apresentou episódio febril nas últimas 24h"&amp;IF(Q185&lt;&gt;""," ("&amp;Q185&amp;")","")&amp;".",IF(P185="Afebril","Encontra-se afebril.","")),IF(R185&lt;&gt;"",IF(S185="Sim","Apresenta disfunção renal aguda ","Função renal preservada ")&amp;"("&amp;R185&amp;").",""),IF(T185&lt;&gt;"","Em uso do esquema antimicrobiano com "&amp;T185&amp;".",""),IF(U185&lt;&gt;"","Em uso de profilaxia: "&amp;U185&amp;".",""))&amp;CHAR(10)&amp;CHAR(10)&amp;"2. Farmacoterapia"&amp;CHAR(10)&amp;IF(V185&lt;&gt;"","Corticoide/DART: "&amp;V185,"Sem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("&amp;Intervenções!$G$2:$G$500&amp;")",(Intervenções!$B$2:$B$500=A185)*(Intervenções!$A$2:$A$500=F185))),"Nenhuma intervenção registrada hoje.")&amp;CHAR(10)&amp;CHAR(10)&amp;"4. Plano Terapêutico"&amp;CHAR(10)&amp;IF(W185&lt;&gt;"",W185,"Não definido.")</f>
      </c>
    </row>
    <row r="186" spans="1:24" x14ac:dyDescent="0.25">
      <c r="A186" s="6"/>
      <c r="B186" s="9">
        <f>IFERROR(INDEX(Pacientes!$A:$A,MATCH($A186,Pacientes!$B:$B,0)),"")</f>
      </c>
      <c r="C186" s="9">
        <f>IFERROR(INDEX(Pacientes!$C:$C,MATCH($A186,Pacientes!$B:$B,0)),"")</f>
      </c>
      <c r="D186" s="9">
        <f>IFERROR(INDEX(Pacientes!$D:$D,MATCH($A186,Pacientes!$B:$B,0)),"")</f>
      </c>
      <c r="E186" s="9">
        <f>IFERROR(INDEX(Pacientes!$E:$E,MATCH($A186,Pacientes!$B:$B,0)),"")</f>
      </c>
      <c r="F186" s="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>
        <f>"1. Evolução Clínica"&amp;CHAR(10)&amp;TEXTJOIN(" ",TRUE,"Paciente "&amp;G186&amp;", "&amp;IF(H186="","sem DVA","em uso de "&amp;H186)&amp;".",IF(I186&lt;&gt;"","Em "&amp;I186&amp;IF(J186&lt;&gt;""," ("&amp;J186&amp;")","")&amp;IF(K186&lt;&gt;"", ", "&amp;K186,"")&amp;IF(L186&lt;&gt;"", ", sob analgosedação com "&amp;L186,"")&amp;".",""),IF(M186&lt;&gt;"","Dieta "&amp;M186&amp;IF(N186&lt;&gt;"", ", com "&amp;LOWER(N186),"")&amp;IF(O186&lt;&gt;"", " — "&amp;O186,"")&amp;".",""),IF(P186="Febre","Apresentou episódio febril nas últimas 24h"&amp;IF(Q186&lt;&gt;""," ("&amp;Q186&amp;")","")&amp;".",IF(P186="Afebril","Encontra-se afebril.","")),IF(R186&lt;&gt;"",IF(S186="Sim","Apresenta disfunção renal aguda ","Função renal preservada ")&amp;"("&amp;R186&amp;").",""),IF(T186&lt;&gt;"","Em uso do esquema antimicrobiano com "&amp;T186&amp;".",""),IF(U186&lt;&gt;"","Em uso de profilaxia: "&amp;U186&amp;".",""))&amp;CHAR(10)&amp;CHAR(10)&amp;"2. Farmacoterapia"&amp;CHAR(10)&amp;IF(V186&lt;&gt;"","Corticoide/DART: "&amp;V186,"Sem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("&amp;Intervenções!$G$2:$G$500&amp;")",(Intervenções!$B$2:$B$500=A186)*(Intervenções!$A$2:$A$500=F186))),"Nenhuma intervenção registrada hoje.")&amp;CHAR(10)&amp;CHAR(10)&amp;"4. Plano Terapêutico"&amp;CHAR(10)&amp;IF(W186&lt;&gt;"",W186,"Não definido.")</f>
      </c>
    </row>
    <row r="187" spans="1:24" x14ac:dyDescent="0.25">
      <c r="A187" s="6"/>
      <c r="B187" s="9">
        <f>IFERROR(INDEX(Pacientes!$A:$A,MATCH($A187,Pacientes!$B:$B,0)),"")</f>
      </c>
      <c r="C187" s="9">
        <f>IFERROR(INDEX(Pacientes!$C:$C,MATCH($A187,Pacientes!$B:$B,0)),"")</f>
      </c>
      <c r="D187" s="9">
        <f>IFERROR(INDEX(Pacientes!$D:$D,MATCH($A187,Pacientes!$B:$B,0)),"")</f>
      </c>
      <c r="E187" s="9">
        <f>IFERROR(INDEX(Pacientes!$E:$E,MATCH($A187,Pacientes!$B:$B,0)),"")</f>
      </c>
      <c r="F187" s="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>
        <f>"1. Evolução Clínica"&amp;CHAR(10)&amp;TEXTJOIN(" ",TRUE,"Paciente "&amp;G187&amp;", "&amp;IF(H187="","sem DVA","em uso de "&amp;H187)&amp;".",IF(I187&lt;&gt;"","Em "&amp;I187&amp;IF(J187&lt;&gt;""," ("&amp;J187&amp;")","")&amp;IF(K187&lt;&gt;"", ", "&amp;K187,"")&amp;IF(L187&lt;&gt;"", ", sob analgosedação com "&amp;L187,"")&amp;".",""),IF(M187&lt;&gt;"","Dieta "&amp;M187&amp;IF(N187&lt;&gt;"", ", com "&amp;LOWER(N187),"")&amp;IF(O187&lt;&gt;"", " — "&amp;O187,"")&amp;".",""),IF(P187="Febre","Apresentou episódio febril nas últimas 24h"&amp;IF(Q187&lt;&gt;""," ("&amp;Q187&amp;")","")&amp;".",IF(P187="Afebril","Encontra-se afebril.","")),IF(R187&lt;&gt;"",IF(S187="Sim","Apresenta disfunção renal aguda ","Função renal preservada ")&amp;"("&amp;R187&amp;").",""),IF(T187&lt;&gt;"","Em uso do esquema antimicrobiano com "&amp;T187&amp;".",""),IF(U187&lt;&gt;"","Em uso de profilaxia: "&amp;U187&amp;".",""))&amp;CHAR(10)&amp;CHAR(10)&amp;"2. Farmacoterapia"&amp;CHAR(10)&amp;IF(V187&lt;&gt;"","Corticoide/DART: "&amp;V187,"Sem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("&amp;Intervenções!$G$2:$G$500&amp;")",(Intervenções!$B$2:$B$500=A187)*(Intervenções!$A$2:$A$500=F187))),"Nenhuma intervenção registrada hoje.")&amp;CHAR(10)&amp;CHAR(10)&amp;"4. Plano Terapêutico"&amp;CHAR(10)&amp;IF(W187&lt;&gt;"",W187,"Não definido.")</f>
      </c>
    </row>
    <row r="188" spans="1:24" x14ac:dyDescent="0.25">
      <c r="A188" s="6"/>
      <c r="B188" s="9">
        <f>IFERROR(INDEX(Pacientes!$A:$A,MATCH($A188,Pacientes!$B:$B,0)),"")</f>
      </c>
      <c r="C188" s="9">
        <f>IFERROR(INDEX(Pacientes!$C:$C,MATCH($A188,Pacientes!$B:$B,0)),"")</f>
      </c>
      <c r="D188" s="9">
        <f>IFERROR(INDEX(Pacientes!$D:$D,MATCH($A188,Pacientes!$B:$B,0)),"")</f>
      </c>
      <c r="E188" s="9">
        <f>IFERROR(INDEX(Pacientes!$E:$E,MATCH($A188,Pacientes!$B:$B,0)),"")</f>
      </c>
      <c r="F188" s="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>
        <f>"1. Evolução Clínica"&amp;CHAR(10)&amp;TEXTJOIN(" ",TRUE,"Paciente "&amp;G188&amp;", "&amp;IF(H188="","sem DVA","em uso de "&amp;H188)&amp;".",IF(I188&lt;&gt;"","Em "&amp;I188&amp;IF(J188&lt;&gt;""," ("&amp;J188&amp;")","")&amp;IF(K188&lt;&gt;"", ", "&amp;K188,"")&amp;IF(L188&lt;&gt;"", ", sob analgosedação com "&amp;L188,"")&amp;".",""),IF(M188&lt;&gt;"","Dieta "&amp;M188&amp;IF(N188&lt;&gt;"", ", com "&amp;LOWER(N188),"")&amp;IF(O188&lt;&gt;"", " — "&amp;O188,"")&amp;".",""),IF(P188="Febre","Apresentou episódio febril nas últimas 24h"&amp;IF(Q188&lt;&gt;""," ("&amp;Q188&amp;")","")&amp;".",IF(P188="Afebril","Encontra-se afebril.","")),IF(R188&lt;&gt;"",IF(S188="Sim","Apresenta disfunção renal aguda ","Função renal preservada ")&amp;"("&amp;R188&amp;").",""),IF(T188&lt;&gt;"","Em uso do esquema antimicrobiano com "&amp;T188&amp;".",""),IF(U188&lt;&gt;"","Em uso de profilaxia: "&amp;U188&amp;".",""))&amp;CHAR(10)&amp;CHAR(10)&amp;"2. Farmacoterapia"&amp;CHAR(10)&amp;IF(V188&lt;&gt;"","Corticoide/DART: "&amp;V188,"Sem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("&amp;Intervenções!$G$2:$G$500&amp;")",(Intervenções!$B$2:$B$500=A188)*(Intervenções!$A$2:$A$500=F188))),"Nenhuma intervenção registrada hoje.")&amp;CHAR(10)&amp;CHAR(10)&amp;"4. Plano Terapêutico"&amp;CHAR(10)&amp;IF(W188&lt;&gt;"",W188,"Não definido.")</f>
      </c>
    </row>
    <row r="189" spans="1:24" x14ac:dyDescent="0.25">
      <c r="A189" s="6"/>
      <c r="B189" s="9">
        <f>IFERROR(INDEX(Pacientes!$A:$A,MATCH($A189,Pacientes!$B:$B,0)),"")</f>
      </c>
      <c r="C189" s="9">
        <f>IFERROR(INDEX(Pacientes!$C:$C,MATCH($A189,Pacientes!$B:$B,0)),"")</f>
      </c>
      <c r="D189" s="9">
        <f>IFERROR(INDEX(Pacientes!$D:$D,MATCH($A189,Pacientes!$B:$B,0)),"")</f>
      </c>
      <c r="E189" s="9">
        <f>IFERROR(INDEX(Pacientes!$E:$E,MATCH($A189,Pacientes!$B:$B,0)),"")</f>
      </c>
      <c r="F189" s="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>
        <f>"1. Evolução Clínica"&amp;CHAR(10)&amp;TEXTJOIN(" ",TRUE,"Paciente "&amp;G189&amp;", "&amp;IF(H189="","sem DVA","em uso de "&amp;H189)&amp;".",IF(I189&lt;&gt;"","Em "&amp;I189&amp;IF(J189&lt;&gt;""," ("&amp;J189&amp;")","")&amp;IF(K189&lt;&gt;"", ", "&amp;K189,"")&amp;IF(L189&lt;&gt;"", ", sob analgosedação com "&amp;L189,"")&amp;".",""),IF(M189&lt;&gt;"","Dieta "&amp;M189&amp;IF(N189&lt;&gt;"", ", com "&amp;LOWER(N189),"")&amp;IF(O189&lt;&gt;"", " — "&amp;O189,"")&amp;".",""),IF(P189="Febre","Apresentou episódio febril nas últimas 24h"&amp;IF(Q189&lt;&gt;""," ("&amp;Q189&amp;")","")&amp;".",IF(P189="Afebril","Encontra-se afebril.","")),IF(R189&lt;&gt;"",IF(S189="Sim","Apresenta disfunção renal aguda ","Função renal preservada ")&amp;"("&amp;R189&amp;").",""),IF(T189&lt;&gt;"","Em uso do esquema antimicrobiano com "&amp;T189&amp;".",""),IF(U189&lt;&gt;"","Em uso de profilaxia: "&amp;U189&amp;".",""))&amp;CHAR(10)&amp;CHAR(10)&amp;"2. Farmacoterapia"&amp;CHAR(10)&amp;IF(V189&lt;&gt;"","Corticoide/DART: "&amp;V189,"Sem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("&amp;Intervenções!$G$2:$G$500&amp;")",(Intervenções!$B$2:$B$500=A189)*(Intervenções!$A$2:$A$500=F189))),"Nenhuma intervenção registrada hoje.")&amp;CHAR(10)&amp;CHAR(10)&amp;"4. Plano Terapêutico"&amp;CHAR(10)&amp;IF(W189&lt;&gt;"",W189,"Não definido.")</f>
      </c>
    </row>
    <row r="190" spans="1:24" x14ac:dyDescent="0.25">
      <c r="A190" s="6"/>
      <c r="B190" s="9">
        <f>IFERROR(INDEX(Pacientes!$A:$A,MATCH($A190,Pacientes!$B:$B,0)),"")</f>
      </c>
      <c r="C190" s="9">
        <f>IFERROR(INDEX(Pacientes!$C:$C,MATCH($A190,Pacientes!$B:$B,0)),"")</f>
      </c>
      <c r="D190" s="9">
        <f>IFERROR(INDEX(Pacientes!$D:$D,MATCH($A190,Pacientes!$B:$B,0)),"")</f>
      </c>
      <c r="E190" s="9">
        <f>IFERROR(INDEX(Pacientes!$E:$E,MATCH($A190,Pacientes!$B:$B,0)),"")</f>
      </c>
      <c r="F190" s="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>
        <f>"1. Evolução Clínica"&amp;CHAR(10)&amp;TEXTJOIN(" ",TRUE,"Paciente "&amp;G190&amp;", "&amp;IF(H190="","sem DVA","em uso de "&amp;H190)&amp;".",IF(I190&lt;&gt;"","Em "&amp;I190&amp;IF(J190&lt;&gt;""," ("&amp;J190&amp;")","")&amp;IF(K190&lt;&gt;"", ", "&amp;K190,"")&amp;IF(L190&lt;&gt;"", ", sob analgosedação com "&amp;L190,"")&amp;".",""),IF(M190&lt;&gt;"","Dieta "&amp;M190&amp;IF(N190&lt;&gt;"", ", com "&amp;LOWER(N190),"")&amp;IF(O190&lt;&gt;"", " — "&amp;O190,"")&amp;".",""),IF(P190="Febre","Apresentou episódio febril nas últimas 24h"&amp;IF(Q190&lt;&gt;""," ("&amp;Q190&amp;")","")&amp;".",IF(P190="Afebril","Encontra-se afebril.","")),IF(R190&lt;&gt;"",IF(S190="Sim","Apresenta disfunção renal aguda ","Função renal preservada ")&amp;"("&amp;R190&amp;").",""),IF(T190&lt;&gt;"","Em uso do esquema antimicrobiano com "&amp;T190&amp;".",""),IF(U190&lt;&gt;"","Em uso de profilaxia: "&amp;U190&amp;".",""))&amp;CHAR(10)&amp;CHAR(10)&amp;"2. Farmacoterapia"&amp;CHAR(10)&amp;IF(V190&lt;&gt;"","Corticoide/DART: "&amp;V190,"Sem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("&amp;Intervenções!$G$2:$G$500&amp;")",(Intervenções!$B$2:$B$500=A190)*(Intervenções!$A$2:$A$500=F190))),"Nenhuma intervenção registrada hoje.")&amp;CHAR(10)&amp;CHAR(10)&amp;"4. Plano Terapêutico"&amp;CHAR(10)&amp;IF(W190&lt;&gt;"",W190,"Não definido.")</f>
      </c>
    </row>
    <row r="191" spans="1:24" x14ac:dyDescent="0.25">
      <c r="A191" s="6"/>
      <c r="B191" s="9">
        <f>IFERROR(INDEX(Pacientes!$A:$A,MATCH($A191,Pacientes!$B:$B,0)),"")</f>
      </c>
      <c r="C191" s="9">
        <f>IFERROR(INDEX(Pacientes!$C:$C,MATCH($A191,Pacientes!$B:$B,0)),"")</f>
      </c>
      <c r="D191" s="9">
        <f>IFERROR(INDEX(Pacientes!$D:$D,MATCH($A191,Pacientes!$B:$B,0)),"")</f>
      </c>
      <c r="E191" s="9">
        <f>IFERROR(INDEX(Pacientes!$E:$E,MATCH($A191,Pacientes!$B:$B,0)),"")</f>
      </c>
      <c r="F191" s="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>
        <f>"1. Evolução Clínica"&amp;CHAR(10)&amp;TEXTJOIN(" ",TRUE,"Paciente "&amp;G191&amp;", "&amp;IF(H191="","sem DVA","em uso de "&amp;H191)&amp;".",IF(I191&lt;&gt;"","Em "&amp;I191&amp;IF(J191&lt;&gt;""," ("&amp;J191&amp;")","")&amp;IF(K191&lt;&gt;"", ", "&amp;K191,"")&amp;IF(L191&lt;&gt;"", ", sob analgosedação com "&amp;L191,"")&amp;".",""),IF(M191&lt;&gt;"","Dieta "&amp;M191&amp;IF(N191&lt;&gt;"", ", com "&amp;LOWER(N191),"")&amp;IF(O191&lt;&gt;"", " — "&amp;O191,"")&amp;".",""),IF(P191="Febre","Apresentou episódio febril nas últimas 24h"&amp;IF(Q191&lt;&gt;""," ("&amp;Q191&amp;")","")&amp;".",IF(P191="Afebril","Encontra-se afebril.","")),IF(R191&lt;&gt;"",IF(S191="Sim","Apresenta disfunção renal aguda ","Função renal preservada ")&amp;"("&amp;R191&amp;").",""),IF(T191&lt;&gt;"","Em uso do esquema antimicrobiano com "&amp;T191&amp;".",""),IF(U191&lt;&gt;"","Em uso de profilaxia: "&amp;U191&amp;".",""))&amp;CHAR(10)&amp;CHAR(10)&amp;"2. Farmacoterapia"&amp;CHAR(10)&amp;IF(V191&lt;&gt;"","Corticoide/DART: "&amp;V191,"Sem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("&amp;Intervenções!$G$2:$G$500&amp;")",(Intervenções!$B$2:$B$500=A191)*(Intervenções!$A$2:$A$500=F191))),"Nenhuma intervenção registrada hoje.")&amp;CHAR(10)&amp;CHAR(10)&amp;"4. Plano Terapêutico"&amp;CHAR(10)&amp;IF(W191&lt;&gt;"",W191,"Não definido.")</f>
      </c>
    </row>
    <row r="192" spans="1:24" x14ac:dyDescent="0.25">
      <c r="A192" s="6"/>
      <c r="B192" s="9">
        <f>IFERROR(INDEX(Pacientes!$A:$A,MATCH($A192,Pacientes!$B:$B,0)),"")</f>
      </c>
      <c r="C192" s="9">
        <f>IFERROR(INDEX(Pacientes!$C:$C,MATCH($A192,Pacientes!$B:$B,0)),"")</f>
      </c>
      <c r="D192" s="9">
        <f>IFERROR(INDEX(Pacientes!$D:$D,MATCH($A192,Pacientes!$B:$B,0)),"")</f>
      </c>
      <c r="E192" s="9">
        <f>IFERROR(INDEX(Pacientes!$E:$E,MATCH($A192,Pacientes!$B:$B,0)),"")</f>
      </c>
      <c r="F192" s="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>
        <f>"1. Evolução Clínica"&amp;CHAR(10)&amp;TEXTJOIN(" ",TRUE,"Paciente "&amp;G192&amp;", "&amp;IF(H192="","sem DVA","em uso de "&amp;H192)&amp;".",IF(I192&lt;&gt;"","Em "&amp;I192&amp;IF(J192&lt;&gt;""," ("&amp;J192&amp;")","")&amp;IF(K192&lt;&gt;"", ", "&amp;K192,"")&amp;IF(L192&lt;&gt;"", ", sob analgosedação com "&amp;L192,"")&amp;".",""),IF(M192&lt;&gt;"","Dieta "&amp;M192&amp;IF(N192&lt;&gt;"", ", com "&amp;LOWER(N192),"")&amp;IF(O192&lt;&gt;"", " — "&amp;O192,"")&amp;".",""),IF(P192="Febre","Apresentou episódio febril nas últimas 24h"&amp;IF(Q192&lt;&gt;""," ("&amp;Q192&amp;")","")&amp;".",IF(P192="Afebril","Encontra-se afebril.","")),IF(R192&lt;&gt;"",IF(S192="Sim","Apresenta disfunção renal aguda ","Função renal preservada ")&amp;"("&amp;R192&amp;").",""),IF(T192&lt;&gt;"","Em uso do esquema antimicrobiano com "&amp;T192&amp;".",""),IF(U192&lt;&gt;"","Em uso de profilaxia: "&amp;U192&amp;".",""))&amp;CHAR(10)&amp;CHAR(10)&amp;"2. Farmacoterapia"&amp;CHAR(10)&amp;IF(V192&lt;&gt;"","Corticoide/DART: "&amp;V192,"Sem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("&amp;Intervenções!$G$2:$G$500&amp;")",(Intervenções!$B$2:$B$500=A192)*(Intervenções!$A$2:$A$500=F192))),"Nenhuma intervenção registrada hoje.")&amp;CHAR(10)&amp;CHAR(10)&amp;"4. Plano Terapêutico"&amp;CHAR(10)&amp;IF(W192&lt;&gt;"",W192,"Não definido.")</f>
      </c>
    </row>
    <row r="193" spans="1:24" x14ac:dyDescent="0.25">
      <c r="A193" s="6"/>
      <c r="B193" s="9">
        <f>IFERROR(INDEX(Pacientes!$A:$A,MATCH($A193,Pacientes!$B:$B,0)),"")</f>
      </c>
      <c r="C193" s="9">
        <f>IFERROR(INDEX(Pacientes!$C:$C,MATCH($A193,Pacientes!$B:$B,0)),"")</f>
      </c>
      <c r="D193" s="9">
        <f>IFERROR(INDEX(Pacientes!$D:$D,MATCH($A193,Pacientes!$B:$B,0)),"")</f>
      </c>
      <c r="E193" s="9">
        <f>IFERROR(INDEX(Pacientes!$E:$E,MATCH($A193,Pacientes!$B:$B,0)),"")</f>
      </c>
      <c r="F193" s="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>
        <f>"1. Evolução Clínica"&amp;CHAR(10)&amp;TEXTJOIN(" ",TRUE,"Paciente "&amp;G193&amp;", "&amp;IF(H193="","sem DVA","em uso de "&amp;H193)&amp;".",IF(I193&lt;&gt;"","Em "&amp;I193&amp;IF(J193&lt;&gt;""," ("&amp;J193&amp;")","")&amp;IF(K193&lt;&gt;"", ", "&amp;K193,"")&amp;IF(L193&lt;&gt;"", ", sob analgosedação com "&amp;L193,"")&amp;".",""),IF(M193&lt;&gt;"","Dieta "&amp;M193&amp;IF(N193&lt;&gt;"", ", com "&amp;LOWER(N193),"")&amp;IF(O193&lt;&gt;"", " — "&amp;O193,"")&amp;".",""),IF(P193="Febre","Apresentou episódio febril nas últimas 24h"&amp;IF(Q193&lt;&gt;""," ("&amp;Q193&amp;")","")&amp;".",IF(P193="Afebril","Encontra-se afebril.","")),IF(R193&lt;&gt;"",IF(S193="Sim","Apresenta disfunção renal aguda ","Função renal preservada ")&amp;"("&amp;R193&amp;").",""),IF(T193&lt;&gt;"","Em uso do esquema antimicrobiano com "&amp;T193&amp;".",""),IF(U193&lt;&gt;"","Em uso de profilaxia: "&amp;U193&amp;".",""))&amp;CHAR(10)&amp;CHAR(10)&amp;"2. Farmacoterapia"&amp;CHAR(10)&amp;IF(V193&lt;&gt;"","Corticoide/DART: "&amp;V193,"Sem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("&amp;Intervenções!$G$2:$G$500&amp;")",(Intervenções!$B$2:$B$500=A193)*(Intervenções!$A$2:$A$500=F193))),"Nenhuma intervenção registrada hoje.")&amp;CHAR(10)&amp;CHAR(10)&amp;"4. Plano Terapêutico"&amp;CHAR(10)&amp;IF(W193&lt;&gt;"",W193,"Não definido.")</f>
      </c>
    </row>
    <row r="194" spans="1:24" x14ac:dyDescent="0.25">
      <c r="A194" s="6"/>
      <c r="B194" s="9">
        <f>IFERROR(INDEX(Pacientes!$A:$A,MATCH($A194,Pacientes!$B:$B,0)),"")</f>
      </c>
      <c r="C194" s="9">
        <f>IFERROR(INDEX(Pacientes!$C:$C,MATCH($A194,Pacientes!$B:$B,0)),"")</f>
      </c>
      <c r="D194" s="9">
        <f>IFERROR(INDEX(Pacientes!$D:$D,MATCH($A194,Pacientes!$B:$B,0)),"")</f>
      </c>
      <c r="E194" s="9">
        <f>IFERROR(INDEX(Pacientes!$E:$E,MATCH($A194,Pacientes!$B:$B,0)),"")</f>
      </c>
      <c r="F194" s="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>
        <f>"1. Evolução Clínica"&amp;CHAR(10)&amp;TEXTJOIN(" ",TRUE,"Paciente "&amp;G194&amp;", "&amp;IF(H194="","sem DVA","em uso de "&amp;H194)&amp;".",IF(I194&lt;&gt;"","Em "&amp;I194&amp;IF(J194&lt;&gt;""," ("&amp;J194&amp;")","")&amp;IF(K194&lt;&gt;"", ", "&amp;K194,"")&amp;IF(L194&lt;&gt;"", ", sob analgosedação com "&amp;L194,"")&amp;".",""),IF(M194&lt;&gt;"","Dieta "&amp;M194&amp;IF(N194&lt;&gt;"", ", com "&amp;LOWER(N194),"")&amp;IF(O194&lt;&gt;"", " — "&amp;O194,"")&amp;".",""),IF(P194="Febre","Apresentou episódio febril nas últimas 24h"&amp;IF(Q194&lt;&gt;""," ("&amp;Q194&amp;")","")&amp;".",IF(P194="Afebril","Encontra-se afebril.","")),IF(R194&lt;&gt;"",IF(S194="Sim","Apresenta disfunção renal aguda ","Função renal preservada ")&amp;"("&amp;R194&amp;").",""),IF(T194&lt;&gt;"","Em uso do esquema antimicrobiano com "&amp;T194&amp;".",""),IF(U194&lt;&gt;"","Em uso de profilaxia: "&amp;U194&amp;".",""))&amp;CHAR(10)&amp;CHAR(10)&amp;"2. Farmacoterapia"&amp;CHAR(10)&amp;IF(V194&lt;&gt;"","Corticoide/DART: "&amp;V194,"Sem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("&amp;Intervenções!$G$2:$G$500&amp;")",(Intervenções!$B$2:$B$500=A194)*(Intervenções!$A$2:$A$500=F194))),"Nenhuma intervenção registrada hoje.")&amp;CHAR(10)&amp;CHAR(10)&amp;"4. Plano Terapêutico"&amp;CHAR(10)&amp;IF(W194&lt;&gt;"",W194,"Não definido.")</f>
      </c>
    </row>
    <row r="195" spans="1:24" x14ac:dyDescent="0.25">
      <c r="A195" s="6"/>
      <c r="B195" s="9">
        <f>IFERROR(INDEX(Pacientes!$A:$A,MATCH($A195,Pacientes!$B:$B,0)),"")</f>
      </c>
      <c r="C195" s="9">
        <f>IFERROR(INDEX(Pacientes!$C:$C,MATCH($A195,Pacientes!$B:$B,0)),"")</f>
      </c>
      <c r="D195" s="9">
        <f>IFERROR(INDEX(Pacientes!$D:$D,MATCH($A195,Pacientes!$B:$B,0)),"")</f>
      </c>
      <c r="E195" s="9">
        <f>IFERROR(INDEX(Pacientes!$E:$E,MATCH($A195,Pacientes!$B:$B,0)),"")</f>
      </c>
      <c r="F195" s="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>
        <f>"1. Evolução Clínica"&amp;CHAR(10)&amp;TEXTJOIN(" ",TRUE,"Paciente "&amp;G195&amp;", "&amp;IF(H195="","sem DVA","em uso de "&amp;H195)&amp;".",IF(I195&lt;&gt;"","Em "&amp;I195&amp;IF(J195&lt;&gt;""," ("&amp;J195&amp;")","")&amp;IF(K195&lt;&gt;"", ", "&amp;K195,"")&amp;IF(L195&lt;&gt;"", ", sob analgosedação com "&amp;L195,"")&amp;".",""),IF(M195&lt;&gt;"","Dieta "&amp;M195&amp;IF(N195&lt;&gt;"", ", com "&amp;LOWER(N195),"")&amp;IF(O195&lt;&gt;"", " — "&amp;O195,"")&amp;".",""),IF(P195="Febre","Apresentou episódio febril nas últimas 24h"&amp;IF(Q195&lt;&gt;""," ("&amp;Q195&amp;")","")&amp;".",IF(P195="Afebril","Encontra-se afebril.","")),IF(R195&lt;&gt;"",IF(S195="Sim","Apresenta disfunção renal aguda ","Função renal preservada ")&amp;"("&amp;R195&amp;").",""),IF(T195&lt;&gt;"","Em uso do esquema antimicrobiano com "&amp;T195&amp;".",""),IF(U195&lt;&gt;"","Em uso de profilaxia: "&amp;U195&amp;".",""))&amp;CHAR(10)&amp;CHAR(10)&amp;"2. Farmacoterapia"&amp;CHAR(10)&amp;IF(V195&lt;&gt;"","Corticoide/DART: "&amp;V195,"Sem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("&amp;Intervenções!$G$2:$G$500&amp;")",(Intervenções!$B$2:$B$500=A195)*(Intervenções!$A$2:$A$500=F195))),"Nenhuma intervenção registrada hoje.")&amp;CHAR(10)&amp;CHAR(10)&amp;"4. Plano Terapêutico"&amp;CHAR(10)&amp;IF(W195&lt;&gt;"",W195,"Não definido.")</f>
      </c>
    </row>
    <row r="196" spans="1:24" x14ac:dyDescent="0.25">
      <c r="A196" s="6"/>
      <c r="B196" s="9">
        <f>IFERROR(INDEX(Pacientes!$A:$A,MATCH($A196,Pacientes!$B:$B,0)),"")</f>
      </c>
      <c r="C196" s="9">
        <f>IFERROR(INDEX(Pacientes!$C:$C,MATCH($A196,Pacientes!$B:$B,0)),"")</f>
      </c>
      <c r="D196" s="9">
        <f>IFERROR(INDEX(Pacientes!$D:$D,MATCH($A196,Pacientes!$B:$B,0)),"")</f>
      </c>
      <c r="E196" s="9">
        <f>IFERROR(INDEX(Pacientes!$E:$E,MATCH($A196,Pacientes!$B:$B,0)),"")</f>
      </c>
      <c r="F196" s="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>
        <f>"1. Evolução Clínica"&amp;CHAR(10)&amp;TEXTJOIN(" ",TRUE,"Paciente "&amp;G196&amp;", "&amp;IF(H196="","sem DVA","em uso de "&amp;H196)&amp;".",IF(I196&lt;&gt;"","Em "&amp;I196&amp;IF(J196&lt;&gt;""," ("&amp;J196&amp;")","")&amp;IF(K196&lt;&gt;"", ", "&amp;K196,"")&amp;IF(L196&lt;&gt;"", ", sob analgosedação com "&amp;L196,"")&amp;".",""),IF(M196&lt;&gt;"","Dieta "&amp;M196&amp;IF(N196&lt;&gt;"", ", com "&amp;LOWER(N196),"")&amp;IF(O196&lt;&gt;"", " — "&amp;O196,"")&amp;".",""),IF(P196="Febre","Apresentou episódio febril nas últimas 24h"&amp;IF(Q196&lt;&gt;""," ("&amp;Q196&amp;")","")&amp;".",IF(P196="Afebril","Encontra-se afebril.","")),IF(R196&lt;&gt;"",IF(S196="Sim","Apresenta disfunção renal aguda ","Função renal preservada ")&amp;"("&amp;R196&amp;").",""),IF(T196&lt;&gt;"","Em uso do esquema antimicrobiano com "&amp;T196&amp;".",""),IF(U196&lt;&gt;"","Em uso de profilaxia: "&amp;U196&amp;".",""))&amp;CHAR(10)&amp;CHAR(10)&amp;"2. Farmacoterapia"&amp;CHAR(10)&amp;IF(V196&lt;&gt;"","Corticoide/DART: "&amp;V196,"Sem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("&amp;Intervenções!$G$2:$G$500&amp;")",(Intervenções!$B$2:$B$500=A196)*(Intervenções!$A$2:$A$500=F196))),"Nenhuma intervenção registrada hoje.")&amp;CHAR(10)&amp;CHAR(10)&amp;"4. Plano Terapêutico"&amp;CHAR(10)&amp;IF(W196&lt;&gt;"",W196,"Não definido.")</f>
      </c>
    </row>
    <row r="197" spans="1:24" x14ac:dyDescent="0.25">
      <c r="A197" s="6"/>
      <c r="B197" s="9">
        <f>IFERROR(INDEX(Pacientes!$A:$A,MATCH($A197,Pacientes!$B:$B,0)),"")</f>
      </c>
      <c r="C197" s="9">
        <f>IFERROR(INDEX(Pacientes!$C:$C,MATCH($A197,Pacientes!$B:$B,0)),"")</f>
      </c>
      <c r="D197" s="9">
        <f>IFERROR(INDEX(Pacientes!$D:$D,MATCH($A197,Pacientes!$B:$B,0)),"")</f>
      </c>
      <c r="E197" s="9">
        <f>IFERROR(INDEX(Pacientes!$E:$E,MATCH($A197,Pacientes!$B:$B,0)),"")</f>
      </c>
      <c r="F197" s="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>
        <f>"1. Evolução Clínica"&amp;CHAR(10)&amp;TEXTJOIN(" ",TRUE,"Paciente "&amp;G197&amp;", "&amp;IF(H197="","sem DVA","em uso de "&amp;H197)&amp;".",IF(I197&lt;&gt;"","Em "&amp;I197&amp;IF(J197&lt;&gt;""," ("&amp;J197&amp;")","")&amp;IF(K197&lt;&gt;"", ", "&amp;K197,"")&amp;IF(L197&lt;&gt;"", ", sob analgosedação com "&amp;L197,"")&amp;".",""),IF(M197&lt;&gt;"","Dieta "&amp;M197&amp;IF(N197&lt;&gt;"", ", com "&amp;LOWER(N197),"")&amp;IF(O197&lt;&gt;"", " — "&amp;O197,"")&amp;".",""),IF(P197="Febre","Apresentou episódio febril nas últimas 24h"&amp;IF(Q197&lt;&gt;""," ("&amp;Q197&amp;")","")&amp;".",IF(P197="Afebril","Encontra-se afebril.","")),IF(R197&lt;&gt;"",IF(S197="Sim","Apresenta disfunção renal aguda ","Função renal preservada ")&amp;"("&amp;R197&amp;").",""),IF(T197&lt;&gt;"","Em uso do esquema antimicrobiano com "&amp;T197&amp;".",""),IF(U197&lt;&gt;"","Em uso de profilaxia: "&amp;U197&amp;".",""))&amp;CHAR(10)&amp;CHAR(10)&amp;"2. Farmacoterapia"&amp;CHAR(10)&amp;IF(V197&lt;&gt;"","Corticoide/DART: "&amp;V197,"Sem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("&amp;Intervenções!$G$2:$G$500&amp;")",(Intervenções!$B$2:$B$500=A197)*(Intervenções!$A$2:$A$500=F197))),"Nenhuma intervenção registrada hoje.")&amp;CHAR(10)&amp;CHAR(10)&amp;"4. Plano Terapêutico"&amp;CHAR(10)&amp;IF(W197&lt;&gt;"",W197,"Não definido.")</f>
      </c>
    </row>
    <row r="198" spans="1:24" x14ac:dyDescent="0.25">
      <c r="A198" s="6"/>
      <c r="B198" s="9">
        <f>IFERROR(INDEX(Pacientes!$A:$A,MATCH($A198,Pacientes!$B:$B,0)),"")</f>
      </c>
      <c r="C198" s="9">
        <f>IFERROR(INDEX(Pacientes!$C:$C,MATCH($A198,Pacientes!$B:$B,0)),"")</f>
      </c>
      <c r="D198" s="9">
        <f>IFERROR(INDEX(Pacientes!$D:$D,MATCH($A198,Pacientes!$B:$B,0)),"")</f>
      </c>
      <c r="E198" s="9">
        <f>IFERROR(INDEX(Pacientes!$E:$E,MATCH($A198,Pacientes!$B:$B,0)),"")</f>
      </c>
      <c r="F198" s="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>
        <f>"1. Evolução Clínica"&amp;CHAR(10)&amp;TEXTJOIN(" ",TRUE,"Paciente "&amp;G198&amp;", "&amp;IF(H198="","sem DVA","em uso de "&amp;H198)&amp;".",IF(I198&lt;&gt;"","Em "&amp;I198&amp;IF(J198&lt;&gt;""," ("&amp;J198&amp;")","")&amp;IF(K198&lt;&gt;"", ", "&amp;K198,"")&amp;IF(L198&lt;&gt;"", ", sob analgosedação com "&amp;L198,"")&amp;".",""),IF(M198&lt;&gt;"","Dieta "&amp;M198&amp;IF(N198&lt;&gt;"", ", com "&amp;LOWER(N198),"")&amp;IF(O198&lt;&gt;"", " — "&amp;O198,"")&amp;".",""),IF(P198="Febre","Apresentou episódio febril nas últimas 24h"&amp;IF(Q198&lt;&gt;""," ("&amp;Q198&amp;")","")&amp;".",IF(P198="Afebril","Encontra-se afebril.","")),IF(R198&lt;&gt;"",IF(S198="Sim","Apresenta disfunção renal aguda ","Função renal preservada ")&amp;"("&amp;R198&amp;").",""),IF(T198&lt;&gt;"","Em uso do esquema antimicrobiano com "&amp;T198&amp;".",""),IF(U198&lt;&gt;"","Em uso de profilaxia: "&amp;U198&amp;".",""))&amp;CHAR(10)&amp;CHAR(10)&amp;"2. Farmacoterapia"&amp;CHAR(10)&amp;IF(V198&lt;&gt;"","Corticoide/DART: "&amp;V198,"Sem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("&amp;Intervenções!$G$2:$G$500&amp;")",(Intervenções!$B$2:$B$500=A198)*(Intervenções!$A$2:$A$500=F198))),"Nenhuma intervenção registrada hoje.")&amp;CHAR(10)&amp;CHAR(10)&amp;"4. Plano Terapêutico"&amp;CHAR(10)&amp;IF(W198&lt;&gt;"",W198,"Não definido.")</f>
      </c>
    </row>
    <row r="199" spans="1:24" x14ac:dyDescent="0.25">
      <c r="A199" s="6"/>
      <c r="B199" s="9">
        <f>IFERROR(INDEX(Pacientes!$A:$A,MATCH($A199,Pacientes!$B:$B,0)),"")</f>
      </c>
      <c r="C199" s="9">
        <f>IFERROR(INDEX(Pacientes!$C:$C,MATCH($A199,Pacientes!$B:$B,0)),"")</f>
      </c>
      <c r="D199" s="9">
        <f>IFERROR(INDEX(Pacientes!$D:$D,MATCH($A199,Pacientes!$B:$B,0)),"")</f>
      </c>
      <c r="E199" s="9">
        <f>IFERROR(INDEX(Pacientes!$E:$E,MATCH($A199,Pacientes!$B:$B,0)),"")</f>
      </c>
      <c r="F199" s="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>
        <f>"1. Evolução Clínica"&amp;CHAR(10)&amp;TEXTJOIN(" ",TRUE,"Paciente "&amp;G199&amp;", "&amp;IF(H199="","sem DVA","em uso de "&amp;H199)&amp;".",IF(I199&lt;&gt;"","Em "&amp;I199&amp;IF(J199&lt;&gt;""," ("&amp;J199&amp;")","")&amp;IF(K199&lt;&gt;"", ", "&amp;K199,"")&amp;IF(L199&lt;&gt;"", ", sob analgosedação com "&amp;L199,"")&amp;".",""),IF(M199&lt;&gt;"","Dieta "&amp;M199&amp;IF(N199&lt;&gt;"", ", com "&amp;LOWER(N199),"")&amp;IF(O199&lt;&gt;"", " — "&amp;O199,"")&amp;".",""),IF(P199="Febre","Apresentou episódio febril nas últimas 24h"&amp;IF(Q199&lt;&gt;""," ("&amp;Q199&amp;")","")&amp;".",IF(P199="Afebril","Encontra-se afebril.","")),IF(R199&lt;&gt;"",IF(S199="Sim","Apresenta disfunção renal aguda ","Função renal preservada ")&amp;"("&amp;R199&amp;").",""),IF(T199&lt;&gt;"","Em uso do esquema antimicrobiano com "&amp;T199&amp;".",""),IF(U199&lt;&gt;"","Em uso de profilaxia: "&amp;U199&amp;".",""))&amp;CHAR(10)&amp;CHAR(10)&amp;"2. Farmacoterapia"&amp;CHAR(10)&amp;IF(V199&lt;&gt;"","Corticoide/DART: "&amp;V199,"Sem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("&amp;Intervenções!$G$2:$G$500&amp;")",(Intervenções!$B$2:$B$500=A199)*(Intervenções!$A$2:$A$500=F199))),"Nenhuma intervenção registrada hoje.")&amp;CHAR(10)&amp;CHAR(10)&amp;"4. Plano Terapêutico"&amp;CHAR(10)&amp;IF(W199&lt;&gt;"",W199,"Não definido.")</f>
      </c>
    </row>
    <row r="200" spans="1:24" x14ac:dyDescent="0.25">
      <c r="A200" s="6"/>
      <c r="B200" s="9">
        <f>IFERROR(INDEX(Pacientes!$A:$A,MATCH($A200,Pacientes!$B:$B,0)),"")</f>
      </c>
      <c r="C200" s="9">
        <f>IFERROR(INDEX(Pacientes!$C:$C,MATCH($A200,Pacientes!$B:$B,0)),"")</f>
      </c>
      <c r="D200" s="9">
        <f>IFERROR(INDEX(Pacientes!$D:$D,MATCH($A200,Pacientes!$B:$B,0)),"")</f>
      </c>
      <c r="E200" s="9">
        <f>IFERROR(INDEX(Pacientes!$E:$E,MATCH($A200,Pacientes!$B:$B,0)),"")</f>
      </c>
      <c r="F200" s="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>
        <f>"1. Evolução Clínica"&amp;CHAR(10)&amp;TEXTJOIN(" ",TRUE,"Paciente "&amp;G200&amp;", "&amp;IF(H200="","sem DVA","em uso de "&amp;H200)&amp;".",IF(I200&lt;&gt;"","Em "&amp;I200&amp;IF(J200&lt;&gt;""," ("&amp;J200&amp;")","")&amp;IF(K200&lt;&gt;"", ", "&amp;K200,"")&amp;IF(L200&lt;&gt;"", ", sob analgosedação com "&amp;L200,"")&amp;".",""),IF(M200&lt;&gt;"","Dieta "&amp;M200&amp;IF(N200&lt;&gt;"", ", com "&amp;LOWER(N200),"")&amp;IF(O200&lt;&gt;"", " — "&amp;O200,"")&amp;".",""),IF(P200="Febre","Apresentou episódio febril nas últimas 24h"&amp;IF(Q200&lt;&gt;""," ("&amp;Q200&amp;")","")&amp;".",IF(P200="Afebril","Encontra-se afebril.","")),IF(R200&lt;&gt;"",IF(S200="Sim","Apresenta disfunção renal aguda ","Função renal preservada ")&amp;"("&amp;R200&amp;").",""),IF(T200&lt;&gt;"","Em uso do esquema antimicrobiano com "&amp;T200&amp;".",""),IF(U200&lt;&gt;"","Em uso de profilaxia: "&amp;U200&amp;".",""))&amp;CHAR(10)&amp;CHAR(10)&amp;"2. Farmacoterapia"&amp;CHAR(10)&amp;IF(V200&lt;&gt;"","Corticoide/DART: "&amp;V200,"Sem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("&amp;Intervenções!$G$2:$G$500&amp;")",(Intervenções!$B$2:$B$500=A200)*(Intervenções!$A$2:$A$500=F200))),"Nenhuma intervenção registrada hoje.")&amp;CHAR(10)&amp;CHAR(10)&amp;"4. Plano Terapêutico"&amp;CHAR(10)&amp;IF(W200&lt;&gt;"",W200,"Não definido.")</f>
      </c>
    </row>
    <row r="201" spans="1:24" x14ac:dyDescent="0.25">
      <c r="A201" s="6"/>
      <c r="B201" s="9">
        <f>IFERROR(INDEX(Pacientes!$A:$A,MATCH($A201,Pacientes!$B:$B,0)),"")</f>
      </c>
      <c r="C201" s="9">
        <f>IFERROR(INDEX(Pacientes!$C:$C,MATCH($A201,Pacientes!$B:$B,0)),"")</f>
      </c>
      <c r="D201" s="9">
        <f>IFERROR(INDEX(Pacientes!$D:$D,MATCH($A201,Pacientes!$B:$B,0)),"")</f>
      </c>
      <c r="E201" s="9">
        <f>IFERROR(INDEX(Pacientes!$E:$E,MATCH($A201,Pacientes!$B:$B,0)),"")</f>
      </c>
      <c r="F201" s="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>
        <f>"1. Evolução Clínica"&amp;CHAR(10)&amp;TEXTJOIN(" ",TRUE,"Paciente "&amp;G201&amp;", "&amp;IF(H201="","sem DVA","em uso de "&amp;H201)&amp;".",IF(I201&lt;&gt;"","Em "&amp;I201&amp;IF(J201&lt;&gt;""," ("&amp;J201&amp;")","")&amp;IF(K201&lt;&gt;"", ", "&amp;K201,"")&amp;IF(L201&lt;&gt;"", ", sob analgosedação com "&amp;L201,"")&amp;".",""),IF(M201&lt;&gt;"","Dieta "&amp;M201&amp;IF(N201&lt;&gt;"", ", com "&amp;LOWER(N201),"")&amp;IF(O201&lt;&gt;"", " — "&amp;O201,"")&amp;".",""),IF(P201="Febre","Apresentou episódio febril nas últimas 24h"&amp;IF(Q201&lt;&gt;""," ("&amp;Q201&amp;")","")&amp;".",IF(P201="Afebril","Encontra-se afebril.","")),IF(R201&lt;&gt;"",IF(S201="Sim","Apresenta disfunção renal aguda ","Função renal preservada ")&amp;"("&amp;R201&amp;").",""),IF(T201&lt;&gt;"","Em uso do esquema antimicrobiano com "&amp;T201&amp;".",""),IF(U201&lt;&gt;"","Em uso de profilaxia: "&amp;U201&amp;".",""))&amp;CHAR(10)&amp;CHAR(10)&amp;"2. Farmacoterapia"&amp;CHAR(10)&amp;IF(V201&lt;&gt;"","Corticoide/DART: "&amp;V201,"Sem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("&amp;Intervenções!$G$2:$G$500&amp;")",(Intervenções!$B$2:$B$500=A201)*(Intervenções!$A$2:$A$500=F201))),"Nenhuma intervenção registrada hoje.")&amp;CHAR(10)&amp;CHAR(10)&amp;"4. Plano Terapêutico"&amp;CHAR(10)&amp;IF(W201&lt;&gt;"",W201,"Não definido.")</f>
      </c>
    </row>
    <row r="202" spans="1:24" x14ac:dyDescent="0.25">
      <c r="A202" s="6"/>
      <c r="B202" s="9">
        <f>IFERROR(INDEX(Pacientes!$A:$A,MATCH($A202,Pacientes!$B:$B,0)),"")</f>
      </c>
      <c r="C202" s="9">
        <f>IFERROR(INDEX(Pacientes!$C:$C,MATCH($A202,Pacientes!$B:$B,0)),"")</f>
      </c>
      <c r="D202" s="9">
        <f>IFERROR(INDEX(Pacientes!$D:$D,MATCH($A202,Pacientes!$B:$B,0)),"")</f>
      </c>
      <c r="E202" s="9">
        <f>IFERROR(INDEX(Pacientes!$E:$E,MATCH($A202,Pacientes!$B:$B,0)),"")</f>
      </c>
      <c r="F202" s="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>
        <f>"1. Evolução Clínica"&amp;CHAR(10)&amp;TEXTJOIN(" ",TRUE,"Paciente "&amp;G202&amp;", "&amp;IF(H202="","sem DVA","em uso de "&amp;H202)&amp;".",IF(I202&lt;&gt;"","Em "&amp;I202&amp;IF(J202&lt;&gt;""," ("&amp;J202&amp;")","")&amp;IF(K202&lt;&gt;"", ", "&amp;K202,"")&amp;IF(L202&lt;&gt;"", ", sob analgosedação com "&amp;L202,"")&amp;".",""),IF(M202&lt;&gt;"","Dieta "&amp;M202&amp;IF(N202&lt;&gt;"", ", com "&amp;LOWER(N202),"")&amp;IF(O202&lt;&gt;"", " — "&amp;O202,"")&amp;".",""),IF(P202="Febre","Apresentou episódio febril nas últimas 24h"&amp;IF(Q202&lt;&gt;""," ("&amp;Q202&amp;")","")&amp;".",IF(P202="Afebril","Encontra-se afebril.","")),IF(R202&lt;&gt;"",IF(S202="Sim","Apresenta disfunção renal aguda ","Função renal preservada ")&amp;"("&amp;R202&amp;").",""),IF(T202&lt;&gt;"","Em uso do esquema antimicrobiano com "&amp;T202&amp;".",""),IF(U202&lt;&gt;"","Em uso de profilaxia: "&amp;U202&amp;".",""))&amp;CHAR(10)&amp;CHAR(10)&amp;"2. Farmacoterapia"&amp;CHAR(10)&amp;IF(V202&lt;&gt;"","Corticoide/DART: "&amp;V202,"Sem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("&amp;Intervenções!$G$2:$G$500&amp;")",(Intervenções!$B$2:$B$500=A202)*(Intervenções!$A$2:$A$500=F202))),"Nenhuma intervenção registrada hoje.")&amp;CHAR(10)&amp;CHAR(10)&amp;"4. Plano Terapêutico"&amp;CHAR(10)&amp;IF(W202&lt;&gt;"",W202,"Não definido.")</f>
      </c>
    </row>
    <row r="203" spans="1:24" x14ac:dyDescent="0.25">
      <c r="A203" s="6"/>
      <c r="B203" s="9">
        <f>IFERROR(INDEX(Pacientes!$A:$A,MATCH($A203,Pacientes!$B:$B,0)),"")</f>
      </c>
      <c r="C203" s="9">
        <f>IFERROR(INDEX(Pacientes!$C:$C,MATCH($A203,Pacientes!$B:$B,0)),"")</f>
      </c>
      <c r="D203" s="9">
        <f>IFERROR(INDEX(Pacientes!$D:$D,MATCH($A203,Pacientes!$B:$B,0)),"")</f>
      </c>
      <c r="E203" s="9">
        <f>IFERROR(INDEX(Pacientes!$E:$E,MATCH($A203,Pacientes!$B:$B,0)),"")</f>
      </c>
      <c r="F203" s="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>
        <f>"1. Evolução Clínica"&amp;CHAR(10)&amp;TEXTJOIN(" ",TRUE,"Paciente "&amp;G203&amp;", "&amp;IF(H203="","sem DVA","em uso de "&amp;H203)&amp;".",IF(I203&lt;&gt;"","Em "&amp;I203&amp;IF(J203&lt;&gt;""," ("&amp;J203&amp;")","")&amp;IF(K203&lt;&gt;"", ", "&amp;K203,"")&amp;IF(L203&lt;&gt;"", ", sob analgosedação com "&amp;L203,"")&amp;".",""),IF(M203&lt;&gt;"","Dieta "&amp;M203&amp;IF(N203&lt;&gt;"", ", com "&amp;LOWER(N203),"")&amp;IF(O203&lt;&gt;"", " — "&amp;O203,"")&amp;".",""),IF(P203="Febre","Apresentou episódio febril nas últimas 24h"&amp;IF(Q203&lt;&gt;""," ("&amp;Q203&amp;")","")&amp;".",IF(P203="Afebril","Encontra-se afebril.","")),IF(R203&lt;&gt;"",IF(S203="Sim","Apresenta disfunção renal aguda ","Função renal preservada ")&amp;"("&amp;R203&amp;").",""),IF(T203&lt;&gt;"","Em uso do esquema antimicrobiano com "&amp;T203&amp;".",""),IF(U203&lt;&gt;"","Em uso de profilaxia: "&amp;U203&amp;".",""))&amp;CHAR(10)&amp;CHAR(10)&amp;"2. Farmacoterapia"&amp;CHAR(10)&amp;IF(V203&lt;&gt;"","Corticoide/DART: "&amp;V203,"Sem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("&amp;Intervenções!$G$2:$G$500&amp;")",(Intervenções!$B$2:$B$500=A203)*(Intervenções!$A$2:$A$500=F203))),"Nenhuma intervenção registrada hoje.")&amp;CHAR(10)&amp;CHAR(10)&amp;"4. Plano Terapêutico"&amp;CHAR(10)&amp;IF(W203&lt;&gt;"",W203,"Não definido.")</f>
      </c>
    </row>
    <row r="204" spans="1:24" x14ac:dyDescent="0.25">
      <c r="A204" s="6"/>
      <c r="B204" s="9">
        <f>IFERROR(INDEX(Pacientes!$A:$A,MATCH($A204,Pacientes!$B:$B,0)),"")</f>
      </c>
      <c r="C204" s="9">
        <f>IFERROR(INDEX(Pacientes!$C:$C,MATCH($A204,Pacientes!$B:$B,0)),"")</f>
      </c>
      <c r="D204" s="9">
        <f>IFERROR(INDEX(Pacientes!$D:$D,MATCH($A204,Pacientes!$B:$B,0)),"")</f>
      </c>
      <c r="E204" s="9">
        <f>IFERROR(INDEX(Pacientes!$E:$E,MATCH($A204,Pacientes!$B:$B,0)),"")</f>
      </c>
      <c r="F204" s="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>
        <f>"1. Evolução Clínica"&amp;CHAR(10)&amp;TEXTJOIN(" ",TRUE,"Paciente "&amp;G204&amp;", "&amp;IF(H204="","sem DVA","em uso de "&amp;H204)&amp;".",IF(I204&lt;&gt;"","Em "&amp;I204&amp;IF(J204&lt;&gt;""," ("&amp;J204&amp;")","")&amp;IF(K204&lt;&gt;"", ", "&amp;K204,"")&amp;IF(L204&lt;&gt;"", ", sob analgosedação com "&amp;L204,"")&amp;".",""),IF(M204&lt;&gt;"","Dieta "&amp;M204&amp;IF(N204&lt;&gt;"", ", com "&amp;LOWER(N204),"")&amp;IF(O204&lt;&gt;"", " — "&amp;O204,"")&amp;".",""),IF(P204="Febre","Apresentou episódio febril nas últimas 24h"&amp;IF(Q204&lt;&gt;""," ("&amp;Q204&amp;")","")&amp;".",IF(P204="Afebril","Encontra-se afebril.","")),IF(R204&lt;&gt;"",IF(S204="Sim","Apresenta disfunção renal aguda ","Função renal preservada ")&amp;"("&amp;R204&amp;").",""),IF(T204&lt;&gt;"","Em uso do esquema antimicrobiano com "&amp;T204&amp;".",""),IF(U204&lt;&gt;"","Em uso de profilaxia: "&amp;U204&amp;".",""))&amp;CHAR(10)&amp;CHAR(10)&amp;"2. Farmacoterapia"&amp;CHAR(10)&amp;IF(V204&lt;&gt;"","Corticoide/DART: "&amp;V204,"Sem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("&amp;Intervenções!$G$2:$G$500&amp;")",(Intervenções!$B$2:$B$500=A204)*(Intervenções!$A$2:$A$500=F204))),"Nenhuma intervenção registrada hoje.")&amp;CHAR(10)&amp;CHAR(10)&amp;"4. Plano Terapêutico"&amp;CHAR(10)&amp;IF(W204&lt;&gt;"",W204,"Não definido.")</f>
      </c>
    </row>
    <row r="205" spans="1:24" x14ac:dyDescent="0.25">
      <c r="A205" s="6"/>
      <c r="B205" s="9">
        <f>IFERROR(INDEX(Pacientes!$A:$A,MATCH($A205,Pacientes!$B:$B,0)),"")</f>
      </c>
      <c r="C205" s="9">
        <f>IFERROR(INDEX(Pacientes!$C:$C,MATCH($A205,Pacientes!$B:$B,0)),"")</f>
      </c>
      <c r="D205" s="9">
        <f>IFERROR(INDEX(Pacientes!$D:$D,MATCH($A205,Pacientes!$B:$B,0)),"")</f>
      </c>
      <c r="E205" s="9">
        <f>IFERROR(INDEX(Pacientes!$E:$E,MATCH($A205,Pacientes!$B:$B,0)),"")</f>
      </c>
      <c r="F205" s="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>
        <f>"1. Evolução Clínica"&amp;CHAR(10)&amp;TEXTJOIN(" ",TRUE,"Paciente "&amp;G205&amp;", "&amp;IF(H205="","sem DVA","em uso de "&amp;H205)&amp;".",IF(I205&lt;&gt;"","Em "&amp;I205&amp;IF(J205&lt;&gt;""," ("&amp;J205&amp;")","")&amp;IF(K205&lt;&gt;"", ", "&amp;K205,"")&amp;IF(L205&lt;&gt;"", ", sob analgosedação com "&amp;L205,"")&amp;".",""),IF(M205&lt;&gt;"","Dieta "&amp;M205&amp;IF(N205&lt;&gt;"", ", com "&amp;LOWER(N205),"")&amp;IF(O205&lt;&gt;"", " — "&amp;O205,"")&amp;".",""),IF(P205="Febre","Apresentou episódio febril nas últimas 24h"&amp;IF(Q205&lt;&gt;""," ("&amp;Q205&amp;")","")&amp;".",IF(P205="Afebril","Encontra-se afebril.","")),IF(R205&lt;&gt;"",IF(S205="Sim","Apresenta disfunção renal aguda ","Função renal preservada ")&amp;"("&amp;R205&amp;").",""),IF(T205&lt;&gt;"","Em uso do esquema antimicrobiano com "&amp;T205&amp;".",""),IF(U205&lt;&gt;"","Em uso de profilaxia: "&amp;U205&amp;".",""))&amp;CHAR(10)&amp;CHAR(10)&amp;"2. Farmacoterapia"&amp;CHAR(10)&amp;IF(V205&lt;&gt;"","Corticoide/DART: "&amp;V205,"Sem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("&amp;Intervenções!$G$2:$G$500&amp;")",(Intervenções!$B$2:$B$500=A205)*(Intervenções!$A$2:$A$500=F205))),"Nenhuma intervenção registrada hoje.")&amp;CHAR(10)&amp;CHAR(10)&amp;"4. Plano Terapêutico"&amp;CHAR(10)&amp;IF(W205&lt;&gt;"",W205,"Não definido.")</f>
      </c>
    </row>
    <row r="206" spans="1:24" x14ac:dyDescent="0.25">
      <c r="A206" s="6"/>
      <c r="B206" s="9">
        <f>IFERROR(INDEX(Pacientes!$A:$A,MATCH($A206,Pacientes!$B:$B,0)),"")</f>
      </c>
      <c r="C206" s="9">
        <f>IFERROR(INDEX(Pacientes!$C:$C,MATCH($A206,Pacientes!$B:$B,0)),"")</f>
      </c>
      <c r="D206" s="9">
        <f>IFERROR(INDEX(Pacientes!$D:$D,MATCH($A206,Pacientes!$B:$B,0)),"")</f>
      </c>
      <c r="E206" s="9">
        <f>IFERROR(INDEX(Pacientes!$E:$E,MATCH($A206,Pacientes!$B:$B,0)),"")</f>
      </c>
      <c r="F206" s="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>
        <f>"1. Evolução Clínica"&amp;CHAR(10)&amp;TEXTJOIN(" ",TRUE,"Paciente "&amp;G206&amp;", "&amp;IF(H206="","sem DVA","em uso de "&amp;H206)&amp;".",IF(I206&lt;&gt;"","Em "&amp;I206&amp;IF(J206&lt;&gt;""," ("&amp;J206&amp;")","")&amp;IF(K206&lt;&gt;"", ", "&amp;K206,"")&amp;IF(L206&lt;&gt;"", ", sob analgosedação com "&amp;L206,"")&amp;".",""),IF(M206&lt;&gt;"","Dieta "&amp;M206&amp;IF(N206&lt;&gt;"", ", com "&amp;LOWER(N206),"")&amp;IF(O206&lt;&gt;"", " — "&amp;O206,"")&amp;".",""),IF(P206="Febre","Apresentou episódio febril nas últimas 24h"&amp;IF(Q206&lt;&gt;""," ("&amp;Q206&amp;")","")&amp;".",IF(P206="Afebril","Encontra-se afebril.","")),IF(R206&lt;&gt;"",IF(S206="Sim","Apresenta disfunção renal aguda ","Função renal preservada ")&amp;"("&amp;R206&amp;").",""),IF(T206&lt;&gt;"","Em uso do esquema antimicrobiano com "&amp;T206&amp;".",""),IF(U206&lt;&gt;"","Em uso de profilaxia: "&amp;U206&amp;".",""))&amp;CHAR(10)&amp;CHAR(10)&amp;"2. Farmacoterapia"&amp;CHAR(10)&amp;IF(V206&lt;&gt;"","Corticoide/DART: "&amp;V206,"Sem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("&amp;Intervenções!$G$2:$G$500&amp;")",(Intervenções!$B$2:$B$500=A206)*(Intervenções!$A$2:$A$500=F206))),"Nenhuma intervenção registrada hoje.")&amp;CHAR(10)&amp;CHAR(10)&amp;"4. Plano Terapêutico"&amp;CHAR(10)&amp;IF(W206&lt;&gt;"",W206,"Não definido.")</f>
      </c>
    </row>
    <row r="207" spans="1:24" x14ac:dyDescent="0.25">
      <c r="A207" s="6"/>
      <c r="B207" s="9">
        <f>IFERROR(INDEX(Pacientes!$A:$A,MATCH($A207,Pacientes!$B:$B,0)),"")</f>
      </c>
      <c r="C207" s="9">
        <f>IFERROR(INDEX(Pacientes!$C:$C,MATCH($A207,Pacientes!$B:$B,0)),"")</f>
      </c>
      <c r="D207" s="9">
        <f>IFERROR(INDEX(Pacientes!$D:$D,MATCH($A207,Pacientes!$B:$B,0)),"")</f>
      </c>
      <c r="E207" s="9">
        <f>IFERROR(INDEX(Pacientes!$E:$E,MATCH($A207,Pacientes!$B:$B,0)),"")</f>
      </c>
      <c r="F207" s="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>
        <f>"1. Evolução Clínica"&amp;CHAR(10)&amp;TEXTJOIN(" ",TRUE,"Paciente "&amp;G207&amp;", "&amp;IF(H207="","sem DVA","em uso de "&amp;H207)&amp;".",IF(I207&lt;&gt;"","Em "&amp;I207&amp;IF(J207&lt;&gt;""," ("&amp;J207&amp;")","")&amp;IF(K207&lt;&gt;"", ", "&amp;K207,"")&amp;IF(L207&lt;&gt;"", ", sob analgosedação com "&amp;L207,"")&amp;".",""),IF(M207&lt;&gt;"","Dieta "&amp;M207&amp;IF(N207&lt;&gt;"", ", com "&amp;LOWER(N207),"")&amp;IF(O207&lt;&gt;"", " — "&amp;O207,"")&amp;".",""),IF(P207="Febre","Apresentou episódio febril nas últimas 24h"&amp;IF(Q207&lt;&gt;""," ("&amp;Q207&amp;")","")&amp;".",IF(P207="Afebril","Encontra-se afebril.","")),IF(R207&lt;&gt;"",IF(S207="Sim","Apresenta disfunção renal aguda ","Função renal preservada ")&amp;"("&amp;R207&amp;").",""),IF(T207&lt;&gt;"","Em uso do esquema antimicrobiano com "&amp;T207&amp;".",""),IF(U207&lt;&gt;"","Em uso de profilaxia: "&amp;U207&amp;".",""))&amp;CHAR(10)&amp;CHAR(10)&amp;"2. Farmacoterapia"&amp;CHAR(10)&amp;IF(V207&lt;&gt;"","Corticoide/DART: "&amp;V207,"Sem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("&amp;Intervenções!$G$2:$G$500&amp;")",(Intervenções!$B$2:$B$500=A207)*(Intervenções!$A$2:$A$500=F207))),"Nenhuma intervenção registrada hoje.")&amp;CHAR(10)&amp;CHAR(10)&amp;"4. Plano Terapêutico"&amp;CHAR(10)&amp;IF(W207&lt;&gt;"",W207,"Não definido.")</f>
      </c>
    </row>
    <row r="208" spans="1:24" x14ac:dyDescent="0.25">
      <c r="A208" s="6"/>
      <c r="B208" s="9">
        <f>IFERROR(INDEX(Pacientes!$A:$A,MATCH($A208,Pacientes!$B:$B,0)),"")</f>
      </c>
      <c r="C208" s="9">
        <f>IFERROR(INDEX(Pacientes!$C:$C,MATCH($A208,Pacientes!$B:$B,0)),"")</f>
      </c>
      <c r="D208" s="9">
        <f>IFERROR(INDEX(Pacientes!$D:$D,MATCH($A208,Pacientes!$B:$B,0)),"")</f>
      </c>
      <c r="E208" s="9">
        <f>IFERROR(INDEX(Pacientes!$E:$E,MATCH($A208,Pacientes!$B:$B,0)),"")</f>
      </c>
      <c r="F208" s="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>
        <f>"1. Evolução Clínica"&amp;CHAR(10)&amp;TEXTJOIN(" ",TRUE,"Paciente "&amp;G208&amp;", "&amp;IF(H208="","sem DVA","em uso de "&amp;H208)&amp;".",IF(I208&lt;&gt;"","Em "&amp;I208&amp;IF(J208&lt;&gt;""," ("&amp;J208&amp;")","")&amp;IF(K208&lt;&gt;"", ", "&amp;K208,"")&amp;IF(L208&lt;&gt;"", ", sob analgosedação com "&amp;L208,"")&amp;".",""),IF(M208&lt;&gt;"","Dieta "&amp;M208&amp;IF(N208&lt;&gt;"", ", com "&amp;LOWER(N208),"")&amp;IF(O208&lt;&gt;"", " — "&amp;O208,"")&amp;".",""),IF(P208="Febre","Apresentou episódio febril nas últimas 24h"&amp;IF(Q208&lt;&gt;""," ("&amp;Q208&amp;")","")&amp;".",IF(P208="Afebril","Encontra-se afebril.","")),IF(R208&lt;&gt;"",IF(S208="Sim","Apresenta disfunção renal aguda ","Função renal preservada ")&amp;"("&amp;R208&amp;").",""),IF(T208&lt;&gt;"","Em uso do esquema antimicrobiano com "&amp;T208&amp;".",""),IF(U208&lt;&gt;"","Em uso de profilaxia: "&amp;U208&amp;".",""))&amp;CHAR(10)&amp;CHAR(10)&amp;"2. Farmacoterapia"&amp;CHAR(10)&amp;IF(V208&lt;&gt;"","Corticoide/DART: "&amp;V208,"Sem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("&amp;Intervenções!$G$2:$G$500&amp;")",(Intervenções!$B$2:$B$500=A208)*(Intervenções!$A$2:$A$500=F208))),"Nenhuma intervenção registrada hoje.")&amp;CHAR(10)&amp;CHAR(10)&amp;"4. Plano Terapêutico"&amp;CHAR(10)&amp;IF(W208&lt;&gt;"",W208,"Não definido.")</f>
      </c>
    </row>
    <row r="209" spans="1:24" x14ac:dyDescent="0.25">
      <c r="A209" s="6"/>
      <c r="B209" s="9">
        <f>IFERROR(INDEX(Pacientes!$A:$A,MATCH($A209,Pacientes!$B:$B,0)),"")</f>
      </c>
      <c r="C209" s="9">
        <f>IFERROR(INDEX(Pacientes!$C:$C,MATCH($A209,Pacientes!$B:$B,0)),"")</f>
      </c>
      <c r="D209" s="9">
        <f>IFERROR(INDEX(Pacientes!$D:$D,MATCH($A209,Pacientes!$B:$B,0)),"")</f>
      </c>
      <c r="E209" s="9">
        <f>IFERROR(INDEX(Pacientes!$E:$E,MATCH($A209,Pacientes!$B:$B,0)),"")</f>
      </c>
      <c r="F209" s="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>
        <f>"1. Evolução Clínica"&amp;CHAR(10)&amp;TEXTJOIN(" ",TRUE,"Paciente "&amp;G209&amp;", "&amp;IF(H209="","sem DVA","em uso de "&amp;H209)&amp;".",IF(I209&lt;&gt;"","Em "&amp;I209&amp;IF(J209&lt;&gt;""," ("&amp;J209&amp;")","")&amp;IF(K209&lt;&gt;"", ", "&amp;K209,"")&amp;IF(L209&lt;&gt;"", ", sob analgosedação com "&amp;L209,"")&amp;".",""),IF(M209&lt;&gt;"","Dieta "&amp;M209&amp;IF(N209&lt;&gt;"", ", com "&amp;LOWER(N209),"")&amp;IF(O209&lt;&gt;"", " — "&amp;O209,"")&amp;".",""),IF(P209="Febre","Apresentou episódio febril nas últimas 24h"&amp;IF(Q209&lt;&gt;""," ("&amp;Q209&amp;")","")&amp;".",IF(P209="Afebril","Encontra-se afebril.","")),IF(R209&lt;&gt;"",IF(S209="Sim","Apresenta disfunção renal aguda ","Função renal preservada ")&amp;"("&amp;R209&amp;").",""),IF(T209&lt;&gt;"","Em uso do esquema antimicrobiano com "&amp;T209&amp;".",""),IF(U209&lt;&gt;"","Em uso de profilaxia: "&amp;U209&amp;".",""))&amp;CHAR(10)&amp;CHAR(10)&amp;"2. Farmacoterapia"&amp;CHAR(10)&amp;IF(V209&lt;&gt;"","Corticoide/DART: "&amp;V209,"Sem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("&amp;Intervenções!$G$2:$G$500&amp;")",(Intervenções!$B$2:$B$500=A209)*(Intervenções!$A$2:$A$500=F209))),"Nenhuma intervenção registrada hoje.")&amp;CHAR(10)&amp;CHAR(10)&amp;"4. Plano Terapêutico"&amp;CHAR(10)&amp;IF(W209&lt;&gt;"",W209,"Não definido.")</f>
      </c>
    </row>
    <row r="210" spans="1:24" x14ac:dyDescent="0.25">
      <c r="A210" s="6"/>
      <c r="B210" s="9">
        <f>IFERROR(INDEX(Pacientes!$A:$A,MATCH($A210,Pacientes!$B:$B,0)),"")</f>
      </c>
      <c r="C210" s="9">
        <f>IFERROR(INDEX(Pacientes!$C:$C,MATCH($A210,Pacientes!$B:$B,0)),"")</f>
      </c>
      <c r="D210" s="9">
        <f>IFERROR(INDEX(Pacientes!$D:$D,MATCH($A210,Pacientes!$B:$B,0)),"")</f>
      </c>
      <c r="E210" s="9">
        <f>IFERROR(INDEX(Pacientes!$E:$E,MATCH($A210,Pacientes!$B:$B,0)),"")</f>
      </c>
      <c r="F210" s="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>
        <f>"1. Evolução Clínica"&amp;CHAR(10)&amp;TEXTJOIN(" ",TRUE,"Paciente "&amp;G210&amp;", "&amp;IF(H210="","sem DVA","em uso de "&amp;H210)&amp;".",IF(I210&lt;&gt;"","Em "&amp;I210&amp;IF(J210&lt;&gt;""," ("&amp;J210&amp;")","")&amp;IF(K210&lt;&gt;"", ", "&amp;K210,"")&amp;IF(L210&lt;&gt;"", ", sob analgosedação com "&amp;L210,"")&amp;".",""),IF(M210&lt;&gt;"","Dieta "&amp;M210&amp;IF(N210&lt;&gt;"", ", com "&amp;LOWER(N210),"")&amp;IF(O210&lt;&gt;"", " — "&amp;O210,"")&amp;".",""),IF(P210="Febre","Apresentou episódio febril nas últimas 24h"&amp;IF(Q210&lt;&gt;""," ("&amp;Q210&amp;")","")&amp;".",IF(P210="Afebril","Encontra-se afebril.","")),IF(R210&lt;&gt;"",IF(S210="Sim","Apresenta disfunção renal aguda ","Função renal preservada ")&amp;"("&amp;R210&amp;").",""),IF(T210&lt;&gt;"","Em uso do esquema antimicrobiano com "&amp;T210&amp;".",""),IF(U210&lt;&gt;"","Em uso de profilaxia: "&amp;U210&amp;".",""))&amp;CHAR(10)&amp;CHAR(10)&amp;"2. Farmacoterapia"&amp;CHAR(10)&amp;IF(V210&lt;&gt;"","Corticoide/DART: "&amp;V210,"Sem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("&amp;Intervenções!$G$2:$G$500&amp;")",(Intervenções!$B$2:$B$500=A210)*(Intervenções!$A$2:$A$500=F210))),"Nenhuma intervenção registrada hoje.")&amp;CHAR(10)&amp;CHAR(10)&amp;"4. Plano Terapêutico"&amp;CHAR(10)&amp;IF(W210&lt;&gt;"",W210,"Não definido.")</f>
      </c>
    </row>
    <row r="211" spans="1:24" x14ac:dyDescent="0.25">
      <c r="A211" s="6"/>
      <c r="B211" s="9">
        <f>IFERROR(INDEX(Pacientes!$A:$A,MATCH($A211,Pacientes!$B:$B,0)),"")</f>
      </c>
      <c r="C211" s="9">
        <f>IFERROR(INDEX(Pacientes!$C:$C,MATCH($A211,Pacientes!$B:$B,0)),"")</f>
      </c>
      <c r="D211" s="9">
        <f>IFERROR(INDEX(Pacientes!$D:$D,MATCH($A211,Pacientes!$B:$B,0)),"")</f>
      </c>
      <c r="E211" s="9">
        <f>IFERROR(INDEX(Pacientes!$E:$E,MATCH($A211,Pacientes!$B:$B,0)),"")</f>
      </c>
      <c r="F211" s="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>
        <f>"1. Evolução Clínica"&amp;CHAR(10)&amp;TEXTJOIN(" ",TRUE,"Paciente "&amp;G211&amp;", "&amp;IF(H211="","sem DVA","em uso de "&amp;H211)&amp;".",IF(I211&lt;&gt;"","Em "&amp;I211&amp;IF(J211&lt;&gt;""," ("&amp;J211&amp;")","")&amp;IF(K211&lt;&gt;"", ", "&amp;K211,"")&amp;IF(L211&lt;&gt;"", ", sob analgosedação com "&amp;L211,"")&amp;".",""),IF(M211&lt;&gt;"","Dieta "&amp;M211&amp;IF(N211&lt;&gt;"", ", com "&amp;LOWER(N211),"")&amp;IF(O211&lt;&gt;"", " — "&amp;O211,"")&amp;".",""),IF(P211="Febre","Apresentou episódio febril nas últimas 24h"&amp;IF(Q211&lt;&gt;""," ("&amp;Q211&amp;")","")&amp;".",IF(P211="Afebril","Encontra-se afebril.","")),IF(R211&lt;&gt;"",IF(S211="Sim","Apresenta disfunção renal aguda ","Função renal preservada ")&amp;"("&amp;R211&amp;").",""),IF(T211&lt;&gt;"","Em uso do esquema antimicrobiano com "&amp;T211&amp;".",""),IF(U211&lt;&gt;"","Em uso de profilaxia: "&amp;U211&amp;".",""))&amp;CHAR(10)&amp;CHAR(10)&amp;"2. Farmacoterapia"&amp;CHAR(10)&amp;IF(V211&lt;&gt;"","Corticoide/DART: "&amp;V211,"Sem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("&amp;Intervenções!$G$2:$G$500&amp;")",(Intervenções!$B$2:$B$500=A211)*(Intervenções!$A$2:$A$500=F211))),"Nenhuma intervenção registrada hoje.")&amp;CHAR(10)&amp;CHAR(10)&amp;"4. Plano Terapêutico"&amp;CHAR(10)&amp;IF(W211&lt;&gt;"",W211,"Não definido.")</f>
      </c>
    </row>
    <row r="212" spans="1:24" x14ac:dyDescent="0.25">
      <c r="A212" s="6"/>
      <c r="B212" s="9">
        <f>IFERROR(INDEX(Pacientes!$A:$A,MATCH($A212,Pacientes!$B:$B,0)),"")</f>
      </c>
      <c r="C212" s="9">
        <f>IFERROR(INDEX(Pacientes!$C:$C,MATCH($A212,Pacientes!$B:$B,0)),"")</f>
      </c>
      <c r="D212" s="9">
        <f>IFERROR(INDEX(Pacientes!$D:$D,MATCH($A212,Pacientes!$B:$B,0)),"")</f>
      </c>
      <c r="E212" s="9">
        <f>IFERROR(INDEX(Pacientes!$E:$E,MATCH($A212,Pacientes!$B:$B,0)),"")</f>
      </c>
      <c r="F212" s="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>
        <f>"1. Evolução Clínica"&amp;CHAR(10)&amp;TEXTJOIN(" ",TRUE,"Paciente "&amp;G212&amp;", "&amp;IF(H212="","sem DVA","em uso de "&amp;H212)&amp;".",IF(I212&lt;&gt;"","Em "&amp;I212&amp;IF(J212&lt;&gt;""," ("&amp;J212&amp;")","")&amp;IF(K212&lt;&gt;"", ", "&amp;K212,"")&amp;IF(L212&lt;&gt;"", ", sob analgosedação com "&amp;L212,"")&amp;".",""),IF(M212&lt;&gt;"","Dieta "&amp;M212&amp;IF(N212&lt;&gt;"", ", com "&amp;LOWER(N212),"")&amp;IF(O212&lt;&gt;"", " — "&amp;O212,"")&amp;".",""),IF(P212="Febre","Apresentou episódio febril nas últimas 24h"&amp;IF(Q212&lt;&gt;""," ("&amp;Q212&amp;")","")&amp;".",IF(P212="Afebril","Encontra-se afebril.","")),IF(R212&lt;&gt;"",IF(S212="Sim","Apresenta disfunção renal aguda ","Função renal preservada ")&amp;"("&amp;R212&amp;").",""),IF(T212&lt;&gt;"","Em uso do esquema antimicrobiano com "&amp;T212&amp;".",""),IF(U212&lt;&gt;"","Em uso de profilaxia: "&amp;U212&amp;".",""))&amp;CHAR(10)&amp;CHAR(10)&amp;"2. Farmacoterapia"&amp;CHAR(10)&amp;IF(V212&lt;&gt;"","Corticoide/DART: "&amp;V212,"Sem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("&amp;Intervenções!$G$2:$G$500&amp;")",(Intervenções!$B$2:$B$500=A212)*(Intervenções!$A$2:$A$500=F212))),"Nenhuma intervenção registrada hoje.")&amp;CHAR(10)&amp;CHAR(10)&amp;"4. Plano Terapêutico"&amp;CHAR(10)&amp;IF(W212&lt;&gt;"",W212,"Não definido.")</f>
      </c>
    </row>
    <row r="213" spans="1:24" x14ac:dyDescent="0.25">
      <c r="A213" s="6"/>
      <c r="B213" s="9">
        <f>IFERROR(INDEX(Pacientes!$A:$A,MATCH($A213,Pacientes!$B:$B,0)),"")</f>
      </c>
      <c r="C213" s="9">
        <f>IFERROR(INDEX(Pacientes!$C:$C,MATCH($A213,Pacientes!$B:$B,0)),"")</f>
      </c>
      <c r="D213" s="9">
        <f>IFERROR(INDEX(Pacientes!$D:$D,MATCH($A213,Pacientes!$B:$B,0)),"")</f>
      </c>
      <c r="E213" s="9">
        <f>IFERROR(INDEX(Pacientes!$E:$E,MATCH($A213,Pacientes!$B:$B,0)),"")</f>
      </c>
      <c r="F213" s="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>
        <f>"1. Evolução Clínica"&amp;CHAR(10)&amp;TEXTJOIN(" ",TRUE,"Paciente "&amp;G213&amp;", "&amp;IF(H213="","sem DVA","em uso de "&amp;H213)&amp;".",IF(I213&lt;&gt;"","Em "&amp;I213&amp;IF(J213&lt;&gt;""," ("&amp;J213&amp;")","")&amp;IF(K213&lt;&gt;"", ", "&amp;K213,"")&amp;IF(L213&lt;&gt;"", ", sob analgosedação com "&amp;L213,"")&amp;".",""),IF(M213&lt;&gt;"","Dieta "&amp;M213&amp;IF(N213&lt;&gt;"", ", com "&amp;LOWER(N213),"")&amp;IF(O213&lt;&gt;"", " — "&amp;O213,"")&amp;".",""),IF(P213="Febre","Apresentou episódio febril nas últimas 24h"&amp;IF(Q213&lt;&gt;""," ("&amp;Q213&amp;")","")&amp;".",IF(P213="Afebril","Encontra-se afebril.","")),IF(R213&lt;&gt;"",IF(S213="Sim","Apresenta disfunção renal aguda ","Função renal preservada ")&amp;"("&amp;R213&amp;").",""),IF(T213&lt;&gt;"","Em uso do esquema antimicrobiano com "&amp;T213&amp;".",""),IF(U213&lt;&gt;"","Em uso de profilaxia: "&amp;U213&amp;".",""))&amp;CHAR(10)&amp;CHAR(10)&amp;"2. Farmacoterapia"&amp;CHAR(10)&amp;IF(V213&lt;&gt;"","Corticoide/DART: "&amp;V213,"Sem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("&amp;Intervenções!$G$2:$G$500&amp;")",(Intervenções!$B$2:$B$500=A213)*(Intervenções!$A$2:$A$500=F213))),"Nenhuma intervenção registrada hoje.")&amp;CHAR(10)&amp;CHAR(10)&amp;"4. Plano Terapêutico"&amp;CHAR(10)&amp;IF(W213&lt;&gt;"",W213,"Não definido.")</f>
      </c>
    </row>
    <row r="214" spans="1:24" x14ac:dyDescent="0.25">
      <c r="A214" s="6"/>
      <c r="B214" s="9">
        <f>IFERROR(INDEX(Pacientes!$A:$A,MATCH($A214,Pacientes!$B:$B,0)),"")</f>
      </c>
      <c r="C214" s="9">
        <f>IFERROR(INDEX(Pacientes!$C:$C,MATCH($A214,Pacientes!$B:$B,0)),"")</f>
      </c>
      <c r="D214" s="9">
        <f>IFERROR(INDEX(Pacientes!$D:$D,MATCH($A214,Pacientes!$B:$B,0)),"")</f>
      </c>
      <c r="E214" s="9">
        <f>IFERROR(INDEX(Pacientes!$E:$E,MATCH($A214,Pacientes!$B:$B,0)),"")</f>
      </c>
      <c r="F214" s="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>
        <f>"1. Evolução Clínica"&amp;CHAR(10)&amp;TEXTJOIN(" ",TRUE,"Paciente "&amp;G214&amp;", "&amp;IF(H214="","sem DVA","em uso de "&amp;H214)&amp;".",IF(I214&lt;&gt;"","Em "&amp;I214&amp;IF(J214&lt;&gt;""," ("&amp;J214&amp;")","")&amp;IF(K214&lt;&gt;"", ", "&amp;K214,"")&amp;IF(L214&lt;&gt;"", ", sob analgosedação com "&amp;L214,"")&amp;".",""),IF(M214&lt;&gt;"","Dieta "&amp;M214&amp;IF(N214&lt;&gt;"", ", com "&amp;LOWER(N214),"")&amp;IF(O214&lt;&gt;"", " — "&amp;O214,"")&amp;".",""),IF(P214="Febre","Apresentou episódio febril nas últimas 24h"&amp;IF(Q214&lt;&gt;""," ("&amp;Q214&amp;")","")&amp;".",IF(P214="Afebril","Encontra-se afebril.","")),IF(R214&lt;&gt;"",IF(S214="Sim","Apresenta disfunção renal aguda ","Função renal preservada ")&amp;"("&amp;R214&amp;").",""),IF(T214&lt;&gt;"","Em uso do esquema antimicrobiano com "&amp;T214&amp;".",""),IF(U214&lt;&gt;"","Em uso de profilaxia: "&amp;U214&amp;".",""))&amp;CHAR(10)&amp;CHAR(10)&amp;"2. Farmacoterapia"&amp;CHAR(10)&amp;IF(V214&lt;&gt;"","Corticoide/DART: "&amp;V214,"Sem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("&amp;Intervenções!$G$2:$G$500&amp;")",(Intervenções!$B$2:$B$500=A214)*(Intervenções!$A$2:$A$500=F214))),"Nenhuma intervenção registrada hoje.")&amp;CHAR(10)&amp;CHAR(10)&amp;"4. Plano Terapêutico"&amp;CHAR(10)&amp;IF(W214&lt;&gt;"",W214,"Não definido.")</f>
      </c>
    </row>
    <row r="215" spans="1:24" x14ac:dyDescent="0.25">
      <c r="A215" s="6"/>
      <c r="B215" s="9">
        <f>IFERROR(INDEX(Pacientes!$A:$A,MATCH($A215,Pacientes!$B:$B,0)),"")</f>
      </c>
      <c r="C215" s="9">
        <f>IFERROR(INDEX(Pacientes!$C:$C,MATCH($A215,Pacientes!$B:$B,0)),"")</f>
      </c>
      <c r="D215" s="9">
        <f>IFERROR(INDEX(Pacientes!$D:$D,MATCH($A215,Pacientes!$B:$B,0)),"")</f>
      </c>
      <c r="E215" s="9">
        <f>IFERROR(INDEX(Pacientes!$E:$E,MATCH($A215,Pacientes!$B:$B,0)),"")</f>
      </c>
      <c r="F215" s="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>
        <f>"1. Evolução Clínica"&amp;CHAR(10)&amp;TEXTJOIN(" ",TRUE,"Paciente "&amp;G215&amp;", "&amp;IF(H215="","sem DVA","em uso de "&amp;H215)&amp;".",IF(I215&lt;&gt;"","Em "&amp;I215&amp;IF(J215&lt;&gt;""," ("&amp;J215&amp;")","")&amp;IF(K215&lt;&gt;"", ", "&amp;K215,"")&amp;IF(L215&lt;&gt;"", ", sob analgosedação com "&amp;L215,"")&amp;".",""),IF(M215&lt;&gt;"","Dieta "&amp;M215&amp;IF(N215&lt;&gt;"", ", com "&amp;LOWER(N215),"")&amp;IF(O215&lt;&gt;"", " — "&amp;O215,"")&amp;".",""),IF(P215="Febre","Apresentou episódio febril nas últimas 24h"&amp;IF(Q215&lt;&gt;""," ("&amp;Q215&amp;")","")&amp;".",IF(P215="Afebril","Encontra-se afebril.","")),IF(R215&lt;&gt;"",IF(S215="Sim","Apresenta disfunção renal aguda ","Função renal preservada ")&amp;"("&amp;R215&amp;").",""),IF(T215&lt;&gt;"","Em uso do esquema antimicrobiano com "&amp;T215&amp;".",""),IF(U215&lt;&gt;"","Em uso de profilaxia: "&amp;U215&amp;".",""))&amp;CHAR(10)&amp;CHAR(10)&amp;"2. Farmacoterapia"&amp;CHAR(10)&amp;IF(V215&lt;&gt;"","Corticoide/DART: "&amp;V215,"Sem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("&amp;Intervenções!$G$2:$G$500&amp;")",(Intervenções!$B$2:$B$500=A215)*(Intervenções!$A$2:$A$500=F215))),"Nenhuma intervenção registrada hoje.")&amp;CHAR(10)&amp;CHAR(10)&amp;"4. Plano Terapêutico"&amp;CHAR(10)&amp;IF(W215&lt;&gt;"",W215,"Não definido.")</f>
      </c>
    </row>
    <row r="216" spans="1:24" x14ac:dyDescent="0.25">
      <c r="A216" s="6"/>
      <c r="B216" s="9">
        <f>IFERROR(INDEX(Pacientes!$A:$A,MATCH($A216,Pacientes!$B:$B,0)),"")</f>
      </c>
      <c r="C216" s="9">
        <f>IFERROR(INDEX(Pacientes!$C:$C,MATCH($A216,Pacientes!$B:$B,0)),"")</f>
      </c>
      <c r="D216" s="9">
        <f>IFERROR(INDEX(Pacientes!$D:$D,MATCH($A216,Pacientes!$B:$B,0)),"")</f>
      </c>
      <c r="E216" s="9">
        <f>IFERROR(INDEX(Pacientes!$E:$E,MATCH($A216,Pacientes!$B:$B,0)),"")</f>
      </c>
      <c r="F216" s="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>
        <f>"1. Evolução Clínica"&amp;CHAR(10)&amp;TEXTJOIN(" ",TRUE,"Paciente "&amp;G216&amp;", "&amp;IF(H216="","sem DVA","em uso de "&amp;H216)&amp;".",IF(I216&lt;&gt;"","Em "&amp;I216&amp;IF(J216&lt;&gt;""," ("&amp;J216&amp;")","")&amp;IF(K216&lt;&gt;"", ", "&amp;K216,"")&amp;IF(L216&lt;&gt;"", ", sob analgosedação com "&amp;L216,"")&amp;".",""),IF(M216&lt;&gt;"","Dieta "&amp;M216&amp;IF(N216&lt;&gt;"", ", com "&amp;LOWER(N216),"")&amp;IF(O216&lt;&gt;"", " — "&amp;O216,"")&amp;".",""),IF(P216="Febre","Apresentou episódio febril nas últimas 24h"&amp;IF(Q216&lt;&gt;""," ("&amp;Q216&amp;")","")&amp;".",IF(P216="Afebril","Encontra-se afebril.","")),IF(R216&lt;&gt;"",IF(S216="Sim","Apresenta disfunção renal aguda ","Função renal preservada ")&amp;"("&amp;R216&amp;").",""),IF(T216&lt;&gt;"","Em uso do esquema antimicrobiano com "&amp;T216&amp;".",""),IF(U216&lt;&gt;"","Em uso de profilaxia: "&amp;U216&amp;".",""))&amp;CHAR(10)&amp;CHAR(10)&amp;"2. Farmacoterapia"&amp;CHAR(10)&amp;IF(V216&lt;&gt;"","Corticoide/DART: "&amp;V216,"Sem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("&amp;Intervenções!$G$2:$G$500&amp;")",(Intervenções!$B$2:$B$500=A216)*(Intervenções!$A$2:$A$500=F216))),"Nenhuma intervenção registrada hoje.")&amp;CHAR(10)&amp;CHAR(10)&amp;"4. Plano Terapêutico"&amp;CHAR(10)&amp;IF(W216&lt;&gt;"",W216,"Não definido.")</f>
      </c>
    </row>
    <row r="217" spans="1:24" x14ac:dyDescent="0.25">
      <c r="A217" s="6"/>
      <c r="B217" s="9">
        <f>IFERROR(INDEX(Pacientes!$A:$A,MATCH($A217,Pacientes!$B:$B,0)),"")</f>
      </c>
      <c r="C217" s="9">
        <f>IFERROR(INDEX(Pacientes!$C:$C,MATCH($A217,Pacientes!$B:$B,0)),"")</f>
      </c>
      <c r="D217" s="9">
        <f>IFERROR(INDEX(Pacientes!$D:$D,MATCH($A217,Pacientes!$B:$B,0)),"")</f>
      </c>
      <c r="E217" s="9">
        <f>IFERROR(INDEX(Pacientes!$E:$E,MATCH($A217,Pacientes!$B:$B,0)),"")</f>
      </c>
      <c r="F217" s="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>
        <f>"1. Evolução Clínica"&amp;CHAR(10)&amp;TEXTJOIN(" ",TRUE,"Paciente "&amp;G217&amp;", "&amp;IF(H217="","sem DVA","em uso de "&amp;H217)&amp;".",IF(I217&lt;&gt;"","Em "&amp;I217&amp;IF(J217&lt;&gt;""," ("&amp;J217&amp;")","")&amp;IF(K217&lt;&gt;"", ", "&amp;K217,"")&amp;IF(L217&lt;&gt;"", ", sob analgosedação com "&amp;L217,"")&amp;".",""),IF(M217&lt;&gt;"","Dieta "&amp;M217&amp;IF(N217&lt;&gt;"", ", com "&amp;LOWER(N217),"")&amp;IF(O217&lt;&gt;"", " — "&amp;O217,"")&amp;".",""),IF(P217="Febre","Apresentou episódio febril nas últimas 24h"&amp;IF(Q217&lt;&gt;""," ("&amp;Q217&amp;")","")&amp;".",IF(P217="Afebril","Encontra-se afebril.","")),IF(R217&lt;&gt;"",IF(S217="Sim","Apresenta disfunção renal aguda ","Função renal preservada ")&amp;"("&amp;R217&amp;").",""),IF(T217&lt;&gt;"","Em uso do esquema antimicrobiano com "&amp;T217&amp;".",""),IF(U217&lt;&gt;"","Em uso de profilaxia: "&amp;U217&amp;".",""))&amp;CHAR(10)&amp;CHAR(10)&amp;"2. Farmacoterapia"&amp;CHAR(10)&amp;IF(V217&lt;&gt;"","Corticoide/DART: "&amp;V217,"Sem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("&amp;Intervenções!$G$2:$G$500&amp;")",(Intervenções!$B$2:$B$500=A217)*(Intervenções!$A$2:$A$500=F217))),"Nenhuma intervenção registrada hoje.")&amp;CHAR(10)&amp;CHAR(10)&amp;"4. Plano Terapêutico"&amp;CHAR(10)&amp;IF(W217&lt;&gt;"",W217,"Não definido.")</f>
      </c>
    </row>
    <row r="218" spans="1:24" x14ac:dyDescent="0.25">
      <c r="A218" s="6"/>
      <c r="B218" s="9">
        <f>IFERROR(INDEX(Pacientes!$A:$A,MATCH($A218,Pacientes!$B:$B,0)),"")</f>
      </c>
      <c r="C218" s="9">
        <f>IFERROR(INDEX(Pacientes!$C:$C,MATCH($A218,Pacientes!$B:$B,0)),"")</f>
      </c>
      <c r="D218" s="9">
        <f>IFERROR(INDEX(Pacientes!$D:$D,MATCH($A218,Pacientes!$B:$B,0)),"")</f>
      </c>
      <c r="E218" s="9">
        <f>IFERROR(INDEX(Pacientes!$E:$E,MATCH($A218,Pacientes!$B:$B,0)),"")</f>
      </c>
      <c r="F218" s="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>
        <f>"1. Evolução Clínica"&amp;CHAR(10)&amp;TEXTJOIN(" ",TRUE,"Paciente "&amp;G218&amp;", "&amp;IF(H218="","sem DVA","em uso de "&amp;H218)&amp;".",IF(I218&lt;&gt;"","Em "&amp;I218&amp;IF(J218&lt;&gt;""," ("&amp;J218&amp;")","")&amp;IF(K218&lt;&gt;"", ", "&amp;K218,"")&amp;IF(L218&lt;&gt;"", ", sob analgosedação com "&amp;L218,"")&amp;".",""),IF(M218&lt;&gt;"","Dieta "&amp;M218&amp;IF(N218&lt;&gt;"", ", com "&amp;LOWER(N218),"")&amp;IF(O218&lt;&gt;"", " — "&amp;O218,"")&amp;".",""),IF(P218="Febre","Apresentou episódio febril nas últimas 24h"&amp;IF(Q218&lt;&gt;""," ("&amp;Q218&amp;")","")&amp;".",IF(P218="Afebril","Encontra-se afebril.","")),IF(R218&lt;&gt;"",IF(S218="Sim","Apresenta disfunção renal aguda ","Função renal preservada ")&amp;"("&amp;R218&amp;").",""),IF(T218&lt;&gt;"","Em uso do esquema antimicrobiano com "&amp;T218&amp;".",""),IF(U218&lt;&gt;"","Em uso de profilaxia: "&amp;U218&amp;".",""))&amp;CHAR(10)&amp;CHAR(10)&amp;"2. Farmacoterapia"&amp;CHAR(10)&amp;IF(V218&lt;&gt;"","Corticoide/DART: "&amp;V218,"Sem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("&amp;Intervenções!$G$2:$G$500&amp;")",(Intervenções!$B$2:$B$500=A218)*(Intervenções!$A$2:$A$500=F218))),"Nenhuma intervenção registrada hoje.")&amp;CHAR(10)&amp;CHAR(10)&amp;"4. Plano Terapêutico"&amp;CHAR(10)&amp;IF(W218&lt;&gt;"",W218,"Não definido.")</f>
      </c>
    </row>
    <row r="219" spans="1:24" x14ac:dyDescent="0.25">
      <c r="A219" s="6"/>
      <c r="B219" s="9">
        <f>IFERROR(INDEX(Pacientes!$A:$A,MATCH($A219,Pacientes!$B:$B,0)),"")</f>
      </c>
      <c r="C219" s="9">
        <f>IFERROR(INDEX(Pacientes!$C:$C,MATCH($A219,Pacientes!$B:$B,0)),"")</f>
      </c>
      <c r="D219" s="9">
        <f>IFERROR(INDEX(Pacientes!$D:$D,MATCH($A219,Pacientes!$B:$B,0)),"")</f>
      </c>
      <c r="E219" s="9">
        <f>IFERROR(INDEX(Pacientes!$E:$E,MATCH($A219,Pacientes!$B:$B,0)),"")</f>
      </c>
      <c r="F219" s="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>
        <f>"1. Evolução Clínica"&amp;CHAR(10)&amp;TEXTJOIN(" ",TRUE,"Paciente "&amp;G219&amp;", "&amp;IF(H219="","sem DVA","em uso de "&amp;H219)&amp;".",IF(I219&lt;&gt;"","Em "&amp;I219&amp;IF(J219&lt;&gt;""," ("&amp;J219&amp;")","")&amp;IF(K219&lt;&gt;"", ", "&amp;K219,"")&amp;IF(L219&lt;&gt;"", ", sob analgosedação com "&amp;L219,"")&amp;".",""),IF(M219&lt;&gt;"","Dieta "&amp;M219&amp;IF(N219&lt;&gt;"", ", com "&amp;LOWER(N219),"")&amp;IF(O219&lt;&gt;"", " — "&amp;O219,"")&amp;".",""),IF(P219="Febre","Apresentou episódio febril nas últimas 24h"&amp;IF(Q219&lt;&gt;""," ("&amp;Q219&amp;")","")&amp;".",IF(P219="Afebril","Encontra-se afebril.","")),IF(R219&lt;&gt;"",IF(S219="Sim","Apresenta disfunção renal aguda ","Função renal preservada ")&amp;"("&amp;R219&amp;").",""),IF(T219&lt;&gt;"","Em uso do esquema antimicrobiano com "&amp;T219&amp;".",""),IF(U219&lt;&gt;"","Em uso de profilaxia: "&amp;U219&amp;".",""))&amp;CHAR(10)&amp;CHAR(10)&amp;"2. Farmacoterapia"&amp;CHAR(10)&amp;IF(V219&lt;&gt;"","Corticoide/DART: "&amp;V219,"Sem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("&amp;Intervenções!$G$2:$G$500&amp;")",(Intervenções!$B$2:$B$500=A219)*(Intervenções!$A$2:$A$500=F219))),"Nenhuma intervenção registrada hoje.")&amp;CHAR(10)&amp;CHAR(10)&amp;"4. Plano Terapêutico"&amp;CHAR(10)&amp;IF(W219&lt;&gt;"",W219,"Não definido.")</f>
      </c>
    </row>
    <row r="220" spans="1:24" x14ac:dyDescent="0.25">
      <c r="A220" s="6"/>
      <c r="B220" s="9">
        <f>IFERROR(INDEX(Pacientes!$A:$A,MATCH($A220,Pacientes!$B:$B,0)),"")</f>
      </c>
      <c r="C220" s="9">
        <f>IFERROR(INDEX(Pacientes!$C:$C,MATCH($A220,Pacientes!$B:$B,0)),"")</f>
      </c>
      <c r="D220" s="9">
        <f>IFERROR(INDEX(Pacientes!$D:$D,MATCH($A220,Pacientes!$B:$B,0)),"")</f>
      </c>
      <c r="E220" s="9">
        <f>IFERROR(INDEX(Pacientes!$E:$E,MATCH($A220,Pacientes!$B:$B,0)),"")</f>
      </c>
      <c r="F220" s="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>
        <f>"1. Evolução Clínica"&amp;CHAR(10)&amp;TEXTJOIN(" ",TRUE,"Paciente "&amp;G220&amp;", "&amp;IF(H220="","sem DVA","em uso de "&amp;H220)&amp;".",IF(I220&lt;&gt;"","Em "&amp;I220&amp;IF(J220&lt;&gt;""," ("&amp;J220&amp;")","")&amp;IF(K220&lt;&gt;"", ", "&amp;K220,"")&amp;IF(L220&lt;&gt;"", ", sob analgosedação com "&amp;L220,"")&amp;".",""),IF(M220&lt;&gt;"","Dieta "&amp;M220&amp;IF(N220&lt;&gt;"", ", com "&amp;LOWER(N220),"")&amp;IF(O220&lt;&gt;"", " — "&amp;O220,"")&amp;".",""),IF(P220="Febre","Apresentou episódio febril nas últimas 24h"&amp;IF(Q220&lt;&gt;""," ("&amp;Q220&amp;")","")&amp;".",IF(P220="Afebril","Encontra-se afebril.","")),IF(R220&lt;&gt;"",IF(S220="Sim","Apresenta disfunção renal aguda ","Função renal preservada ")&amp;"("&amp;R220&amp;").",""),IF(T220&lt;&gt;"","Em uso do esquema antimicrobiano com "&amp;T220&amp;".",""),IF(U220&lt;&gt;"","Em uso de profilaxia: "&amp;U220&amp;".",""))&amp;CHAR(10)&amp;CHAR(10)&amp;"2. Farmacoterapia"&amp;CHAR(10)&amp;IF(V220&lt;&gt;"","Corticoide/DART: "&amp;V220,"Sem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("&amp;Intervenções!$G$2:$G$500&amp;")",(Intervenções!$B$2:$B$500=A220)*(Intervenções!$A$2:$A$500=F220))),"Nenhuma intervenção registrada hoje.")&amp;CHAR(10)&amp;CHAR(10)&amp;"4. Plano Terapêutico"&amp;CHAR(10)&amp;IF(W220&lt;&gt;"",W220,"Não definido.")</f>
      </c>
    </row>
    <row r="221" spans="1:24" x14ac:dyDescent="0.25">
      <c r="A221" s="6"/>
      <c r="B221" s="9">
        <f>IFERROR(INDEX(Pacientes!$A:$A,MATCH($A221,Pacientes!$B:$B,0)),"")</f>
      </c>
      <c r="C221" s="9">
        <f>IFERROR(INDEX(Pacientes!$C:$C,MATCH($A221,Pacientes!$B:$B,0)),"")</f>
      </c>
      <c r="D221" s="9">
        <f>IFERROR(INDEX(Pacientes!$D:$D,MATCH($A221,Pacientes!$B:$B,0)),"")</f>
      </c>
      <c r="E221" s="9">
        <f>IFERROR(INDEX(Pacientes!$E:$E,MATCH($A221,Pacientes!$B:$B,0)),"")</f>
      </c>
      <c r="F221" s="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>
        <f>"1. Evolução Clínica"&amp;CHAR(10)&amp;TEXTJOIN(" ",TRUE,"Paciente "&amp;G221&amp;", "&amp;IF(H221="","sem DVA","em uso de "&amp;H221)&amp;".",IF(I221&lt;&gt;"","Em "&amp;I221&amp;IF(J221&lt;&gt;""," ("&amp;J221&amp;")","")&amp;IF(K221&lt;&gt;"", ", "&amp;K221,"")&amp;IF(L221&lt;&gt;"", ", sob analgosedação com "&amp;L221,"")&amp;".",""),IF(M221&lt;&gt;"","Dieta "&amp;M221&amp;IF(N221&lt;&gt;"", ", com "&amp;LOWER(N221),"")&amp;IF(O221&lt;&gt;"", " — "&amp;O221,"")&amp;".",""),IF(P221="Febre","Apresentou episódio febril nas últimas 24h"&amp;IF(Q221&lt;&gt;""," ("&amp;Q221&amp;")","")&amp;".",IF(P221="Afebril","Encontra-se afebril.","")),IF(R221&lt;&gt;"",IF(S221="Sim","Apresenta disfunção renal aguda ","Função renal preservada ")&amp;"("&amp;R221&amp;").",""),IF(T221&lt;&gt;"","Em uso do esquema antimicrobiano com "&amp;T221&amp;".",""),IF(U221&lt;&gt;"","Em uso de profilaxia: "&amp;U221&amp;".",""))&amp;CHAR(10)&amp;CHAR(10)&amp;"2. Farmacoterapia"&amp;CHAR(10)&amp;IF(V221&lt;&gt;"","Corticoide/DART: "&amp;V221,"Sem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("&amp;Intervenções!$G$2:$G$500&amp;")",(Intervenções!$B$2:$B$500=A221)*(Intervenções!$A$2:$A$500=F221))),"Nenhuma intervenção registrada hoje.")&amp;CHAR(10)&amp;CHAR(10)&amp;"4. Plano Terapêutico"&amp;CHAR(10)&amp;IF(W221&lt;&gt;"",W221,"Não definido.")</f>
      </c>
    </row>
    <row r="222" spans="1:24" x14ac:dyDescent="0.25">
      <c r="A222" s="6"/>
      <c r="B222" s="9">
        <f>IFERROR(INDEX(Pacientes!$A:$A,MATCH($A222,Pacientes!$B:$B,0)),"")</f>
      </c>
      <c r="C222" s="9">
        <f>IFERROR(INDEX(Pacientes!$C:$C,MATCH($A222,Pacientes!$B:$B,0)),"")</f>
      </c>
      <c r="D222" s="9">
        <f>IFERROR(INDEX(Pacientes!$D:$D,MATCH($A222,Pacientes!$B:$B,0)),"")</f>
      </c>
      <c r="E222" s="9">
        <f>IFERROR(INDEX(Pacientes!$E:$E,MATCH($A222,Pacientes!$B:$B,0)),"")</f>
      </c>
      <c r="F222" s="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>
        <f>"1. Evolução Clínica"&amp;CHAR(10)&amp;TEXTJOIN(" ",TRUE,"Paciente "&amp;G222&amp;", "&amp;IF(H222="","sem DVA","em uso de "&amp;H222)&amp;".",IF(I222&lt;&gt;"","Em "&amp;I222&amp;IF(J222&lt;&gt;""," ("&amp;J222&amp;")","")&amp;IF(K222&lt;&gt;"", ", "&amp;K222,"")&amp;IF(L222&lt;&gt;"", ", sob analgosedação com "&amp;L222,"")&amp;".",""),IF(M222&lt;&gt;"","Dieta "&amp;M222&amp;IF(N222&lt;&gt;"", ", com "&amp;LOWER(N222),"")&amp;IF(O222&lt;&gt;"", " — "&amp;O222,"")&amp;".",""),IF(P222="Febre","Apresentou episódio febril nas últimas 24h"&amp;IF(Q222&lt;&gt;""," ("&amp;Q222&amp;")","")&amp;".",IF(P222="Afebril","Encontra-se afebril.","")),IF(R222&lt;&gt;"",IF(S222="Sim","Apresenta disfunção renal aguda ","Função renal preservada ")&amp;"("&amp;R222&amp;").",""),IF(T222&lt;&gt;"","Em uso do esquema antimicrobiano com "&amp;T222&amp;".",""),IF(U222&lt;&gt;"","Em uso de profilaxia: "&amp;U222&amp;".",""))&amp;CHAR(10)&amp;CHAR(10)&amp;"2. Farmacoterapia"&amp;CHAR(10)&amp;IF(V222&lt;&gt;"","Corticoide/DART: "&amp;V222,"Sem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("&amp;Intervenções!$G$2:$G$500&amp;")",(Intervenções!$B$2:$B$500=A222)*(Intervenções!$A$2:$A$500=F222))),"Nenhuma intervenção registrada hoje.")&amp;CHAR(10)&amp;CHAR(10)&amp;"4. Plano Terapêutico"&amp;CHAR(10)&amp;IF(W222&lt;&gt;"",W222,"Não definido.")</f>
      </c>
    </row>
    <row r="223" spans="1:24" x14ac:dyDescent="0.25">
      <c r="A223" s="6"/>
      <c r="B223" s="9">
        <f>IFERROR(INDEX(Pacientes!$A:$A,MATCH($A223,Pacientes!$B:$B,0)),"")</f>
      </c>
      <c r="C223" s="9">
        <f>IFERROR(INDEX(Pacientes!$C:$C,MATCH($A223,Pacientes!$B:$B,0)),"")</f>
      </c>
      <c r="D223" s="9">
        <f>IFERROR(INDEX(Pacientes!$D:$D,MATCH($A223,Pacientes!$B:$B,0)),"")</f>
      </c>
      <c r="E223" s="9">
        <f>IFERROR(INDEX(Pacientes!$E:$E,MATCH($A223,Pacientes!$B:$B,0)),"")</f>
      </c>
      <c r="F223" s="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>
        <f>"1. Evolução Clínica"&amp;CHAR(10)&amp;TEXTJOIN(" ",TRUE,"Paciente "&amp;G223&amp;", "&amp;IF(H223="","sem DVA","em uso de "&amp;H223)&amp;".",IF(I223&lt;&gt;"","Em "&amp;I223&amp;IF(J223&lt;&gt;""," ("&amp;J223&amp;")","")&amp;IF(K223&lt;&gt;"", ", "&amp;K223,"")&amp;IF(L223&lt;&gt;"", ", sob analgosedação com "&amp;L223,"")&amp;".",""),IF(M223&lt;&gt;"","Dieta "&amp;M223&amp;IF(N223&lt;&gt;"", ", com "&amp;LOWER(N223),"")&amp;IF(O223&lt;&gt;"", " — "&amp;O223,"")&amp;".",""),IF(P223="Febre","Apresentou episódio febril nas últimas 24h"&amp;IF(Q223&lt;&gt;""," ("&amp;Q223&amp;")","")&amp;".",IF(P223="Afebril","Encontra-se afebril.","")),IF(R223&lt;&gt;"",IF(S223="Sim","Apresenta disfunção renal aguda ","Função renal preservada ")&amp;"("&amp;R223&amp;").",""),IF(T223&lt;&gt;"","Em uso do esquema antimicrobiano com "&amp;T223&amp;".",""),IF(U223&lt;&gt;"","Em uso de profilaxia: "&amp;U223&amp;".",""))&amp;CHAR(10)&amp;CHAR(10)&amp;"2. Farmacoterapia"&amp;CHAR(10)&amp;IF(V223&lt;&gt;"","Corticoide/DART: "&amp;V223,"Sem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("&amp;Intervenções!$G$2:$G$500&amp;")",(Intervenções!$B$2:$B$500=A223)*(Intervenções!$A$2:$A$500=F223))),"Nenhuma intervenção registrada hoje.")&amp;CHAR(10)&amp;CHAR(10)&amp;"4. Plano Terapêutico"&amp;CHAR(10)&amp;IF(W223&lt;&gt;"",W223,"Não definido.")</f>
      </c>
    </row>
    <row r="224" spans="1:24" x14ac:dyDescent="0.25">
      <c r="A224" s="6"/>
      <c r="B224" s="9">
        <f>IFERROR(INDEX(Pacientes!$A:$A,MATCH($A224,Pacientes!$B:$B,0)),"")</f>
      </c>
      <c r="C224" s="9">
        <f>IFERROR(INDEX(Pacientes!$C:$C,MATCH($A224,Pacientes!$B:$B,0)),"")</f>
      </c>
      <c r="D224" s="9">
        <f>IFERROR(INDEX(Pacientes!$D:$D,MATCH($A224,Pacientes!$B:$B,0)),"")</f>
      </c>
      <c r="E224" s="9">
        <f>IFERROR(INDEX(Pacientes!$E:$E,MATCH($A224,Pacientes!$B:$B,0)),"")</f>
      </c>
      <c r="F224" s="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>
        <f>"1. Evolução Clínica"&amp;CHAR(10)&amp;TEXTJOIN(" ",TRUE,"Paciente "&amp;G224&amp;", "&amp;IF(H224="","sem DVA","em uso de "&amp;H224)&amp;".",IF(I224&lt;&gt;"","Em "&amp;I224&amp;IF(J224&lt;&gt;""," ("&amp;J224&amp;")","")&amp;IF(K224&lt;&gt;"", ", "&amp;K224,"")&amp;IF(L224&lt;&gt;"", ", sob analgosedação com "&amp;L224,"")&amp;".",""),IF(M224&lt;&gt;"","Dieta "&amp;M224&amp;IF(N224&lt;&gt;"", ", com "&amp;LOWER(N224),"")&amp;IF(O224&lt;&gt;"", " — "&amp;O224,"")&amp;".",""),IF(P224="Febre","Apresentou episódio febril nas últimas 24h"&amp;IF(Q224&lt;&gt;""," ("&amp;Q224&amp;")","")&amp;".",IF(P224="Afebril","Encontra-se afebril.","")),IF(R224&lt;&gt;"",IF(S224="Sim","Apresenta disfunção renal aguda ","Função renal preservada ")&amp;"("&amp;R224&amp;").",""),IF(T224&lt;&gt;"","Em uso do esquema antimicrobiano com "&amp;T224&amp;".",""),IF(U224&lt;&gt;"","Em uso de profilaxia: "&amp;U224&amp;".",""))&amp;CHAR(10)&amp;CHAR(10)&amp;"2. Farmacoterapia"&amp;CHAR(10)&amp;IF(V224&lt;&gt;"","Corticoide/DART: "&amp;V224,"Sem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("&amp;Intervenções!$G$2:$G$500&amp;")",(Intervenções!$B$2:$B$500=A224)*(Intervenções!$A$2:$A$500=F224))),"Nenhuma intervenção registrada hoje.")&amp;CHAR(10)&amp;CHAR(10)&amp;"4. Plano Terapêutico"&amp;CHAR(10)&amp;IF(W224&lt;&gt;"",W224,"Não definido.")</f>
      </c>
    </row>
    <row r="225" spans="1:24" x14ac:dyDescent="0.25">
      <c r="A225" s="6"/>
      <c r="B225" s="9">
        <f>IFERROR(INDEX(Pacientes!$A:$A,MATCH($A225,Pacientes!$B:$B,0)),"")</f>
      </c>
      <c r="C225" s="9">
        <f>IFERROR(INDEX(Pacientes!$C:$C,MATCH($A225,Pacientes!$B:$B,0)),"")</f>
      </c>
      <c r="D225" s="9">
        <f>IFERROR(INDEX(Pacientes!$D:$D,MATCH($A225,Pacientes!$B:$B,0)),"")</f>
      </c>
      <c r="E225" s="9">
        <f>IFERROR(INDEX(Pacientes!$E:$E,MATCH($A225,Pacientes!$B:$B,0)),"")</f>
      </c>
      <c r="F225" s="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>
        <f>"1. Evolução Clínica"&amp;CHAR(10)&amp;TEXTJOIN(" ",TRUE,"Paciente "&amp;G225&amp;", "&amp;IF(H225="","sem DVA","em uso de "&amp;H225)&amp;".",IF(I225&lt;&gt;"","Em "&amp;I225&amp;IF(J225&lt;&gt;""," ("&amp;J225&amp;")","")&amp;IF(K225&lt;&gt;"", ", "&amp;K225,"")&amp;IF(L225&lt;&gt;"", ", sob analgosedação com "&amp;L225,"")&amp;".",""),IF(M225&lt;&gt;"","Dieta "&amp;M225&amp;IF(N225&lt;&gt;"", ", com "&amp;LOWER(N225),"")&amp;IF(O225&lt;&gt;"", " — "&amp;O225,"")&amp;".",""),IF(P225="Febre","Apresentou episódio febril nas últimas 24h"&amp;IF(Q225&lt;&gt;""," ("&amp;Q225&amp;")","")&amp;".",IF(P225="Afebril","Encontra-se afebril.","")),IF(R225&lt;&gt;"",IF(S225="Sim","Apresenta disfunção renal aguda ","Função renal preservada ")&amp;"("&amp;R225&amp;").",""),IF(T225&lt;&gt;"","Em uso do esquema antimicrobiano com "&amp;T225&amp;".",""),IF(U225&lt;&gt;"","Em uso de profilaxia: "&amp;U225&amp;".",""))&amp;CHAR(10)&amp;CHAR(10)&amp;"2. Farmacoterapia"&amp;CHAR(10)&amp;IF(V225&lt;&gt;"","Corticoide/DART: "&amp;V225,"Sem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("&amp;Intervenções!$G$2:$G$500&amp;")",(Intervenções!$B$2:$B$500=A225)*(Intervenções!$A$2:$A$500=F225))),"Nenhuma intervenção registrada hoje.")&amp;CHAR(10)&amp;CHAR(10)&amp;"4. Plano Terapêutico"&amp;CHAR(10)&amp;IF(W225&lt;&gt;"",W225,"Não definido.")</f>
      </c>
    </row>
    <row r="226" spans="1:24" x14ac:dyDescent="0.25">
      <c r="A226" s="6"/>
      <c r="B226" s="9">
        <f>IFERROR(INDEX(Pacientes!$A:$A,MATCH($A226,Pacientes!$B:$B,0)),"")</f>
      </c>
      <c r="C226" s="9">
        <f>IFERROR(INDEX(Pacientes!$C:$C,MATCH($A226,Pacientes!$B:$B,0)),"")</f>
      </c>
      <c r="D226" s="9">
        <f>IFERROR(INDEX(Pacientes!$D:$D,MATCH($A226,Pacientes!$B:$B,0)),"")</f>
      </c>
      <c r="E226" s="9">
        <f>IFERROR(INDEX(Pacientes!$E:$E,MATCH($A226,Pacientes!$B:$B,0)),"")</f>
      </c>
      <c r="F226" s="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>
        <f>"1. Evolução Clínica"&amp;CHAR(10)&amp;TEXTJOIN(" ",TRUE,"Paciente "&amp;G226&amp;", "&amp;IF(H226="","sem DVA","em uso de "&amp;H226)&amp;".",IF(I226&lt;&gt;"","Em "&amp;I226&amp;IF(J226&lt;&gt;""," ("&amp;J226&amp;")","")&amp;IF(K226&lt;&gt;"", ", "&amp;K226,"")&amp;IF(L226&lt;&gt;"", ", sob analgosedação com "&amp;L226,"")&amp;".",""),IF(M226&lt;&gt;"","Dieta "&amp;M226&amp;IF(N226&lt;&gt;"", ", com "&amp;LOWER(N226),"")&amp;IF(O226&lt;&gt;"", " — "&amp;O226,"")&amp;".",""),IF(P226="Febre","Apresentou episódio febril nas últimas 24h"&amp;IF(Q226&lt;&gt;""," ("&amp;Q226&amp;")","")&amp;".",IF(P226="Afebril","Encontra-se afebril.","")),IF(R226&lt;&gt;"",IF(S226="Sim","Apresenta disfunção renal aguda ","Função renal preservada ")&amp;"("&amp;R226&amp;").",""),IF(T226&lt;&gt;"","Em uso do esquema antimicrobiano com "&amp;T226&amp;".",""),IF(U226&lt;&gt;"","Em uso de profilaxia: "&amp;U226&amp;".",""))&amp;CHAR(10)&amp;CHAR(10)&amp;"2. Farmacoterapia"&amp;CHAR(10)&amp;IF(V226&lt;&gt;"","Corticoide/DART: "&amp;V226,"Sem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("&amp;Intervenções!$G$2:$G$500&amp;")",(Intervenções!$B$2:$B$500=A226)*(Intervenções!$A$2:$A$500=F226))),"Nenhuma intervenção registrada hoje.")&amp;CHAR(10)&amp;CHAR(10)&amp;"4. Plano Terapêutico"&amp;CHAR(10)&amp;IF(W226&lt;&gt;"",W226,"Não definido.")</f>
      </c>
    </row>
    <row r="227" spans="1:24" x14ac:dyDescent="0.25">
      <c r="A227" s="6"/>
      <c r="B227" s="9">
        <f>IFERROR(INDEX(Pacientes!$A:$A,MATCH($A227,Pacientes!$B:$B,0)),"")</f>
      </c>
      <c r="C227" s="9">
        <f>IFERROR(INDEX(Pacientes!$C:$C,MATCH($A227,Pacientes!$B:$B,0)),"")</f>
      </c>
      <c r="D227" s="9">
        <f>IFERROR(INDEX(Pacientes!$D:$D,MATCH($A227,Pacientes!$B:$B,0)),"")</f>
      </c>
      <c r="E227" s="9">
        <f>IFERROR(INDEX(Pacientes!$E:$E,MATCH($A227,Pacientes!$B:$B,0)),"")</f>
      </c>
      <c r="F227" s="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>
        <f>"1. Evolução Clínica"&amp;CHAR(10)&amp;TEXTJOIN(" ",TRUE,"Paciente "&amp;G227&amp;", "&amp;IF(H227="","sem DVA","em uso de "&amp;H227)&amp;".",IF(I227&lt;&gt;"","Em "&amp;I227&amp;IF(J227&lt;&gt;""," ("&amp;J227&amp;")","")&amp;IF(K227&lt;&gt;"", ", "&amp;K227,"")&amp;IF(L227&lt;&gt;"", ", sob analgosedação com "&amp;L227,"")&amp;".",""),IF(M227&lt;&gt;"","Dieta "&amp;M227&amp;IF(N227&lt;&gt;"", ", com "&amp;LOWER(N227),"")&amp;IF(O227&lt;&gt;"", " — "&amp;O227,"")&amp;".",""),IF(P227="Febre","Apresentou episódio febril nas últimas 24h"&amp;IF(Q227&lt;&gt;""," ("&amp;Q227&amp;")","")&amp;".",IF(P227="Afebril","Encontra-se afebril.","")),IF(R227&lt;&gt;"",IF(S227="Sim","Apresenta disfunção renal aguda ","Função renal preservada ")&amp;"("&amp;R227&amp;").",""),IF(T227&lt;&gt;"","Em uso do esquema antimicrobiano com "&amp;T227&amp;".",""),IF(U227&lt;&gt;"","Em uso de profilaxia: "&amp;U227&amp;".",""))&amp;CHAR(10)&amp;CHAR(10)&amp;"2. Farmacoterapia"&amp;CHAR(10)&amp;IF(V227&lt;&gt;"","Corticoide/DART: "&amp;V227,"Sem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("&amp;Intervenções!$G$2:$G$500&amp;")",(Intervenções!$B$2:$B$500=A227)*(Intervenções!$A$2:$A$500=F227))),"Nenhuma intervenção registrada hoje.")&amp;CHAR(10)&amp;CHAR(10)&amp;"4. Plano Terapêutico"&amp;CHAR(10)&amp;IF(W227&lt;&gt;"",W227,"Não definido.")</f>
      </c>
    </row>
    <row r="228" spans="1:24" x14ac:dyDescent="0.25">
      <c r="A228" s="6"/>
      <c r="B228" s="9">
        <f>IFERROR(INDEX(Pacientes!$A:$A,MATCH($A228,Pacientes!$B:$B,0)),"")</f>
      </c>
      <c r="C228" s="9">
        <f>IFERROR(INDEX(Pacientes!$C:$C,MATCH($A228,Pacientes!$B:$B,0)),"")</f>
      </c>
      <c r="D228" s="9">
        <f>IFERROR(INDEX(Pacientes!$D:$D,MATCH($A228,Pacientes!$B:$B,0)),"")</f>
      </c>
      <c r="E228" s="9">
        <f>IFERROR(INDEX(Pacientes!$E:$E,MATCH($A228,Pacientes!$B:$B,0)),"")</f>
      </c>
      <c r="F228" s="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>
        <f>"1. Evolução Clínica"&amp;CHAR(10)&amp;TEXTJOIN(" ",TRUE,"Paciente "&amp;G228&amp;", "&amp;IF(H228="","sem DVA","em uso de "&amp;H228)&amp;".",IF(I228&lt;&gt;"","Em "&amp;I228&amp;IF(J228&lt;&gt;""," ("&amp;J228&amp;")","")&amp;IF(K228&lt;&gt;"", ", "&amp;K228,"")&amp;IF(L228&lt;&gt;"", ", sob analgosedação com "&amp;L228,"")&amp;".",""),IF(M228&lt;&gt;"","Dieta "&amp;M228&amp;IF(N228&lt;&gt;"", ", com "&amp;LOWER(N228),"")&amp;IF(O228&lt;&gt;"", " — "&amp;O228,"")&amp;".",""),IF(P228="Febre","Apresentou episódio febril nas últimas 24h"&amp;IF(Q228&lt;&gt;""," ("&amp;Q228&amp;")","")&amp;".",IF(P228="Afebril","Encontra-se afebril.","")),IF(R228&lt;&gt;"",IF(S228="Sim","Apresenta disfunção renal aguda ","Função renal preservada ")&amp;"("&amp;R228&amp;").",""),IF(T228&lt;&gt;"","Em uso do esquema antimicrobiano com "&amp;T228&amp;".",""),IF(U228&lt;&gt;"","Em uso de profilaxia: "&amp;U228&amp;".",""))&amp;CHAR(10)&amp;CHAR(10)&amp;"2. Farmacoterapia"&amp;CHAR(10)&amp;IF(V228&lt;&gt;"","Corticoide/DART: "&amp;V228,"Sem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("&amp;Intervenções!$G$2:$G$500&amp;")",(Intervenções!$B$2:$B$500=A228)*(Intervenções!$A$2:$A$500=F228))),"Nenhuma intervenção registrada hoje.")&amp;CHAR(10)&amp;CHAR(10)&amp;"4. Plano Terapêutico"&amp;CHAR(10)&amp;IF(W228&lt;&gt;"",W228,"Não definido.")</f>
      </c>
    </row>
    <row r="229" spans="1:24" x14ac:dyDescent="0.25">
      <c r="A229" s="6"/>
      <c r="B229" s="9">
        <f>IFERROR(INDEX(Pacientes!$A:$A,MATCH($A229,Pacientes!$B:$B,0)),"")</f>
      </c>
      <c r="C229" s="9">
        <f>IFERROR(INDEX(Pacientes!$C:$C,MATCH($A229,Pacientes!$B:$B,0)),"")</f>
      </c>
      <c r="D229" s="9">
        <f>IFERROR(INDEX(Pacientes!$D:$D,MATCH($A229,Pacientes!$B:$B,0)),"")</f>
      </c>
      <c r="E229" s="9">
        <f>IFERROR(INDEX(Pacientes!$E:$E,MATCH($A229,Pacientes!$B:$B,0)),"")</f>
      </c>
      <c r="F229" s="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>
        <f>"1. Evolução Clínica"&amp;CHAR(10)&amp;TEXTJOIN(" ",TRUE,"Paciente "&amp;G229&amp;", "&amp;IF(H229="","sem DVA","em uso de "&amp;H229)&amp;".",IF(I229&lt;&gt;"","Em "&amp;I229&amp;IF(J229&lt;&gt;""," ("&amp;J229&amp;")","")&amp;IF(K229&lt;&gt;"", ", "&amp;K229,"")&amp;IF(L229&lt;&gt;"", ", sob analgosedação com "&amp;L229,"")&amp;".",""),IF(M229&lt;&gt;"","Dieta "&amp;M229&amp;IF(N229&lt;&gt;"", ", com "&amp;LOWER(N229),"")&amp;IF(O229&lt;&gt;"", " — "&amp;O229,"")&amp;".",""),IF(P229="Febre","Apresentou episódio febril nas últimas 24h"&amp;IF(Q229&lt;&gt;""," ("&amp;Q229&amp;")","")&amp;".",IF(P229="Afebril","Encontra-se afebril.","")),IF(R229&lt;&gt;"",IF(S229="Sim","Apresenta disfunção renal aguda ","Função renal preservada ")&amp;"("&amp;R229&amp;").",""),IF(T229&lt;&gt;"","Em uso do esquema antimicrobiano com "&amp;T229&amp;".",""),IF(U229&lt;&gt;"","Em uso de profilaxia: "&amp;U229&amp;".",""))&amp;CHAR(10)&amp;CHAR(10)&amp;"2. Farmacoterapia"&amp;CHAR(10)&amp;IF(V229&lt;&gt;"","Corticoide/DART: "&amp;V229,"Sem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("&amp;Intervenções!$G$2:$G$500&amp;")",(Intervenções!$B$2:$B$500=A229)*(Intervenções!$A$2:$A$500=F229))),"Nenhuma intervenção registrada hoje.")&amp;CHAR(10)&amp;CHAR(10)&amp;"4. Plano Terapêutico"&amp;CHAR(10)&amp;IF(W229&lt;&gt;"",W229,"Não definido.")</f>
      </c>
    </row>
    <row r="230" spans="1:24" x14ac:dyDescent="0.25">
      <c r="A230" s="6"/>
      <c r="B230" s="9">
        <f>IFERROR(INDEX(Pacientes!$A:$A,MATCH($A230,Pacientes!$B:$B,0)),"")</f>
      </c>
      <c r="C230" s="9">
        <f>IFERROR(INDEX(Pacientes!$C:$C,MATCH($A230,Pacientes!$B:$B,0)),"")</f>
      </c>
      <c r="D230" s="9">
        <f>IFERROR(INDEX(Pacientes!$D:$D,MATCH($A230,Pacientes!$B:$B,0)),"")</f>
      </c>
      <c r="E230" s="9">
        <f>IFERROR(INDEX(Pacientes!$E:$E,MATCH($A230,Pacientes!$B:$B,0)),"")</f>
      </c>
      <c r="F230" s="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>
        <f>"1. Evolução Clínica"&amp;CHAR(10)&amp;TEXTJOIN(" ",TRUE,"Paciente "&amp;G230&amp;", "&amp;IF(H230="","sem DVA","em uso de "&amp;H230)&amp;".",IF(I230&lt;&gt;"","Em "&amp;I230&amp;IF(J230&lt;&gt;""," ("&amp;J230&amp;")","")&amp;IF(K230&lt;&gt;"", ", "&amp;K230,"")&amp;IF(L230&lt;&gt;"", ", sob analgosedação com "&amp;L230,"")&amp;".",""),IF(M230&lt;&gt;"","Dieta "&amp;M230&amp;IF(N230&lt;&gt;"", ", com "&amp;LOWER(N230),"")&amp;IF(O230&lt;&gt;"", " — "&amp;O230,"")&amp;".",""),IF(P230="Febre","Apresentou episódio febril nas últimas 24h"&amp;IF(Q230&lt;&gt;""," ("&amp;Q230&amp;")","")&amp;".",IF(P230="Afebril","Encontra-se afebril.","")),IF(R230&lt;&gt;"",IF(S230="Sim","Apresenta disfunção renal aguda ","Função renal preservada ")&amp;"("&amp;R230&amp;").",""),IF(T230&lt;&gt;"","Em uso do esquema antimicrobiano com "&amp;T230&amp;".",""),IF(U230&lt;&gt;"","Em uso de profilaxia: "&amp;U230&amp;".",""))&amp;CHAR(10)&amp;CHAR(10)&amp;"2. Farmacoterapia"&amp;CHAR(10)&amp;IF(V230&lt;&gt;"","Corticoide/DART: "&amp;V230,"Sem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("&amp;Intervenções!$G$2:$G$500&amp;")",(Intervenções!$B$2:$B$500=A230)*(Intervenções!$A$2:$A$500=F230))),"Nenhuma intervenção registrada hoje.")&amp;CHAR(10)&amp;CHAR(10)&amp;"4. Plano Terapêutico"&amp;CHAR(10)&amp;IF(W230&lt;&gt;"",W230,"Não definido.")</f>
      </c>
    </row>
    <row r="231" spans="1:24" x14ac:dyDescent="0.25">
      <c r="A231" s="6"/>
      <c r="B231" s="9">
        <f>IFERROR(INDEX(Pacientes!$A:$A,MATCH($A231,Pacientes!$B:$B,0)),"")</f>
      </c>
      <c r="C231" s="9">
        <f>IFERROR(INDEX(Pacientes!$C:$C,MATCH($A231,Pacientes!$B:$B,0)),"")</f>
      </c>
      <c r="D231" s="9">
        <f>IFERROR(INDEX(Pacientes!$D:$D,MATCH($A231,Pacientes!$B:$B,0)),"")</f>
      </c>
      <c r="E231" s="9">
        <f>IFERROR(INDEX(Pacientes!$E:$E,MATCH($A231,Pacientes!$B:$B,0)),"")</f>
      </c>
      <c r="F231" s="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>
        <f>"1. Evolução Clínica"&amp;CHAR(10)&amp;TEXTJOIN(" ",TRUE,"Paciente "&amp;G231&amp;", "&amp;IF(H231="","sem DVA","em uso de "&amp;H231)&amp;".",IF(I231&lt;&gt;"","Em "&amp;I231&amp;IF(J231&lt;&gt;""," ("&amp;J231&amp;")","")&amp;IF(K231&lt;&gt;"", ", "&amp;K231,"")&amp;IF(L231&lt;&gt;"", ", sob analgosedação com "&amp;L231,"")&amp;".",""),IF(M231&lt;&gt;"","Dieta "&amp;M231&amp;IF(N231&lt;&gt;"", ", com "&amp;LOWER(N231),"")&amp;IF(O231&lt;&gt;"", " — "&amp;O231,"")&amp;".",""),IF(P231="Febre","Apresentou episódio febril nas últimas 24h"&amp;IF(Q231&lt;&gt;""," ("&amp;Q231&amp;")","")&amp;".",IF(P231="Afebril","Encontra-se afebril.","")),IF(R231&lt;&gt;"",IF(S231="Sim","Apresenta disfunção renal aguda ","Função renal preservada ")&amp;"("&amp;R231&amp;").",""),IF(T231&lt;&gt;"","Em uso do esquema antimicrobiano com "&amp;T231&amp;".",""),IF(U231&lt;&gt;"","Em uso de profilaxia: "&amp;U231&amp;".",""))&amp;CHAR(10)&amp;CHAR(10)&amp;"2. Farmacoterapia"&amp;CHAR(10)&amp;IF(V231&lt;&gt;"","Corticoide/DART: "&amp;V231,"Sem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("&amp;Intervenções!$G$2:$G$500&amp;")",(Intervenções!$B$2:$B$500=A231)*(Intervenções!$A$2:$A$500=F231))),"Nenhuma intervenção registrada hoje.")&amp;CHAR(10)&amp;CHAR(10)&amp;"4. Plano Terapêutico"&amp;CHAR(10)&amp;IF(W231&lt;&gt;"",W231,"Não definido.")</f>
      </c>
    </row>
    <row r="232" spans="1:24" x14ac:dyDescent="0.25">
      <c r="A232" s="6"/>
      <c r="B232" s="9">
        <f>IFERROR(INDEX(Pacientes!$A:$A,MATCH($A232,Pacientes!$B:$B,0)),"")</f>
      </c>
      <c r="C232" s="9">
        <f>IFERROR(INDEX(Pacientes!$C:$C,MATCH($A232,Pacientes!$B:$B,0)),"")</f>
      </c>
      <c r="D232" s="9">
        <f>IFERROR(INDEX(Pacientes!$D:$D,MATCH($A232,Pacientes!$B:$B,0)),"")</f>
      </c>
      <c r="E232" s="9">
        <f>IFERROR(INDEX(Pacientes!$E:$E,MATCH($A232,Pacientes!$B:$B,0)),"")</f>
      </c>
      <c r="F232" s="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>
        <f>"1. Evolução Clínica"&amp;CHAR(10)&amp;TEXTJOIN(" ",TRUE,"Paciente "&amp;G232&amp;", "&amp;IF(H232="","sem DVA","em uso de "&amp;H232)&amp;".",IF(I232&lt;&gt;"","Em "&amp;I232&amp;IF(J232&lt;&gt;""," ("&amp;J232&amp;")","")&amp;IF(K232&lt;&gt;"", ", "&amp;K232,"")&amp;IF(L232&lt;&gt;"", ", sob analgosedação com "&amp;L232,"")&amp;".",""),IF(M232&lt;&gt;"","Dieta "&amp;M232&amp;IF(N232&lt;&gt;"", ", com "&amp;LOWER(N232),"")&amp;IF(O232&lt;&gt;"", " — "&amp;O232,"")&amp;".",""),IF(P232="Febre","Apresentou episódio febril nas últimas 24h"&amp;IF(Q232&lt;&gt;""," ("&amp;Q232&amp;")","")&amp;".",IF(P232="Afebril","Encontra-se afebril.","")),IF(R232&lt;&gt;"",IF(S232="Sim","Apresenta disfunção renal aguda ","Função renal preservada ")&amp;"("&amp;R232&amp;").",""),IF(T232&lt;&gt;"","Em uso do esquema antimicrobiano com "&amp;T232&amp;".",""),IF(U232&lt;&gt;"","Em uso de profilaxia: "&amp;U232&amp;".",""))&amp;CHAR(10)&amp;CHAR(10)&amp;"2. Farmacoterapia"&amp;CHAR(10)&amp;IF(V232&lt;&gt;"","Corticoide/DART: "&amp;V232,"Sem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("&amp;Intervenções!$G$2:$G$500&amp;")",(Intervenções!$B$2:$B$500=A232)*(Intervenções!$A$2:$A$500=F232))),"Nenhuma intervenção registrada hoje.")&amp;CHAR(10)&amp;CHAR(10)&amp;"4. Plano Terapêutico"&amp;CHAR(10)&amp;IF(W232&lt;&gt;"",W232,"Não definido.")</f>
      </c>
    </row>
    <row r="233" spans="1:24" x14ac:dyDescent="0.25">
      <c r="A233" s="6"/>
      <c r="B233" s="9">
        <f>IFERROR(INDEX(Pacientes!$A:$A,MATCH($A233,Pacientes!$B:$B,0)),"")</f>
      </c>
      <c r="C233" s="9">
        <f>IFERROR(INDEX(Pacientes!$C:$C,MATCH($A233,Pacientes!$B:$B,0)),"")</f>
      </c>
      <c r="D233" s="9">
        <f>IFERROR(INDEX(Pacientes!$D:$D,MATCH($A233,Pacientes!$B:$B,0)),"")</f>
      </c>
      <c r="E233" s="9">
        <f>IFERROR(INDEX(Pacientes!$E:$E,MATCH($A233,Pacientes!$B:$B,0)),"")</f>
      </c>
      <c r="F233" s="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>
        <f>"1. Evolução Clínica"&amp;CHAR(10)&amp;TEXTJOIN(" ",TRUE,"Paciente "&amp;G233&amp;", "&amp;IF(H233="","sem DVA","em uso de "&amp;H233)&amp;".",IF(I233&lt;&gt;"","Em "&amp;I233&amp;IF(J233&lt;&gt;""," ("&amp;J233&amp;")","")&amp;IF(K233&lt;&gt;"", ", "&amp;K233,"")&amp;IF(L233&lt;&gt;"", ", sob analgosedação com "&amp;L233,"")&amp;".",""),IF(M233&lt;&gt;"","Dieta "&amp;M233&amp;IF(N233&lt;&gt;"", ", com "&amp;LOWER(N233),"")&amp;IF(O233&lt;&gt;"", " — "&amp;O233,"")&amp;".",""),IF(P233="Febre","Apresentou episódio febril nas últimas 24h"&amp;IF(Q233&lt;&gt;""," ("&amp;Q233&amp;")","")&amp;".",IF(P233="Afebril","Encontra-se afebril.","")),IF(R233&lt;&gt;"",IF(S233="Sim","Apresenta disfunção renal aguda ","Função renal preservada ")&amp;"("&amp;R233&amp;").",""),IF(T233&lt;&gt;"","Em uso do esquema antimicrobiano com "&amp;T233&amp;".",""),IF(U233&lt;&gt;"","Em uso de profilaxia: "&amp;U233&amp;".",""))&amp;CHAR(10)&amp;CHAR(10)&amp;"2. Farmacoterapia"&amp;CHAR(10)&amp;IF(V233&lt;&gt;"","Corticoide/DART: "&amp;V233,"Sem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("&amp;Intervenções!$G$2:$G$500&amp;")",(Intervenções!$B$2:$B$500=A233)*(Intervenções!$A$2:$A$500=F233))),"Nenhuma intervenção registrada hoje.")&amp;CHAR(10)&amp;CHAR(10)&amp;"4. Plano Terapêutico"&amp;CHAR(10)&amp;IF(W233&lt;&gt;"",W233,"Não definido.")</f>
      </c>
    </row>
    <row r="234" spans="1:24" x14ac:dyDescent="0.25">
      <c r="A234" s="6"/>
      <c r="B234" s="9">
        <f>IFERROR(INDEX(Pacientes!$A:$A,MATCH($A234,Pacientes!$B:$B,0)),"")</f>
      </c>
      <c r="C234" s="9">
        <f>IFERROR(INDEX(Pacientes!$C:$C,MATCH($A234,Pacientes!$B:$B,0)),"")</f>
      </c>
      <c r="D234" s="9">
        <f>IFERROR(INDEX(Pacientes!$D:$D,MATCH($A234,Pacientes!$B:$B,0)),"")</f>
      </c>
      <c r="E234" s="9">
        <f>IFERROR(INDEX(Pacientes!$E:$E,MATCH($A234,Pacientes!$B:$B,0)),"")</f>
      </c>
      <c r="F234" s="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>
        <f>"1. Evolução Clínica"&amp;CHAR(10)&amp;TEXTJOIN(" ",TRUE,"Paciente "&amp;G234&amp;", "&amp;IF(H234="","sem DVA","em uso de "&amp;H234)&amp;".",IF(I234&lt;&gt;"","Em "&amp;I234&amp;IF(J234&lt;&gt;""," ("&amp;J234&amp;")","")&amp;IF(K234&lt;&gt;"", ", "&amp;K234,"")&amp;IF(L234&lt;&gt;"", ", sob analgosedação com "&amp;L234,"")&amp;".",""),IF(M234&lt;&gt;"","Dieta "&amp;M234&amp;IF(N234&lt;&gt;"", ", com "&amp;LOWER(N234),"")&amp;IF(O234&lt;&gt;"", " — "&amp;O234,"")&amp;".",""),IF(P234="Febre","Apresentou episódio febril nas últimas 24h"&amp;IF(Q234&lt;&gt;""," ("&amp;Q234&amp;")","")&amp;".",IF(P234="Afebril","Encontra-se afebril.","")),IF(R234&lt;&gt;"",IF(S234="Sim","Apresenta disfunção renal aguda ","Função renal preservada ")&amp;"("&amp;R234&amp;").",""),IF(T234&lt;&gt;"","Em uso do esquema antimicrobiano com "&amp;T234&amp;".",""),IF(U234&lt;&gt;"","Em uso de profilaxia: "&amp;U234&amp;".",""))&amp;CHAR(10)&amp;CHAR(10)&amp;"2. Farmacoterapia"&amp;CHAR(10)&amp;IF(V234&lt;&gt;"","Corticoide/DART: "&amp;V234,"Sem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("&amp;Intervenções!$G$2:$G$500&amp;")",(Intervenções!$B$2:$B$500=A234)*(Intervenções!$A$2:$A$500=F234))),"Nenhuma intervenção registrada hoje.")&amp;CHAR(10)&amp;CHAR(10)&amp;"4. Plano Terapêutico"&amp;CHAR(10)&amp;IF(W234&lt;&gt;"",W234,"Não definido.")</f>
      </c>
    </row>
    <row r="235" spans="1:24" x14ac:dyDescent="0.25">
      <c r="A235" s="6"/>
      <c r="B235" s="9">
        <f>IFERROR(INDEX(Pacientes!$A:$A,MATCH($A235,Pacientes!$B:$B,0)),"")</f>
      </c>
      <c r="C235" s="9">
        <f>IFERROR(INDEX(Pacientes!$C:$C,MATCH($A235,Pacientes!$B:$B,0)),"")</f>
      </c>
      <c r="D235" s="9">
        <f>IFERROR(INDEX(Pacientes!$D:$D,MATCH($A235,Pacientes!$B:$B,0)),"")</f>
      </c>
      <c r="E235" s="9">
        <f>IFERROR(INDEX(Pacientes!$E:$E,MATCH($A235,Pacientes!$B:$B,0)),"")</f>
      </c>
      <c r="F235" s="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>
        <f>"1. Evolução Clínica"&amp;CHAR(10)&amp;TEXTJOIN(" ",TRUE,"Paciente "&amp;G235&amp;", "&amp;IF(H235="","sem DVA","em uso de "&amp;H235)&amp;".",IF(I235&lt;&gt;"","Em "&amp;I235&amp;IF(J235&lt;&gt;""," ("&amp;J235&amp;")","")&amp;IF(K235&lt;&gt;"", ", "&amp;K235,"")&amp;IF(L235&lt;&gt;"", ", sob analgosedação com "&amp;L235,"")&amp;".",""),IF(M235&lt;&gt;"","Dieta "&amp;M235&amp;IF(N235&lt;&gt;"", ", com "&amp;LOWER(N235),"")&amp;IF(O235&lt;&gt;"", " — "&amp;O235,"")&amp;".",""),IF(P235="Febre","Apresentou episódio febril nas últimas 24h"&amp;IF(Q235&lt;&gt;""," ("&amp;Q235&amp;")","")&amp;".",IF(P235="Afebril","Encontra-se afebril.","")),IF(R235&lt;&gt;"",IF(S235="Sim","Apresenta disfunção renal aguda ","Função renal preservada ")&amp;"("&amp;R235&amp;").",""),IF(T235&lt;&gt;"","Em uso do esquema antimicrobiano com "&amp;T235&amp;".",""),IF(U235&lt;&gt;"","Em uso de profilaxia: "&amp;U235&amp;".",""))&amp;CHAR(10)&amp;CHAR(10)&amp;"2. Farmacoterapia"&amp;CHAR(10)&amp;IF(V235&lt;&gt;"","Corticoide/DART: "&amp;V235,"Sem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("&amp;Intervenções!$G$2:$G$500&amp;")",(Intervenções!$B$2:$B$500=A235)*(Intervenções!$A$2:$A$500=F235))),"Nenhuma intervenção registrada hoje.")&amp;CHAR(10)&amp;CHAR(10)&amp;"4. Plano Terapêutico"&amp;CHAR(10)&amp;IF(W235&lt;&gt;"",W235,"Não definido.")</f>
      </c>
    </row>
    <row r="236" spans="1:24" x14ac:dyDescent="0.25">
      <c r="A236" s="6"/>
      <c r="B236" s="9">
        <f>IFERROR(INDEX(Pacientes!$A:$A,MATCH($A236,Pacientes!$B:$B,0)),"")</f>
      </c>
      <c r="C236" s="9">
        <f>IFERROR(INDEX(Pacientes!$C:$C,MATCH($A236,Pacientes!$B:$B,0)),"")</f>
      </c>
      <c r="D236" s="9">
        <f>IFERROR(INDEX(Pacientes!$D:$D,MATCH($A236,Pacientes!$B:$B,0)),"")</f>
      </c>
      <c r="E236" s="9">
        <f>IFERROR(INDEX(Pacientes!$E:$E,MATCH($A236,Pacientes!$B:$B,0)),"")</f>
      </c>
      <c r="F236" s="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>
        <f>"1. Evolução Clínica"&amp;CHAR(10)&amp;TEXTJOIN(" ",TRUE,"Paciente "&amp;G236&amp;", "&amp;IF(H236="","sem DVA","em uso de "&amp;H236)&amp;".",IF(I236&lt;&gt;"","Em "&amp;I236&amp;IF(J236&lt;&gt;""," ("&amp;J236&amp;")","")&amp;IF(K236&lt;&gt;"", ", "&amp;K236,"")&amp;IF(L236&lt;&gt;"", ", sob analgosedação com "&amp;L236,"")&amp;".",""),IF(M236&lt;&gt;"","Dieta "&amp;M236&amp;IF(N236&lt;&gt;"", ", com "&amp;LOWER(N236),"")&amp;IF(O236&lt;&gt;"", " — "&amp;O236,"")&amp;".",""),IF(P236="Febre","Apresentou episódio febril nas últimas 24h"&amp;IF(Q236&lt;&gt;""," ("&amp;Q236&amp;")","")&amp;".",IF(P236="Afebril","Encontra-se afebril.","")),IF(R236&lt;&gt;"",IF(S236="Sim","Apresenta disfunção renal aguda ","Função renal preservada ")&amp;"("&amp;R236&amp;").",""),IF(T236&lt;&gt;"","Em uso do esquema antimicrobiano com "&amp;T236&amp;".",""),IF(U236&lt;&gt;"","Em uso de profilaxia: "&amp;U236&amp;".",""))&amp;CHAR(10)&amp;CHAR(10)&amp;"2. Farmacoterapia"&amp;CHAR(10)&amp;IF(V236&lt;&gt;"","Corticoide/DART: "&amp;V236,"Sem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("&amp;Intervenções!$G$2:$G$500&amp;")",(Intervenções!$B$2:$B$500=A236)*(Intervenções!$A$2:$A$500=F236))),"Nenhuma intervenção registrada hoje.")&amp;CHAR(10)&amp;CHAR(10)&amp;"4. Plano Terapêutico"&amp;CHAR(10)&amp;IF(W236&lt;&gt;"",W236,"Não definido.")</f>
      </c>
    </row>
    <row r="237" spans="1:24" x14ac:dyDescent="0.25">
      <c r="A237" s="6"/>
      <c r="B237" s="9">
        <f>IFERROR(INDEX(Pacientes!$A:$A,MATCH($A237,Pacientes!$B:$B,0)),"")</f>
      </c>
      <c r="C237" s="9">
        <f>IFERROR(INDEX(Pacientes!$C:$C,MATCH($A237,Pacientes!$B:$B,0)),"")</f>
      </c>
      <c r="D237" s="9">
        <f>IFERROR(INDEX(Pacientes!$D:$D,MATCH($A237,Pacientes!$B:$B,0)),"")</f>
      </c>
      <c r="E237" s="9">
        <f>IFERROR(INDEX(Pacientes!$E:$E,MATCH($A237,Pacientes!$B:$B,0)),"")</f>
      </c>
      <c r="F237" s="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>
        <f>"1. Evolução Clínica"&amp;CHAR(10)&amp;TEXTJOIN(" ",TRUE,"Paciente "&amp;G237&amp;", "&amp;IF(H237="","sem DVA","em uso de "&amp;H237)&amp;".",IF(I237&lt;&gt;"","Em "&amp;I237&amp;IF(J237&lt;&gt;""," ("&amp;J237&amp;")","")&amp;IF(K237&lt;&gt;"", ", "&amp;K237,"")&amp;IF(L237&lt;&gt;"", ", sob analgosedação com "&amp;L237,"")&amp;".",""),IF(M237&lt;&gt;"","Dieta "&amp;M237&amp;IF(N237&lt;&gt;"", ", com "&amp;LOWER(N237),"")&amp;IF(O237&lt;&gt;"", " — "&amp;O237,"")&amp;".",""),IF(P237="Febre","Apresentou episódio febril nas últimas 24h"&amp;IF(Q237&lt;&gt;""," ("&amp;Q237&amp;")","")&amp;".",IF(P237="Afebril","Encontra-se afebril.","")),IF(R237&lt;&gt;"",IF(S237="Sim","Apresenta disfunção renal aguda ","Função renal preservada ")&amp;"("&amp;R237&amp;").",""),IF(T237&lt;&gt;"","Em uso do esquema antimicrobiano com "&amp;T237&amp;".",""),IF(U237&lt;&gt;"","Em uso de profilaxia: "&amp;U237&amp;".",""))&amp;CHAR(10)&amp;CHAR(10)&amp;"2. Farmacoterapia"&amp;CHAR(10)&amp;IF(V237&lt;&gt;"","Corticoide/DART: "&amp;V237,"Sem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("&amp;Intervenções!$G$2:$G$500&amp;")",(Intervenções!$B$2:$B$500=A237)*(Intervenções!$A$2:$A$500=F237))),"Nenhuma intervenção registrada hoje.")&amp;CHAR(10)&amp;CHAR(10)&amp;"4. Plano Terapêutico"&amp;CHAR(10)&amp;IF(W237&lt;&gt;"",W237,"Não definido.")</f>
      </c>
    </row>
    <row r="238" spans="1:24" x14ac:dyDescent="0.25">
      <c r="A238" s="6"/>
      <c r="B238" s="9">
        <f>IFERROR(INDEX(Pacientes!$A:$A,MATCH($A238,Pacientes!$B:$B,0)),"")</f>
      </c>
      <c r="C238" s="9">
        <f>IFERROR(INDEX(Pacientes!$C:$C,MATCH($A238,Pacientes!$B:$B,0)),"")</f>
      </c>
      <c r="D238" s="9">
        <f>IFERROR(INDEX(Pacientes!$D:$D,MATCH($A238,Pacientes!$B:$B,0)),"")</f>
      </c>
      <c r="E238" s="9">
        <f>IFERROR(INDEX(Pacientes!$E:$E,MATCH($A238,Pacientes!$B:$B,0)),"")</f>
      </c>
      <c r="F238" s="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>
        <f>"1. Evolução Clínica"&amp;CHAR(10)&amp;TEXTJOIN(" ",TRUE,"Paciente "&amp;G238&amp;", "&amp;IF(H238="","sem DVA","em uso de "&amp;H238)&amp;".",IF(I238&lt;&gt;"","Em "&amp;I238&amp;IF(J238&lt;&gt;""," ("&amp;J238&amp;")","")&amp;IF(K238&lt;&gt;"", ", "&amp;K238,"")&amp;IF(L238&lt;&gt;"", ", sob analgosedação com "&amp;L238,"")&amp;".",""),IF(M238&lt;&gt;"","Dieta "&amp;M238&amp;IF(N238&lt;&gt;"", ", com "&amp;LOWER(N238),"")&amp;IF(O238&lt;&gt;"", " — "&amp;O238,"")&amp;".",""),IF(P238="Febre","Apresentou episódio febril nas últimas 24h"&amp;IF(Q238&lt;&gt;""," ("&amp;Q238&amp;")","")&amp;".",IF(P238="Afebril","Encontra-se afebril.","")),IF(R238&lt;&gt;"",IF(S238="Sim","Apresenta disfunção renal aguda ","Função renal preservada ")&amp;"("&amp;R238&amp;").",""),IF(T238&lt;&gt;"","Em uso do esquema antimicrobiano com "&amp;T238&amp;".",""),IF(U238&lt;&gt;"","Em uso de profilaxia: "&amp;U238&amp;".",""))&amp;CHAR(10)&amp;CHAR(10)&amp;"2. Farmacoterapia"&amp;CHAR(10)&amp;IF(V238&lt;&gt;"","Corticoide/DART: "&amp;V238,"Sem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("&amp;Intervenções!$G$2:$G$500&amp;")",(Intervenções!$B$2:$B$500=A238)*(Intervenções!$A$2:$A$500=F238))),"Nenhuma intervenção registrada hoje.")&amp;CHAR(10)&amp;CHAR(10)&amp;"4. Plano Terapêutico"&amp;CHAR(10)&amp;IF(W238&lt;&gt;"",W238,"Não definido.")</f>
      </c>
    </row>
    <row r="239" spans="1:24" x14ac:dyDescent="0.25">
      <c r="A239" s="6"/>
      <c r="B239" s="9">
        <f>IFERROR(INDEX(Pacientes!$A:$A,MATCH($A239,Pacientes!$B:$B,0)),"")</f>
      </c>
      <c r="C239" s="9">
        <f>IFERROR(INDEX(Pacientes!$C:$C,MATCH($A239,Pacientes!$B:$B,0)),"")</f>
      </c>
      <c r="D239" s="9">
        <f>IFERROR(INDEX(Pacientes!$D:$D,MATCH($A239,Pacientes!$B:$B,0)),"")</f>
      </c>
      <c r="E239" s="9">
        <f>IFERROR(INDEX(Pacientes!$E:$E,MATCH($A239,Pacientes!$B:$B,0)),"")</f>
      </c>
      <c r="F239" s="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>
        <f>"1. Evolução Clínica"&amp;CHAR(10)&amp;TEXTJOIN(" ",TRUE,"Paciente "&amp;G239&amp;", "&amp;IF(H239="","sem DVA","em uso de "&amp;H239)&amp;".",IF(I239&lt;&gt;"","Em "&amp;I239&amp;IF(J239&lt;&gt;""," ("&amp;J239&amp;")","")&amp;IF(K239&lt;&gt;"", ", "&amp;K239,"")&amp;IF(L239&lt;&gt;"", ", sob analgosedação com "&amp;L239,"")&amp;".",""),IF(M239&lt;&gt;"","Dieta "&amp;M239&amp;IF(N239&lt;&gt;"", ", com "&amp;LOWER(N239),"")&amp;IF(O239&lt;&gt;"", " — "&amp;O239,"")&amp;".",""),IF(P239="Febre","Apresentou episódio febril nas últimas 24h"&amp;IF(Q239&lt;&gt;""," ("&amp;Q239&amp;")","")&amp;".",IF(P239="Afebril","Encontra-se afebril.","")),IF(R239&lt;&gt;"",IF(S239="Sim","Apresenta disfunção renal aguda ","Função renal preservada ")&amp;"("&amp;R239&amp;").",""),IF(T239&lt;&gt;"","Em uso do esquema antimicrobiano com "&amp;T239&amp;".",""),IF(U239&lt;&gt;"","Em uso de profilaxia: "&amp;U239&amp;".",""))&amp;CHAR(10)&amp;CHAR(10)&amp;"2. Farmacoterapia"&amp;CHAR(10)&amp;IF(V239&lt;&gt;"","Corticoide/DART: "&amp;V239,"Sem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("&amp;Intervenções!$G$2:$G$500&amp;")",(Intervenções!$B$2:$B$500=A239)*(Intervenções!$A$2:$A$500=F239))),"Nenhuma intervenção registrada hoje.")&amp;CHAR(10)&amp;CHAR(10)&amp;"4. Plano Terapêutico"&amp;CHAR(10)&amp;IF(W239&lt;&gt;"",W239,"Não definido.")</f>
      </c>
    </row>
    <row r="240" spans="1:24" x14ac:dyDescent="0.25">
      <c r="A240" s="6"/>
      <c r="B240" s="9">
        <f>IFERROR(INDEX(Pacientes!$A:$A,MATCH($A240,Pacientes!$B:$B,0)),"")</f>
      </c>
      <c r="C240" s="9">
        <f>IFERROR(INDEX(Pacientes!$C:$C,MATCH($A240,Pacientes!$B:$B,0)),"")</f>
      </c>
      <c r="D240" s="9">
        <f>IFERROR(INDEX(Pacientes!$D:$D,MATCH($A240,Pacientes!$B:$B,0)),"")</f>
      </c>
      <c r="E240" s="9">
        <f>IFERROR(INDEX(Pacientes!$E:$E,MATCH($A240,Pacientes!$B:$B,0)),"")</f>
      </c>
      <c r="F240" s="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>
        <f>"1. Evolução Clínica"&amp;CHAR(10)&amp;TEXTJOIN(" ",TRUE,"Paciente "&amp;G240&amp;", "&amp;IF(H240="","sem DVA","em uso de "&amp;H240)&amp;".",IF(I240&lt;&gt;"","Em "&amp;I240&amp;IF(J240&lt;&gt;""," ("&amp;J240&amp;")","")&amp;IF(K240&lt;&gt;"", ", "&amp;K240,"")&amp;IF(L240&lt;&gt;"", ", sob analgosedação com "&amp;L240,"")&amp;".",""),IF(M240&lt;&gt;"","Dieta "&amp;M240&amp;IF(N240&lt;&gt;"", ", com "&amp;LOWER(N240),"")&amp;IF(O240&lt;&gt;"", " — "&amp;O240,"")&amp;".",""),IF(P240="Febre","Apresentou episódio febril nas últimas 24h"&amp;IF(Q240&lt;&gt;""," ("&amp;Q240&amp;")","")&amp;".",IF(P240="Afebril","Encontra-se afebril.","")),IF(R240&lt;&gt;"",IF(S240="Sim","Apresenta disfunção renal aguda ","Função renal preservada ")&amp;"("&amp;R240&amp;").",""),IF(T240&lt;&gt;"","Em uso do esquema antimicrobiano com "&amp;T240&amp;".",""),IF(U240&lt;&gt;"","Em uso de profilaxia: "&amp;U240&amp;".",""))&amp;CHAR(10)&amp;CHAR(10)&amp;"2. Farmacoterapia"&amp;CHAR(10)&amp;IF(V240&lt;&gt;"","Corticoide/DART: "&amp;V240,"Sem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("&amp;Intervenções!$G$2:$G$500&amp;")",(Intervenções!$B$2:$B$500=A240)*(Intervenções!$A$2:$A$500=F240))),"Nenhuma intervenção registrada hoje.")&amp;CHAR(10)&amp;CHAR(10)&amp;"4. Plano Terapêutico"&amp;CHAR(10)&amp;IF(W240&lt;&gt;"",W240,"Não definido.")</f>
      </c>
    </row>
    <row r="241" spans="1:24" x14ac:dyDescent="0.25">
      <c r="A241" s="6"/>
      <c r="B241" s="9">
        <f>IFERROR(INDEX(Pacientes!$A:$A,MATCH($A241,Pacientes!$B:$B,0)),"")</f>
      </c>
      <c r="C241" s="9">
        <f>IFERROR(INDEX(Pacientes!$C:$C,MATCH($A241,Pacientes!$B:$B,0)),"")</f>
      </c>
      <c r="D241" s="9">
        <f>IFERROR(INDEX(Pacientes!$D:$D,MATCH($A241,Pacientes!$B:$B,0)),"")</f>
      </c>
      <c r="E241" s="9">
        <f>IFERROR(INDEX(Pacientes!$E:$E,MATCH($A241,Pacientes!$B:$B,0)),"")</f>
      </c>
      <c r="F241" s="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>
        <f>"1. Evolução Clínica"&amp;CHAR(10)&amp;TEXTJOIN(" ",TRUE,"Paciente "&amp;G241&amp;", "&amp;IF(H241="","sem DVA","em uso de "&amp;H241)&amp;".",IF(I241&lt;&gt;"","Em "&amp;I241&amp;IF(J241&lt;&gt;""," ("&amp;J241&amp;")","")&amp;IF(K241&lt;&gt;"", ", "&amp;K241,"")&amp;IF(L241&lt;&gt;"", ", sob analgosedação com "&amp;L241,"")&amp;".",""),IF(M241&lt;&gt;"","Dieta "&amp;M241&amp;IF(N241&lt;&gt;"", ", com "&amp;LOWER(N241),"")&amp;IF(O241&lt;&gt;"", " — "&amp;O241,"")&amp;".",""),IF(P241="Febre","Apresentou episódio febril nas últimas 24h"&amp;IF(Q241&lt;&gt;""," ("&amp;Q241&amp;")","")&amp;".",IF(P241="Afebril","Encontra-se afebril.","")),IF(R241&lt;&gt;"",IF(S241="Sim","Apresenta disfunção renal aguda ","Função renal preservada ")&amp;"("&amp;R241&amp;").",""),IF(T241&lt;&gt;"","Em uso do esquema antimicrobiano com "&amp;T241&amp;".",""),IF(U241&lt;&gt;"","Em uso de profilaxia: "&amp;U241&amp;".",""))&amp;CHAR(10)&amp;CHAR(10)&amp;"2. Farmacoterapia"&amp;CHAR(10)&amp;IF(V241&lt;&gt;"","Corticoide/DART: "&amp;V241,"Sem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("&amp;Intervenções!$G$2:$G$500&amp;")",(Intervenções!$B$2:$B$500=A241)*(Intervenções!$A$2:$A$500=F241))),"Nenhuma intervenção registrada hoje.")&amp;CHAR(10)&amp;CHAR(10)&amp;"4. Plano Terapêutico"&amp;CHAR(10)&amp;IF(W241&lt;&gt;"",W241,"Não definido.")</f>
      </c>
    </row>
    <row r="242" spans="1:24" x14ac:dyDescent="0.25">
      <c r="A242" s="6"/>
      <c r="B242" s="9">
        <f>IFERROR(INDEX(Pacientes!$A:$A,MATCH($A242,Pacientes!$B:$B,0)),"")</f>
      </c>
      <c r="C242" s="9">
        <f>IFERROR(INDEX(Pacientes!$C:$C,MATCH($A242,Pacientes!$B:$B,0)),"")</f>
      </c>
      <c r="D242" s="9">
        <f>IFERROR(INDEX(Pacientes!$D:$D,MATCH($A242,Pacientes!$B:$B,0)),"")</f>
      </c>
      <c r="E242" s="9">
        <f>IFERROR(INDEX(Pacientes!$E:$E,MATCH($A242,Pacientes!$B:$B,0)),"")</f>
      </c>
      <c r="F242" s="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>
        <f>"1. Evolução Clínica"&amp;CHAR(10)&amp;TEXTJOIN(" ",TRUE,"Paciente "&amp;G242&amp;", "&amp;IF(H242="","sem DVA","em uso de "&amp;H242)&amp;".",IF(I242&lt;&gt;"","Em "&amp;I242&amp;IF(J242&lt;&gt;""," ("&amp;J242&amp;")","")&amp;IF(K242&lt;&gt;"", ", "&amp;K242,"")&amp;IF(L242&lt;&gt;"", ", sob analgosedação com "&amp;L242,"")&amp;".",""),IF(M242&lt;&gt;"","Dieta "&amp;M242&amp;IF(N242&lt;&gt;"", ", com "&amp;LOWER(N242),"")&amp;IF(O242&lt;&gt;"", " — "&amp;O242,"")&amp;".",""),IF(P242="Febre","Apresentou episódio febril nas últimas 24h"&amp;IF(Q242&lt;&gt;""," ("&amp;Q242&amp;")","")&amp;".",IF(P242="Afebril","Encontra-se afebril.","")),IF(R242&lt;&gt;"",IF(S242="Sim","Apresenta disfunção renal aguda ","Função renal preservada ")&amp;"("&amp;R242&amp;").",""),IF(T242&lt;&gt;"","Em uso do esquema antimicrobiano com "&amp;T242&amp;".",""),IF(U242&lt;&gt;"","Em uso de profilaxia: "&amp;U242&amp;".",""))&amp;CHAR(10)&amp;CHAR(10)&amp;"2. Farmacoterapia"&amp;CHAR(10)&amp;IF(V242&lt;&gt;"","Corticoide/DART: "&amp;V242,"Sem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("&amp;Intervenções!$G$2:$G$500&amp;")",(Intervenções!$B$2:$B$500=A242)*(Intervenções!$A$2:$A$500=F242))),"Nenhuma intervenção registrada hoje.")&amp;CHAR(10)&amp;CHAR(10)&amp;"4. Plano Terapêutico"&amp;CHAR(10)&amp;IF(W242&lt;&gt;"",W242,"Não definido.")</f>
      </c>
    </row>
    <row r="243" spans="1:24" x14ac:dyDescent="0.25">
      <c r="A243" s="6"/>
      <c r="B243" s="9">
        <f>IFERROR(INDEX(Pacientes!$A:$A,MATCH($A243,Pacientes!$B:$B,0)),"")</f>
      </c>
      <c r="C243" s="9">
        <f>IFERROR(INDEX(Pacientes!$C:$C,MATCH($A243,Pacientes!$B:$B,0)),"")</f>
      </c>
      <c r="D243" s="9">
        <f>IFERROR(INDEX(Pacientes!$D:$D,MATCH($A243,Pacientes!$B:$B,0)),"")</f>
      </c>
      <c r="E243" s="9">
        <f>IFERROR(INDEX(Pacientes!$E:$E,MATCH($A243,Pacientes!$B:$B,0)),"")</f>
      </c>
      <c r="F243" s="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>
        <f>"1. Evolução Clínica"&amp;CHAR(10)&amp;TEXTJOIN(" ",TRUE,"Paciente "&amp;G243&amp;", "&amp;IF(H243="","sem DVA","em uso de "&amp;H243)&amp;".",IF(I243&lt;&gt;"","Em "&amp;I243&amp;IF(J243&lt;&gt;""," ("&amp;J243&amp;")","")&amp;IF(K243&lt;&gt;"", ", "&amp;K243,"")&amp;IF(L243&lt;&gt;"", ", sob analgosedação com "&amp;L243,"")&amp;".",""),IF(M243&lt;&gt;"","Dieta "&amp;M243&amp;IF(N243&lt;&gt;"", ", com "&amp;LOWER(N243),"")&amp;IF(O243&lt;&gt;"", " — "&amp;O243,"")&amp;".",""),IF(P243="Febre","Apresentou episódio febril nas últimas 24h"&amp;IF(Q243&lt;&gt;""," ("&amp;Q243&amp;")","")&amp;".",IF(P243="Afebril","Encontra-se afebril.","")),IF(R243&lt;&gt;"",IF(S243="Sim","Apresenta disfunção renal aguda ","Função renal preservada ")&amp;"("&amp;R243&amp;").",""),IF(T243&lt;&gt;"","Em uso do esquema antimicrobiano com "&amp;T243&amp;".",""),IF(U243&lt;&gt;"","Em uso de profilaxia: "&amp;U243&amp;".",""))&amp;CHAR(10)&amp;CHAR(10)&amp;"2. Farmacoterapia"&amp;CHAR(10)&amp;IF(V243&lt;&gt;"","Corticoide/DART: "&amp;V243,"Sem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("&amp;Intervenções!$G$2:$G$500&amp;")",(Intervenções!$B$2:$B$500=A243)*(Intervenções!$A$2:$A$500=F243))),"Nenhuma intervenção registrada hoje.")&amp;CHAR(10)&amp;CHAR(10)&amp;"4. Plano Terapêutico"&amp;CHAR(10)&amp;IF(W243&lt;&gt;"",W243,"Não definido.")</f>
      </c>
    </row>
    <row r="244" spans="1:24" x14ac:dyDescent="0.25">
      <c r="A244" s="6"/>
      <c r="B244" s="9">
        <f>IFERROR(INDEX(Pacientes!$A:$A,MATCH($A244,Pacientes!$B:$B,0)),"")</f>
      </c>
      <c r="C244" s="9">
        <f>IFERROR(INDEX(Pacientes!$C:$C,MATCH($A244,Pacientes!$B:$B,0)),"")</f>
      </c>
      <c r="D244" s="9">
        <f>IFERROR(INDEX(Pacientes!$D:$D,MATCH($A244,Pacientes!$B:$B,0)),"")</f>
      </c>
      <c r="E244" s="9">
        <f>IFERROR(INDEX(Pacientes!$E:$E,MATCH($A244,Pacientes!$B:$B,0)),"")</f>
      </c>
      <c r="F244" s="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>
        <f>"1. Evolução Clínica"&amp;CHAR(10)&amp;TEXTJOIN(" ",TRUE,"Paciente "&amp;G244&amp;", "&amp;IF(H244="","sem DVA","em uso de "&amp;H244)&amp;".",IF(I244&lt;&gt;"","Em "&amp;I244&amp;IF(J244&lt;&gt;""," ("&amp;J244&amp;")","")&amp;IF(K244&lt;&gt;"", ", "&amp;K244,"")&amp;IF(L244&lt;&gt;"", ", sob analgosedação com "&amp;L244,"")&amp;".",""),IF(M244&lt;&gt;"","Dieta "&amp;M244&amp;IF(N244&lt;&gt;"", ", com "&amp;LOWER(N244),"")&amp;IF(O244&lt;&gt;"", " — "&amp;O244,"")&amp;".",""),IF(P244="Febre","Apresentou episódio febril nas últimas 24h"&amp;IF(Q244&lt;&gt;""," ("&amp;Q244&amp;")","")&amp;".",IF(P244="Afebril","Encontra-se afebril.","")),IF(R244&lt;&gt;"",IF(S244="Sim","Apresenta disfunção renal aguda ","Função renal preservada ")&amp;"("&amp;R244&amp;").",""),IF(T244&lt;&gt;"","Em uso do esquema antimicrobiano com "&amp;T244&amp;".",""),IF(U244&lt;&gt;"","Em uso de profilaxia: "&amp;U244&amp;".",""))&amp;CHAR(10)&amp;CHAR(10)&amp;"2. Farmacoterapia"&amp;CHAR(10)&amp;IF(V244&lt;&gt;"","Corticoide/DART: "&amp;V244,"Sem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("&amp;Intervenções!$G$2:$G$500&amp;")",(Intervenções!$B$2:$B$500=A244)*(Intervenções!$A$2:$A$500=F244))),"Nenhuma intervenção registrada hoje.")&amp;CHAR(10)&amp;CHAR(10)&amp;"4. Plano Terapêutico"&amp;CHAR(10)&amp;IF(W244&lt;&gt;"",W244,"Não definido.")</f>
      </c>
    </row>
    <row r="245" spans="1:24" x14ac:dyDescent="0.25">
      <c r="A245" s="6"/>
      <c r="B245" s="9">
        <f>IFERROR(INDEX(Pacientes!$A:$A,MATCH($A245,Pacientes!$B:$B,0)),"")</f>
      </c>
      <c r="C245" s="9">
        <f>IFERROR(INDEX(Pacientes!$C:$C,MATCH($A245,Pacientes!$B:$B,0)),"")</f>
      </c>
      <c r="D245" s="9">
        <f>IFERROR(INDEX(Pacientes!$D:$D,MATCH($A245,Pacientes!$B:$B,0)),"")</f>
      </c>
      <c r="E245" s="9">
        <f>IFERROR(INDEX(Pacientes!$E:$E,MATCH($A245,Pacientes!$B:$B,0)),"")</f>
      </c>
      <c r="F245" s="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>
        <f>"1. Evolução Clínica"&amp;CHAR(10)&amp;TEXTJOIN(" ",TRUE,"Paciente "&amp;G245&amp;", "&amp;IF(H245="","sem DVA","em uso de "&amp;H245)&amp;".",IF(I245&lt;&gt;"","Em "&amp;I245&amp;IF(J245&lt;&gt;""," ("&amp;J245&amp;")","")&amp;IF(K245&lt;&gt;"", ", "&amp;K245,"")&amp;IF(L245&lt;&gt;"", ", sob analgosedação com "&amp;L245,"")&amp;".",""),IF(M245&lt;&gt;"","Dieta "&amp;M245&amp;IF(N245&lt;&gt;"", ", com "&amp;LOWER(N245),"")&amp;IF(O245&lt;&gt;"", " — "&amp;O245,"")&amp;".",""),IF(P245="Febre","Apresentou episódio febril nas últimas 24h"&amp;IF(Q245&lt;&gt;""," ("&amp;Q245&amp;")","")&amp;".",IF(P245="Afebril","Encontra-se afebril.","")),IF(R245&lt;&gt;"",IF(S245="Sim","Apresenta disfunção renal aguda ","Função renal preservada ")&amp;"("&amp;R245&amp;").",""),IF(T245&lt;&gt;"","Em uso do esquema antimicrobiano com "&amp;T245&amp;".",""),IF(U245&lt;&gt;"","Em uso de profilaxia: "&amp;U245&amp;".",""))&amp;CHAR(10)&amp;CHAR(10)&amp;"2. Farmacoterapia"&amp;CHAR(10)&amp;IF(V245&lt;&gt;"","Corticoide/DART: "&amp;V245,"Sem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("&amp;Intervenções!$G$2:$G$500&amp;")",(Intervenções!$B$2:$B$500=A245)*(Intervenções!$A$2:$A$500=F245))),"Nenhuma intervenção registrada hoje.")&amp;CHAR(10)&amp;CHAR(10)&amp;"4. Plano Terapêutico"&amp;CHAR(10)&amp;IF(W245&lt;&gt;"",W245,"Não definido.")</f>
      </c>
    </row>
    <row r="246" spans="1:24" x14ac:dyDescent="0.25">
      <c r="A246" s="6"/>
      <c r="B246" s="9">
        <f>IFERROR(INDEX(Pacientes!$A:$A,MATCH($A246,Pacientes!$B:$B,0)),"")</f>
      </c>
      <c r="C246" s="9">
        <f>IFERROR(INDEX(Pacientes!$C:$C,MATCH($A246,Pacientes!$B:$B,0)),"")</f>
      </c>
      <c r="D246" s="9">
        <f>IFERROR(INDEX(Pacientes!$D:$D,MATCH($A246,Pacientes!$B:$B,0)),"")</f>
      </c>
      <c r="E246" s="9">
        <f>IFERROR(INDEX(Pacientes!$E:$E,MATCH($A246,Pacientes!$B:$B,0)),"")</f>
      </c>
      <c r="F246" s="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>
        <f>"1. Evolução Clínica"&amp;CHAR(10)&amp;TEXTJOIN(" ",TRUE,"Paciente "&amp;G246&amp;", "&amp;IF(H246="","sem DVA","em uso de "&amp;H246)&amp;".",IF(I246&lt;&gt;"","Em "&amp;I246&amp;IF(J246&lt;&gt;""," ("&amp;J246&amp;")","")&amp;IF(K246&lt;&gt;"", ", "&amp;K246,"")&amp;IF(L246&lt;&gt;"", ", sob analgosedação com "&amp;L246,"")&amp;".",""),IF(M246&lt;&gt;"","Dieta "&amp;M246&amp;IF(N246&lt;&gt;"", ", com "&amp;LOWER(N246),"")&amp;IF(O246&lt;&gt;"", " — "&amp;O246,"")&amp;".",""),IF(P246="Febre","Apresentou episódio febril nas últimas 24h"&amp;IF(Q246&lt;&gt;""," ("&amp;Q246&amp;")","")&amp;".",IF(P246="Afebril","Encontra-se afebril.","")),IF(R246&lt;&gt;"",IF(S246="Sim","Apresenta disfunção renal aguda ","Função renal preservada ")&amp;"("&amp;R246&amp;").",""),IF(T246&lt;&gt;"","Em uso do esquema antimicrobiano com "&amp;T246&amp;".",""),IF(U246&lt;&gt;"","Em uso de profilaxia: "&amp;U246&amp;".",""))&amp;CHAR(10)&amp;CHAR(10)&amp;"2. Farmacoterapia"&amp;CHAR(10)&amp;IF(V246&lt;&gt;"","Corticoide/DART: "&amp;V246,"Sem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("&amp;Intervenções!$G$2:$G$500&amp;")",(Intervenções!$B$2:$B$500=A246)*(Intervenções!$A$2:$A$500=F246))),"Nenhuma intervenção registrada hoje.")&amp;CHAR(10)&amp;CHAR(10)&amp;"4. Plano Terapêutico"&amp;CHAR(10)&amp;IF(W246&lt;&gt;"",W246,"Não definido.")</f>
      </c>
    </row>
    <row r="247" spans="1:24" x14ac:dyDescent="0.25">
      <c r="A247" s="6"/>
      <c r="B247" s="9">
        <f>IFERROR(INDEX(Pacientes!$A:$A,MATCH($A247,Pacientes!$B:$B,0)),"")</f>
      </c>
      <c r="C247" s="9">
        <f>IFERROR(INDEX(Pacientes!$C:$C,MATCH($A247,Pacientes!$B:$B,0)),"")</f>
      </c>
      <c r="D247" s="9">
        <f>IFERROR(INDEX(Pacientes!$D:$D,MATCH($A247,Pacientes!$B:$B,0)),"")</f>
      </c>
      <c r="E247" s="9">
        <f>IFERROR(INDEX(Pacientes!$E:$E,MATCH($A247,Pacientes!$B:$B,0)),"")</f>
      </c>
      <c r="F247" s="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>
        <f>"1. Evolução Clínica"&amp;CHAR(10)&amp;TEXTJOIN(" ",TRUE,"Paciente "&amp;G247&amp;", "&amp;IF(H247="","sem DVA","em uso de "&amp;H247)&amp;".",IF(I247&lt;&gt;"","Em "&amp;I247&amp;IF(J247&lt;&gt;""," ("&amp;J247&amp;")","")&amp;IF(K247&lt;&gt;"", ", "&amp;K247,"")&amp;IF(L247&lt;&gt;"", ", sob analgosedação com "&amp;L247,"")&amp;".",""),IF(M247&lt;&gt;"","Dieta "&amp;M247&amp;IF(N247&lt;&gt;"", ", com "&amp;LOWER(N247),"")&amp;IF(O247&lt;&gt;"", " — "&amp;O247,"")&amp;".",""),IF(P247="Febre","Apresentou episódio febril nas últimas 24h"&amp;IF(Q247&lt;&gt;""," ("&amp;Q247&amp;")","")&amp;".",IF(P247="Afebril","Encontra-se afebril.","")),IF(R247&lt;&gt;"",IF(S247="Sim","Apresenta disfunção renal aguda ","Função renal preservada ")&amp;"("&amp;R247&amp;").",""),IF(T247&lt;&gt;"","Em uso do esquema antimicrobiano com "&amp;T247&amp;".",""),IF(U247&lt;&gt;"","Em uso de profilaxia: "&amp;U247&amp;".",""))&amp;CHAR(10)&amp;CHAR(10)&amp;"2. Farmacoterapia"&amp;CHAR(10)&amp;IF(V247&lt;&gt;"","Corticoide/DART: "&amp;V247,"Sem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("&amp;Intervenções!$G$2:$G$500&amp;")",(Intervenções!$B$2:$B$500=A247)*(Intervenções!$A$2:$A$500=F247))),"Nenhuma intervenção registrada hoje.")&amp;CHAR(10)&amp;CHAR(10)&amp;"4. Plano Terapêutico"&amp;CHAR(10)&amp;IF(W247&lt;&gt;"",W247,"Não definido.")</f>
      </c>
    </row>
    <row r="248" spans="1:24" x14ac:dyDescent="0.25">
      <c r="A248" s="6"/>
      <c r="B248" s="9">
        <f>IFERROR(INDEX(Pacientes!$A:$A,MATCH($A248,Pacientes!$B:$B,0)),"")</f>
      </c>
      <c r="C248" s="9">
        <f>IFERROR(INDEX(Pacientes!$C:$C,MATCH($A248,Pacientes!$B:$B,0)),"")</f>
      </c>
      <c r="D248" s="9">
        <f>IFERROR(INDEX(Pacientes!$D:$D,MATCH($A248,Pacientes!$B:$B,0)),"")</f>
      </c>
      <c r="E248" s="9">
        <f>IFERROR(INDEX(Pacientes!$E:$E,MATCH($A248,Pacientes!$B:$B,0)),"")</f>
      </c>
      <c r="F248" s="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>
        <f>"1. Evolução Clínica"&amp;CHAR(10)&amp;TEXTJOIN(" ",TRUE,"Paciente "&amp;G248&amp;", "&amp;IF(H248="","sem DVA","em uso de "&amp;H248)&amp;".",IF(I248&lt;&gt;"","Em "&amp;I248&amp;IF(J248&lt;&gt;""," ("&amp;J248&amp;")","")&amp;IF(K248&lt;&gt;"", ", "&amp;K248,"")&amp;IF(L248&lt;&gt;"", ", sob analgosedação com "&amp;L248,"")&amp;".",""),IF(M248&lt;&gt;"","Dieta "&amp;M248&amp;IF(N248&lt;&gt;"", ", com "&amp;LOWER(N248),"")&amp;IF(O248&lt;&gt;"", " — "&amp;O248,"")&amp;".",""),IF(P248="Febre","Apresentou episódio febril nas últimas 24h"&amp;IF(Q248&lt;&gt;""," ("&amp;Q248&amp;")","")&amp;".",IF(P248="Afebril","Encontra-se afebril.","")),IF(R248&lt;&gt;"",IF(S248="Sim","Apresenta disfunção renal aguda ","Função renal preservada ")&amp;"("&amp;R248&amp;").",""),IF(T248&lt;&gt;"","Em uso do esquema antimicrobiano com "&amp;T248&amp;".",""),IF(U248&lt;&gt;"","Em uso de profilaxia: "&amp;U248&amp;".",""))&amp;CHAR(10)&amp;CHAR(10)&amp;"2. Farmacoterapia"&amp;CHAR(10)&amp;IF(V248&lt;&gt;"","Corticoide/DART: "&amp;V248,"Sem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("&amp;Intervenções!$G$2:$G$500&amp;")",(Intervenções!$B$2:$B$500=A248)*(Intervenções!$A$2:$A$500=F248))),"Nenhuma intervenção registrada hoje.")&amp;CHAR(10)&amp;CHAR(10)&amp;"4. Plano Terapêutico"&amp;CHAR(10)&amp;IF(W248&lt;&gt;"",W248,"Não definido.")</f>
      </c>
    </row>
    <row r="249" spans="1:24" x14ac:dyDescent="0.25">
      <c r="A249" s="6"/>
      <c r="B249" s="9">
        <f>IFERROR(INDEX(Pacientes!$A:$A,MATCH($A249,Pacientes!$B:$B,0)),"")</f>
      </c>
      <c r="C249" s="9">
        <f>IFERROR(INDEX(Pacientes!$C:$C,MATCH($A249,Pacientes!$B:$B,0)),"")</f>
      </c>
      <c r="D249" s="9">
        <f>IFERROR(INDEX(Pacientes!$D:$D,MATCH($A249,Pacientes!$B:$B,0)),"")</f>
      </c>
      <c r="E249" s="9">
        <f>IFERROR(INDEX(Pacientes!$E:$E,MATCH($A249,Pacientes!$B:$B,0)),"")</f>
      </c>
      <c r="F249" s="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>
        <f>"1. Evolução Clínica"&amp;CHAR(10)&amp;TEXTJOIN(" ",TRUE,"Paciente "&amp;G249&amp;", "&amp;IF(H249="","sem DVA","em uso de "&amp;H249)&amp;".",IF(I249&lt;&gt;"","Em "&amp;I249&amp;IF(J249&lt;&gt;""," ("&amp;J249&amp;")","")&amp;IF(K249&lt;&gt;"", ", "&amp;K249,"")&amp;IF(L249&lt;&gt;"", ", sob analgosedação com "&amp;L249,"")&amp;".",""),IF(M249&lt;&gt;"","Dieta "&amp;M249&amp;IF(N249&lt;&gt;"", ", com "&amp;LOWER(N249),"")&amp;IF(O249&lt;&gt;"", " — "&amp;O249,"")&amp;".",""),IF(P249="Febre","Apresentou episódio febril nas últimas 24h"&amp;IF(Q249&lt;&gt;""," ("&amp;Q249&amp;")","")&amp;".",IF(P249="Afebril","Encontra-se afebril.","")),IF(R249&lt;&gt;"",IF(S249="Sim","Apresenta disfunção renal aguda ","Função renal preservada ")&amp;"("&amp;R249&amp;").",""),IF(T249&lt;&gt;"","Em uso do esquema antimicrobiano com "&amp;T249&amp;".",""),IF(U249&lt;&gt;"","Em uso de profilaxia: "&amp;U249&amp;".",""))&amp;CHAR(10)&amp;CHAR(10)&amp;"2. Farmacoterapia"&amp;CHAR(10)&amp;IF(V249&lt;&gt;"","Corticoide/DART: "&amp;V249,"Sem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("&amp;Intervenções!$G$2:$G$500&amp;")",(Intervenções!$B$2:$B$500=A249)*(Intervenções!$A$2:$A$500=F249))),"Nenhuma intervenção registrada hoje.")&amp;CHAR(10)&amp;CHAR(10)&amp;"4. Plano Terapêutico"&amp;CHAR(10)&amp;IF(W249&lt;&gt;"",W249,"Não definido.")</f>
      </c>
    </row>
    <row r="250" spans="1:24" x14ac:dyDescent="0.25">
      <c r="A250" s="6"/>
      <c r="B250" s="9">
        <f>IFERROR(INDEX(Pacientes!$A:$A,MATCH($A250,Pacientes!$B:$B,0)),"")</f>
      </c>
      <c r="C250" s="9">
        <f>IFERROR(INDEX(Pacientes!$C:$C,MATCH($A250,Pacientes!$B:$B,0)),"")</f>
      </c>
      <c r="D250" s="9">
        <f>IFERROR(INDEX(Pacientes!$D:$D,MATCH($A250,Pacientes!$B:$B,0)),"")</f>
      </c>
      <c r="E250" s="9">
        <f>IFERROR(INDEX(Pacientes!$E:$E,MATCH($A250,Pacientes!$B:$B,0)),"")</f>
      </c>
      <c r="F250" s="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>
        <f>"1. Evolução Clínica"&amp;CHAR(10)&amp;TEXTJOIN(" ",TRUE,"Paciente "&amp;G250&amp;", "&amp;IF(H250="","sem DVA","em uso de "&amp;H250)&amp;".",IF(I250&lt;&gt;"","Em "&amp;I250&amp;IF(J250&lt;&gt;""," ("&amp;J250&amp;")","")&amp;IF(K250&lt;&gt;"", ", "&amp;K250,"")&amp;IF(L250&lt;&gt;"", ", sob analgosedação com "&amp;L250,"")&amp;".",""),IF(M250&lt;&gt;"","Dieta "&amp;M250&amp;IF(N250&lt;&gt;"", ", com "&amp;LOWER(N250),"")&amp;IF(O250&lt;&gt;"", " — "&amp;O250,"")&amp;".",""),IF(P250="Febre","Apresentou episódio febril nas últimas 24h"&amp;IF(Q250&lt;&gt;""," ("&amp;Q250&amp;")","")&amp;".",IF(P250="Afebril","Encontra-se afebril.","")),IF(R250&lt;&gt;"",IF(S250="Sim","Apresenta disfunção renal aguda ","Função renal preservada ")&amp;"("&amp;R250&amp;").",""),IF(T250&lt;&gt;"","Em uso do esquema antimicrobiano com "&amp;T250&amp;".",""),IF(U250&lt;&gt;"","Em uso de profilaxia: "&amp;U250&amp;".",""))&amp;CHAR(10)&amp;CHAR(10)&amp;"2. Farmacoterapia"&amp;CHAR(10)&amp;IF(V250&lt;&gt;"","Corticoide/DART: "&amp;V250,"Sem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("&amp;Intervenções!$G$2:$G$500&amp;")",(Intervenções!$B$2:$B$500=A250)*(Intervenções!$A$2:$A$500=F250))),"Nenhuma intervenção registrada hoje.")&amp;CHAR(10)&amp;CHAR(10)&amp;"4. Plano Terapêutico"&amp;CHAR(10)&amp;IF(W250&lt;&gt;"",W250,"Não definido.")</f>
      </c>
    </row>
    <row r="251" spans="1:24" x14ac:dyDescent="0.25">
      <c r="A251" s="6"/>
      <c r="B251" s="9">
        <f>IFERROR(INDEX(Pacientes!$A:$A,MATCH($A251,Pacientes!$B:$B,0)),"")</f>
      </c>
      <c r="C251" s="9">
        <f>IFERROR(INDEX(Pacientes!$C:$C,MATCH($A251,Pacientes!$B:$B,0)),"")</f>
      </c>
      <c r="D251" s="9">
        <f>IFERROR(INDEX(Pacientes!$D:$D,MATCH($A251,Pacientes!$B:$B,0)),"")</f>
      </c>
      <c r="E251" s="9">
        <f>IFERROR(INDEX(Pacientes!$E:$E,MATCH($A251,Pacientes!$B:$B,0)),"")</f>
      </c>
      <c r="F251" s="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>
        <f>"1. Evolução Clínica"&amp;CHAR(10)&amp;TEXTJOIN(" ",TRUE,"Paciente "&amp;G251&amp;", "&amp;IF(H251="","sem DVA","em uso de "&amp;H251)&amp;".",IF(I251&lt;&gt;"","Em "&amp;I251&amp;IF(J251&lt;&gt;""," ("&amp;J251&amp;")","")&amp;IF(K251&lt;&gt;"", ", "&amp;K251,"")&amp;IF(L251&lt;&gt;"", ", sob analgosedação com "&amp;L251,"")&amp;".",""),IF(M251&lt;&gt;"","Dieta "&amp;M251&amp;IF(N251&lt;&gt;"", ", com "&amp;LOWER(N251),"")&amp;IF(O251&lt;&gt;"", " — "&amp;O251,"")&amp;".",""),IF(P251="Febre","Apresentou episódio febril nas últimas 24h"&amp;IF(Q251&lt;&gt;""," ("&amp;Q251&amp;")","")&amp;".",IF(P251="Afebril","Encontra-se afebril.","")),IF(R251&lt;&gt;"",IF(S251="Sim","Apresenta disfunção renal aguda ","Função renal preservada ")&amp;"("&amp;R251&amp;").",""),IF(T251&lt;&gt;"","Em uso do esquema antimicrobiano com "&amp;T251&amp;".",""),IF(U251&lt;&gt;"","Em uso de profilaxia: "&amp;U251&amp;".",""))&amp;CHAR(10)&amp;CHAR(10)&amp;"2. Farmacoterapia"&amp;CHAR(10)&amp;IF(V251&lt;&gt;"","Corticoide/DART: "&amp;V251,"Sem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("&amp;Intervenções!$G$2:$G$500&amp;")",(Intervenções!$B$2:$B$500=A251)*(Intervenções!$A$2:$A$500=F251))),"Nenhuma intervenção registrada hoje.")&amp;CHAR(10)&amp;CHAR(10)&amp;"4. Plano Terapêutico"&amp;CHAR(10)&amp;IF(W251&lt;&gt;"",W251,"Não definido.")</f>
      </c>
    </row>
    <row r="252" spans="1:24" x14ac:dyDescent="0.25">
      <c r="A252" s="6"/>
      <c r="B252" s="9">
        <f>IFERROR(INDEX(Pacientes!$A:$A,MATCH($A252,Pacientes!$B:$B,0)),"")</f>
      </c>
      <c r="C252" s="9">
        <f>IFERROR(INDEX(Pacientes!$C:$C,MATCH($A252,Pacientes!$B:$B,0)),"")</f>
      </c>
      <c r="D252" s="9">
        <f>IFERROR(INDEX(Pacientes!$D:$D,MATCH($A252,Pacientes!$B:$B,0)),"")</f>
      </c>
      <c r="E252" s="9">
        <f>IFERROR(INDEX(Pacientes!$E:$E,MATCH($A252,Pacientes!$B:$B,0)),"")</f>
      </c>
      <c r="F252" s="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>
        <f>"1. Evolução Clínica"&amp;CHAR(10)&amp;TEXTJOIN(" ",TRUE,"Paciente "&amp;G252&amp;", "&amp;IF(H252="","sem DVA","em uso de "&amp;H252)&amp;".",IF(I252&lt;&gt;"","Em "&amp;I252&amp;IF(J252&lt;&gt;""," ("&amp;J252&amp;")","")&amp;IF(K252&lt;&gt;"", ", "&amp;K252,"")&amp;IF(L252&lt;&gt;"", ", sob analgosedação com "&amp;L252,"")&amp;".",""),IF(M252&lt;&gt;"","Dieta "&amp;M252&amp;IF(N252&lt;&gt;"", ", com "&amp;LOWER(N252),"")&amp;IF(O252&lt;&gt;"", " — "&amp;O252,"")&amp;".",""),IF(P252="Febre","Apresentou episódio febril nas últimas 24h"&amp;IF(Q252&lt;&gt;""," ("&amp;Q252&amp;")","")&amp;".",IF(P252="Afebril","Encontra-se afebril.","")),IF(R252&lt;&gt;"",IF(S252="Sim","Apresenta disfunção renal aguda ","Função renal preservada ")&amp;"("&amp;R252&amp;").",""),IF(T252&lt;&gt;"","Em uso do esquema antimicrobiano com "&amp;T252&amp;".",""),IF(U252&lt;&gt;"","Em uso de profilaxia: "&amp;U252&amp;".",""))&amp;CHAR(10)&amp;CHAR(10)&amp;"2. Farmacoterapia"&amp;CHAR(10)&amp;IF(V252&lt;&gt;"","Corticoide/DART: "&amp;V252,"Sem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("&amp;Intervenções!$G$2:$G$500&amp;")",(Intervenções!$B$2:$B$500=A252)*(Intervenções!$A$2:$A$500=F252))),"Nenhuma intervenção registrada hoje.")&amp;CHAR(10)&amp;CHAR(10)&amp;"4. Plano Terapêutico"&amp;CHAR(10)&amp;IF(W252&lt;&gt;"",W252,"Não definido.")</f>
      </c>
    </row>
    <row r="253" spans="1:24" x14ac:dyDescent="0.25">
      <c r="A253" s="6"/>
      <c r="B253" s="9">
        <f>IFERROR(INDEX(Pacientes!$A:$A,MATCH($A253,Pacientes!$B:$B,0)),"")</f>
      </c>
      <c r="C253" s="9">
        <f>IFERROR(INDEX(Pacientes!$C:$C,MATCH($A253,Pacientes!$B:$B,0)),"")</f>
      </c>
      <c r="D253" s="9">
        <f>IFERROR(INDEX(Pacientes!$D:$D,MATCH($A253,Pacientes!$B:$B,0)),"")</f>
      </c>
      <c r="E253" s="9">
        <f>IFERROR(INDEX(Pacientes!$E:$E,MATCH($A253,Pacientes!$B:$B,0)),"")</f>
      </c>
      <c r="F253" s="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>
        <f>"1. Evolução Clínica"&amp;CHAR(10)&amp;TEXTJOIN(" ",TRUE,"Paciente "&amp;G253&amp;", "&amp;IF(H253="","sem DVA","em uso de "&amp;H253)&amp;".",IF(I253&lt;&gt;"","Em "&amp;I253&amp;IF(J253&lt;&gt;""," ("&amp;J253&amp;")","")&amp;IF(K253&lt;&gt;"", ", "&amp;K253,"")&amp;IF(L253&lt;&gt;"", ", sob analgosedação com "&amp;L253,"")&amp;".",""),IF(M253&lt;&gt;"","Dieta "&amp;M253&amp;IF(N253&lt;&gt;"", ", com "&amp;LOWER(N253),"")&amp;IF(O253&lt;&gt;"", " — "&amp;O253,"")&amp;".",""),IF(P253="Febre","Apresentou episódio febril nas últimas 24h"&amp;IF(Q253&lt;&gt;""," ("&amp;Q253&amp;")","")&amp;".",IF(P253="Afebril","Encontra-se afebril.","")),IF(R253&lt;&gt;"",IF(S253="Sim","Apresenta disfunção renal aguda ","Função renal preservada ")&amp;"("&amp;R253&amp;").",""),IF(T253&lt;&gt;"","Em uso do esquema antimicrobiano com "&amp;T253&amp;".",""),IF(U253&lt;&gt;"","Em uso de profilaxia: "&amp;U253&amp;".",""))&amp;CHAR(10)&amp;CHAR(10)&amp;"2. Farmacoterapia"&amp;CHAR(10)&amp;IF(V253&lt;&gt;"","Corticoide/DART: "&amp;V253,"Sem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("&amp;Intervenções!$G$2:$G$500&amp;")",(Intervenções!$B$2:$B$500=A253)*(Intervenções!$A$2:$A$500=F253))),"Nenhuma intervenção registrada hoje.")&amp;CHAR(10)&amp;CHAR(10)&amp;"4. Plano Terapêutico"&amp;CHAR(10)&amp;IF(W253&lt;&gt;"",W253,"Não definido.")</f>
      </c>
    </row>
    <row r="254" spans="1:24" x14ac:dyDescent="0.25">
      <c r="A254" s="6"/>
      <c r="B254" s="9">
        <f>IFERROR(INDEX(Pacientes!$A:$A,MATCH($A254,Pacientes!$B:$B,0)),"")</f>
      </c>
      <c r="C254" s="9">
        <f>IFERROR(INDEX(Pacientes!$C:$C,MATCH($A254,Pacientes!$B:$B,0)),"")</f>
      </c>
      <c r="D254" s="9">
        <f>IFERROR(INDEX(Pacientes!$D:$D,MATCH($A254,Pacientes!$B:$B,0)),"")</f>
      </c>
      <c r="E254" s="9">
        <f>IFERROR(INDEX(Pacientes!$E:$E,MATCH($A254,Pacientes!$B:$B,0)),"")</f>
      </c>
      <c r="F254" s="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>
        <f>"1. Evolução Clínica"&amp;CHAR(10)&amp;TEXTJOIN(" ",TRUE,"Paciente "&amp;G254&amp;", "&amp;IF(H254="","sem DVA","em uso de "&amp;H254)&amp;".",IF(I254&lt;&gt;"","Em "&amp;I254&amp;IF(J254&lt;&gt;""," ("&amp;J254&amp;")","")&amp;IF(K254&lt;&gt;"", ", "&amp;K254,"")&amp;IF(L254&lt;&gt;"", ", sob analgosedação com "&amp;L254,"")&amp;".",""),IF(M254&lt;&gt;"","Dieta "&amp;M254&amp;IF(N254&lt;&gt;"", ", com "&amp;LOWER(N254),"")&amp;IF(O254&lt;&gt;"", " — "&amp;O254,"")&amp;".",""),IF(P254="Febre","Apresentou episódio febril nas últimas 24h"&amp;IF(Q254&lt;&gt;""," ("&amp;Q254&amp;")","")&amp;".",IF(P254="Afebril","Encontra-se afebril.","")),IF(R254&lt;&gt;"",IF(S254="Sim","Apresenta disfunção renal aguda ","Função renal preservada ")&amp;"("&amp;R254&amp;").",""),IF(T254&lt;&gt;"","Em uso do esquema antimicrobiano com "&amp;T254&amp;".",""),IF(U254&lt;&gt;"","Em uso de profilaxia: "&amp;U254&amp;".",""))&amp;CHAR(10)&amp;CHAR(10)&amp;"2. Farmacoterapia"&amp;CHAR(10)&amp;IF(V254&lt;&gt;"","Corticoide/DART: "&amp;V254,"Sem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("&amp;Intervenções!$G$2:$G$500&amp;")",(Intervenções!$B$2:$B$500=A254)*(Intervenções!$A$2:$A$500=F254))),"Nenhuma intervenção registrada hoje.")&amp;CHAR(10)&amp;CHAR(10)&amp;"4. Plano Terapêutico"&amp;CHAR(10)&amp;IF(W254&lt;&gt;"",W254,"Não definido.")</f>
      </c>
    </row>
    <row r="255" spans="1:24" x14ac:dyDescent="0.25">
      <c r="A255" s="6"/>
      <c r="B255" s="9">
        <f>IFERROR(INDEX(Pacientes!$A:$A,MATCH($A255,Pacientes!$B:$B,0)),"")</f>
      </c>
      <c r="C255" s="9">
        <f>IFERROR(INDEX(Pacientes!$C:$C,MATCH($A255,Pacientes!$B:$B,0)),"")</f>
      </c>
      <c r="D255" s="9">
        <f>IFERROR(INDEX(Pacientes!$D:$D,MATCH($A255,Pacientes!$B:$B,0)),"")</f>
      </c>
      <c r="E255" s="9">
        <f>IFERROR(INDEX(Pacientes!$E:$E,MATCH($A255,Pacientes!$B:$B,0)),"")</f>
      </c>
      <c r="F255" s="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>
        <f>"1. Evolução Clínica"&amp;CHAR(10)&amp;TEXTJOIN(" ",TRUE,"Paciente "&amp;G255&amp;", "&amp;IF(H255="","sem DVA","em uso de "&amp;H255)&amp;".",IF(I255&lt;&gt;"","Em "&amp;I255&amp;IF(J255&lt;&gt;""," ("&amp;J255&amp;")","")&amp;IF(K255&lt;&gt;"", ", "&amp;K255,"")&amp;IF(L255&lt;&gt;"", ", sob analgosedação com "&amp;L255,"")&amp;".",""),IF(M255&lt;&gt;"","Dieta "&amp;M255&amp;IF(N255&lt;&gt;"", ", com "&amp;LOWER(N255),"")&amp;IF(O255&lt;&gt;"", " — "&amp;O255,"")&amp;".",""),IF(P255="Febre","Apresentou episódio febril nas últimas 24h"&amp;IF(Q255&lt;&gt;""," ("&amp;Q255&amp;")","")&amp;".",IF(P255="Afebril","Encontra-se afebril.","")),IF(R255&lt;&gt;"",IF(S255="Sim","Apresenta disfunção renal aguda ","Função renal preservada ")&amp;"("&amp;R255&amp;").",""),IF(T255&lt;&gt;"","Em uso do esquema antimicrobiano com "&amp;T255&amp;".",""),IF(U255&lt;&gt;"","Em uso de profilaxia: "&amp;U255&amp;".",""))&amp;CHAR(10)&amp;CHAR(10)&amp;"2. Farmacoterapia"&amp;CHAR(10)&amp;IF(V255&lt;&gt;"","Corticoide/DART: "&amp;V255,"Sem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("&amp;Intervenções!$G$2:$G$500&amp;")",(Intervenções!$B$2:$B$500=A255)*(Intervenções!$A$2:$A$500=F255))),"Nenhuma intervenção registrada hoje.")&amp;CHAR(10)&amp;CHAR(10)&amp;"4. Plano Terapêutico"&amp;CHAR(10)&amp;IF(W255&lt;&gt;"",W255,"Não definido.")</f>
      </c>
    </row>
    <row r="256" spans="1:24" x14ac:dyDescent="0.25">
      <c r="A256" s="6"/>
      <c r="B256" s="9">
        <f>IFERROR(INDEX(Pacientes!$A:$A,MATCH($A256,Pacientes!$B:$B,0)),"")</f>
      </c>
      <c r="C256" s="9">
        <f>IFERROR(INDEX(Pacientes!$C:$C,MATCH($A256,Pacientes!$B:$B,0)),"")</f>
      </c>
      <c r="D256" s="9">
        <f>IFERROR(INDEX(Pacientes!$D:$D,MATCH($A256,Pacientes!$B:$B,0)),"")</f>
      </c>
      <c r="E256" s="9">
        <f>IFERROR(INDEX(Pacientes!$E:$E,MATCH($A256,Pacientes!$B:$B,0)),"")</f>
      </c>
      <c r="F256" s="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>
        <f>"1. Evolução Clínica"&amp;CHAR(10)&amp;TEXTJOIN(" ",TRUE,"Paciente "&amp;G256&amp;", "&amp;IF(H256="","sem DVA","em uso de "&amp;H256)&amp;".",IF(I256&lt;&gt;"","Em "&amp;I256&amp;IF(J256&lt;&gt;""," ("&amp;J256&amp;")","")&amp;IF(K256&lt;&gt;"", ", "&amp;K256,"")&amp;IF(L256&lt;&gt;"", ", sob analgosedação com "&amp;L256,"")&amp;".",""),IF(M256&lt;&gt;"","Dieta "&amp;M256&amp;IF(N256&lt;&gt;"", ", com "&amp;LOWER(N256),"")&amp;IF(O256&lt;&gt;"", " — "&amp;O256,"")&amp;".",""),IF(P256="Febre","Apresentou episódio febril nas últimas 24h"&amp;IF(Q256&lt;&gt;""," ("&amp;Q256&amp;")","")&amp;".",IF(P256="Afebril","Encontra-se afebril.","")),IF(R256&lt;&gt;"",IF(S256="Sim","Apresenta disfunção renal aguda ","Função renal preservada ")&amp;"("&amp;R256&amp;").",""),IF(T256&lt;&gt;"","Em uso do esquema antimicrobiano com "&amp;T256&amp;".",""),IF(U256&lt;&gt;"","Em uso de profilaxia: "&amp;U256&amp;".",""))&amp;CHAR(10)&amp;CHAR(10)&amp;"2. Farmacoterapia"&amp;CHAR(10)&amp;IF(V256&lt;&gt;"","Corticoide/DART: "&amp;V256,"Sem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("&amp;Intervenções!$G$2:$G$500&amp;")",(Intervenções!$B$2:$B$500=A256)*(Intervenções!$A$2:$A$500=F256))),"Nenhuma intervenção registrada hoje.")&amp;CHAR(10)&amp;CHAR(10)&amp;"4. Plano Terapêutico"&amp;CHAR(10)&amp;IF(W256&lt;&gt;"",W256,"Não definido.")</f>
      </c>
    </row>
    <row r="257" spans="1:24" x14ac:dyDescent="0.25">
      <c r="A257" s="6"/>
      <c r="B257" s="9">
        <f>IFERROR(INDEX(Pacientes!$A:$A,MATCH($A257,Pacientes!$B:$B,0)),"")</f>
      </c>
      <c r="C257" s="9">
        <f>IFERROR(INDEX(Pacientes!$C:$C,MATCH($A257,Pacientes!$B:$B,0)),"")</f>
      </c>
      <c r="D257" s="9">
        <f>IFERROR(INDEX(Pacientes!$D:$D,MATCH($A257,Pacientes!$B:$B,0)),"")</f>
      </c>
      <c r="E257" s="9">
        <f>IFERROR(INDEX(Pacientes!$E:$E,MATCH($A257,Pacientes!$B:$B,0)),"")</f>
      </c>
      <c r="F257" s="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>
        <f>"1. Evolução Clínica"&amp;CHAR(10)&amp;TEXTJOIN(" ",TRUE,"Paciente "&amp;G257&amp;", "&amp;IF(H257="","sem DVA","em uso de "&amp;H257)&amp;".",IF(I257&lt;&gt;"","Em "&amp;I257&amp;IF(J257&lt;&gt;""," ("&amp;J257&amp;")","")&amp;IF(K257&lt;&gt;"", ", "&amp;K257,"")&amp;IF(L257&lt;&gt;"", ", sob analgosedação com "&amp;L257,"")&amp;".",""),IF(M257&lt;&gt;"","Dieta "&amp;M257&amp;IF(N257&lt;&gt;"", ", com "&amp;LOWER(N257),"")&amp;IF(O257&lt;&gt;"", " — "&amp;O257,"")&amp;".",""),IF(P257="Febre","Apresentou episódio febril nas últimas 24h"&amp;IF(Q257&lt;&gt;""," ("&amp;Q257&amp;")","")&amp;".",IF(P257="Afebril","Encontra-se afebril.","")),IF(R257&lt;&gt;"",IF(S257="Sim","Apresenta disfunção renal aguda ","Função renal preservada ")&amp;"("&amp;R257&amp;").",""),IF(T257&lt;&gt;"","Em uso do esquema antimicrobiano com "&amp;T257&amp;".",""),IF(U257&lt;&gt;"","Em uso de profilaxia: "&amp;U257&amp;".",""))&amp;CHAR(10)&amp;CHAR(10)&amp;"2. Farmacoterapia"&amp;CHAR(10)&amp;IF(V257&lt;&gt;"","Corticoide/DART: "&amp;V257,"Sem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("&amp;Intervenções!$G$2:$G$500&amp;")",(Intervenções!$B$2:$B$500=A257)*(Intervenções!$A$2:$A$500=F257))),"Nenhuma intervenção registrada hoje.")&amp;CHAR(10)&amp;CHAR(10)&amp;"4. Plano Terapêutico"&amp;CHAR(10)&amp;IF(W257&lt;&gt;"",W257,"Não definido.")</f>
      </c>
    </row>
    <row r="258" spans="1:24" x14ac:dyDescent="0.25">
      <c r="A258" s="6"/>
      <c r="B258" s="9">
        <f>IFERROR(INDEX(Pacientes!$A:$A,MATCH($A258,Pacientes!$B:$B,0)),"")</f>
      </c>
      <c r="C258" s="9">
        <f>IFERROR(INDEX(Pacientes!$C:$C,MATCH($A258,Pacientes!$B:$B,0)),"")</f>
      </c>
      <c r="D258" s="9">
        <f>IFERROR(INDEX(Pacientes!$D:$D,MATCH($A258,Pacientes!$B:$B,0)),"")</f>
      </c>
      <c r="E258" s="9">
        <f>IFERROR(INDEX(Pacientes!$E:$E,MATCH($A258,Pacientes!$B:$B,0)),"")</f>
      </c>
      <c r="F258" s="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>
        <f>"1. Evolução Clínica"&amp;CHAR(10)&amp;TEXTJOIN(" ",TRUE,"Paciente "&amp;G258&amp;", "&amp;IF(H258="","sem DVA","em uso de "&amp;H258)&amp;".",IF(I258&lt;&gt;"","Em "&amp;I258&amp;IF(J258&lt;&gt;""," ("&amp;J258&amp;")","")&amp;IF(K258&lt;&gt;"", ", "&amp;K258,"")&amp;IF(L258&lt;&gt;"", ", sob analgosedação com "&amp;L258,"")&amp;".",""),IF(M258&lt;&gt;"","Dieta "&amp;M258&amp;IF(N258&lt;&gt;"", ", com "&amp;LOWER(N258),"")&amp;IF(O258&lt;&gt;"", " — "&amp;O258,"")&amp;".",""),IF(P258="Febre","Apresentou episódio febril nas últimas 24h"&amp;IF(Q258&lt;&gt;""," ("&amp;Q258&amp;")","")&amp;".",IF(P258="Afebril","Encontra-se afebril.","")),IF(R258&lt;&gt;"",IF(S258="Sim","Apresenta disfunção renal aguda ","Função renal preservada ")&amp;"("&amp;R258&amp;").",""),IF(T258&lt;&gt;"","Em uso do esquema antimicrobiano com "&amp;T258&amp;".",""),IF(U258&lt;&gt;"","Em uso de profilaxia: "&amp;U258&amp;".",""))&amp;CHAR(10)&amp;CHAR(10)&amp;"2. Farmacoterapia"&amp;CHAR(10)&amp;IF(V258&lt;&gt;"","Corticoide/DART: "&amp;V258,"Sem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("&amp;Intervenções!$G$2:$G$500&amp;")",(Intervenções!$B$2:$B$500=A258)*(Intervenções!$A$2:$A$500=F258))),"Nenhuma intervenção registrada hoje.")&amp;CHAR(10)&amp;CHAR(10)&amp;"4. Plano Terapêutico"&amp;CHAR(10)&amp;IF(W258&lt;&gt;"",W258,"Não definido.")</f>
      </c>
    </row>
    <row r="259" spans="1:24" x14ac:dyDescent="0.25">
      <c r="A259" s="6"/>
      <c r="B259" s="9">
        <f>IFERROR(INDEX(Pacientes!$A:$A,MATCH($A259,Pacientes!$B:$B,0)),"")</f>
      </c>
      <c r="C259" s="9">
        <f>IFERROR(INDEX(Pacientes!$C:$C,MATCH($A259,Pacientes!$B:$B,0)),"")</f>
      </c>
      <c r="D259" s="9">
        <f>IFERROR(INDEX(Pacientes!$D:$D,MATCH($A259,Pacientes!$B:$B,0)),"")</f>
      </c>
      <c r="E259" s="9">
        <f>IFERROR(INDEX(Pacientes!$E:$E,MATCH($A259,Pacientes!$B:$B,0)),"")</f>
      </c>
      <c r="F259" s="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>
        <f>"1. Evolução Clínica"&amp;CHAR(10)&amp;TEXTJOIN(" ",TRUE,"Paciente "&amp;G259&amp;", "&amp;IF(H259="","sem DVA","em uso de "&amp;H259)&amp;".",IF(I259&lt;&gt;"","Em "&amp;I259&amp;IF(J259&lt;&gt;""," ("&amp;J259&amp;")","")&amp;IF(K259&lt;&gt;"", ", "&amp;K259,"")&amp;IF(L259&lt;&gt;"", ", sob analgosedação com "&amp;L259,"")&amp;".",""),IF(M259&lt;&gt;"","Dieta "&amp;M259&amp;IF(N259&lt;&gt;"", ", com "&amp;LOWER(N259),"")&amp;IF(O259&lt;&gt;"", " — "&amp;O259,"")&amp;".",""),IF(P259="Febre","Apresentou episódio febril nas últimas 24h"&amp;IF(Q259&lt;&gt;""," ("&amp;Q259&amp;")","")&amp;".",IF(P259="Afebril","Encontra-se afebril.","")),IF(R259&lt;&gt;"",IF(S259="Sim","Apresenta disfunção renal aguda ","Função renal preservada ")&amp;"("&amp;R259&amp;").",""),IF(T259&lt;&gt;"","Em uso do esquema antimicrobiano com "&amp;T259&amp;".",""),IF(U259&lt;&gt;"","Em uso de profilaxia: "&amp;U259&amp;".",""))&amp;CHAR(10)&amp;CHAR(10)&amp;"2. Farmacoterapia"&amp;CHAR(10)&amp;IF(V259&lt;&gt;"","Corticoide/DART: "&amp;V259,"Sem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("&amp;Intervenções!$G$2:$G$500&amp;")",(Intervenções!$B$2:$B$500=A259)*(Intervenções!$A$2:$A$500=F259))),"Nenhuma intervenção registrada hoje.")&amp;CHAR(10)&amp;CHAR(10)&amp;"4. Plano Terapêutico"&amp;CHAR(10)&amp;IF(W259&lt;&gt;"",W259,"Não definido.")</f>
      </c>
    </row>
    <row r="260" spans="1:24" x14ac:dyDescent="0.25">
      <c r="A260" s="6"/>
      <c r="B260" s="9">
        <f>IFERROR(INDEX(Pacientes!$A:$A,MATCH($A260,Pacientes!$B:$B,0)),"")</f>
      </c>
      <c r="C260" s="9">
        <f>IFERROR(INDEX(Pacientes!$C:$C,MATCH($A260,Pacientes!$B:$B,0)),"")</f>
      </c>
      <c r="D260" s="9">
        <f>IFERROR(INDEX(Pacientes!$D:$D,MATCH($A260,Pacientes!$B:$B,0)),"")</f>
      </c>
      <c r="E260" s="9">
        <f>IFERROR(INDEX(Pacientes!$E:$E,MATCH($A260,Pacientes!$B:$B,0)),"")</f>
      </c>
      <c r="F260" s="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>
        <f>"1. Evolução Clínica"&amp;CHAR(10)&amp;TEXTJOIN(" ",TRUE,"Paciente "&amp;G260&amp;", "&amp;IF(H260="","sem DVA","em uso de "&amp;H260)&amp;".",IF(I260&lt;&gt;"","Em "&amp;I260&amp;IF(J260&lt;&gt;""," ("&amp;J260&amp;")","")&amp;IF(K260&lt;&gt;"", ", "&amp;K260,"")&amp;IF(L260&lt;&gt;"", ", sob analgosedação com "&amp;L260,"")&amp;".",""),IF(M260&lt;&gt;"","Dieta "&amp;M260&amp;IF(N260&lt;&gt;"", ", com "&amp;LOWER(N260),"")&amp;IF(O260&lt;&gt;"", " — "&amp;O260,"")&amp;".",""),IF(P260="Febre","Apresentou episódio febril nas últimas 24h"&amp;IF(Q260&lt;&gt;""," ("&amp;Q260&amp;")","")&amp;".",IF(P260="Afebril","Encontra-se afebril.","")),IF(R260&lt;&gt;"",IF(S260="Sim","Apresenta disfunção renal aguda ","Função renal preservada ")&amp;"("&amp;R260&amp;").",""),IF(T260&lt;&gt;"","Em uso do esquema antimicrobiano com "&amp;T260&amp;".",""),IF(U260&lt;&gt;"","Em uso de profilaxia: "&amp;U260&amp;".",""))&amp;CHAR(10)&amp;CHAR(10)&amp;"2. Farmacoterapia"&amp;CHAR(10)&amp;IF(V260&lt;&gt;"","Corticoide/DART: "&amp;V260,"Sem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("&amp;Intervenções!$G$2:$G$500&amp;")",(Intervenções!$B$2:$B$500=A260)*(Intervenções!$A$2:$A$500=F260))),"Nenhuma intervenção registrada hoje.")&amp;CHAR(10)&amp;CHAR(10)&amp;"4. Plano Terapêutico"&amp;CHAR(10)&amp;IF(W260&lt;&gt;"",W260,"Não definido.")</f>
      </c>
    </row>
    <row r="261" spans="1:24" x14ac:dyDescent="0.25">
      <c r="A261" s="6"/>
      <c r="B261" s="9">
        <f>IFERROR(INDEX(Pacientes!$A:$A,MATCH($A261,Pacientes!$B:$B,0)),"")</f>
      </c>
      <c r="C261" s="9">
        <f>IFERROR(INDEX(Pacientes!$C:$C,MATCH($A261,Pacientes!$B:$B,0)),"")</f>
      </c>
      <c r="D261" s="9">
        <f>IFERROR(INDEX(Pacientes!$D:$D,MATCH($A261,Pacientes!$B:$B,0)),"")</f>
      </c>
      <c r="E261" s="9">
        <f>IFERROR(INDEX(Pacientes!$E:$E,MATCH($A261,Pacientes!$B:$B,0)),"")</f>
      </c>
      <c r="F261" s="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>
        <f>"1. Evolução Clínica"&amp;CHAR(10)&amp;TEXTJOIN(" ",TRUE,"Paciente "&amp;G261&amp;", "&amp;IF(H261="","sem DVA","em uso de "&amp;H261)&amp;".",IF(I261&lt;&gt;"","Em "&amp;I261&amp;IF(J261&lt;&gt;""," ("&amp;J261&amp;")","")&amp;IF(K261&lt;&gt;"", ", "&amp;K261,"")&amp;IF(L261&lt;&gt;"", ", sob analgosedação com "&amp;L261,"")&amp;".",""),IF(M261&lt;&gt;"","Dieta "&amp;M261&amp;IF(N261&lt;&gt;"", ", com "&amp;LOWER(N261),"")&amp;IF(O261&lt;&gt;"", " — "&amp;O261,"")&amp;".",""),IF(P261="Febre","Apresentou episódio febril nas últimas 24h"&amp;IF(Q261&lt;&gt;""," ("&amp;Q261&amp;")","")&amp;".",IF(P261="Afebril","Encontra-se afebril.","")),IF(R261&lt;&gt;"",IF(S261="Sim","Apresenta disfunção renal aguda ","Função renal preservada ")&amp;"("&amp;R261&amp;").",""),IF(T261&lt;&gt;"","Em uso do esquema antimicrobiano com "&amp;T261&amp;".",""),IF(U261&lt;&gt;"","Em uso de profilaxia: "&amp;U261&amp;".",""))&amp;CHAR(10)&amp;CHAR(10)&amp;"2. Farmacoterapia"&amp;CHAR(10)&amp;IF(V261&lt;&gt;"","Corticoide/DART: "&amp;V261,"Sem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("&amp;Intervenções!$G$2:$G$500&amp;")",(Intervenções!$B$2:$B$500=A261)*(Intervenções!$A$2:$A$500=F261))),"Nenhuma intervenção registrada hoje.")&amp;CHAR(10)&amp;CHAR(10)&amp;"4. Plano Terapêutico"&amp;CHAR(10)&amp;IF(W261&lt;&gt;"",W261,"Não definido.")</f>
      </c>
    </row>
    <row r="262" spans="1:24" x14ac:dyDescent="0.25">
      <c r="A262" s="6"/>
      <c r="B262" s="9">
        <f>IFERROR(INDEX(Pacientes!$A:$A,MATCH($A262,Pacientes!$B:$B,0)),"")</f>
      </c>
      <c r="C262" s="9">
        <f>IFERROR(INDEX(Pacientes!$C:$C,MATCH($A262,Pacientes!$B:$B,0)),"")</f>
      </c>
      <c r="D262" s="9">
        <f>IFERROR(INDEX(Pacientes!$D:$D,MATCH($A262,Pacientes!$B:$B,0)),"")</f>
      </c>
      <c r="E262" s="9">
        <f>IFERROR(INDEX(Pacientes!$E:$E,MATCH($A262,Pacientes!$B:$B,0)),"")</f>
      </c>
      <c r="F262" s="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>
        <f>"1. Evolução Clínica"&amp;CHAR(10)&amp;TEXTJOIN(" ",TRUE,"Paciente "&amp;G262&amp;", "&amp;IF(H262="","sem DVA","em uso de "&amp;H262)&amp;".",IF(I262&lt;&gt;"","Em "&amp;I262&amp;IF(J262&lt;&gt;""," ("&amp;J262&amp;")","")&amp;IF(K262&lt;&gt;"", ", "&amp;K262,"")&amp;IF(L262&lt;&gt;"", ", sob analgosedação com "&amp;L262,"")&amp;".",""),IF(M262&lt;&gt;"","Dieta "&amp;M262&amp;IF(N262&lt;&gt;"", ", com "&amp;LOWER(N262),"")&amp;IF(O262&lt;&gt;"", " — "&amp;O262,"")&amp;".",""),IF(P262="Febre","Apresentou episódio febril nas últimas 24h"&amp;IF(Q262&lt;&gt;""," ("&amp;Q262&amp;")","")&amp;".",IF(P262="Afebril","Encontra-se afebril.","")),IF(R262&lt;&gt;"",IF(S262="Sim","Apresenta disfunção renal aguda ","Função renal preservada ")&amp;"("&amp;R262&amp;").",""),IF(T262&lt;&gt;"","Em uso do esquema antimicrobiano com "&amp;T262&amp;".",""),IF(U262&lt;&gt;"","Em uso de profilaxia: "&amp;U262&amp;".",""))&amp;CHAR(10)&amp;CHAR(10)&amp;"2. Farmacoterapia"&amp;CHAR(10)&amp;IF(V262&lt;&gt;"","Corticoide/DART: "&amp;V262,"Sem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("&amp;Intervenções!$G$2:$G$500&amp;")",(Intervenções!$B$2:$B$500=A262)*(Intervenções!$A$2:$A$500=F262))),"Nenhuma intervenção registrada hoje.")&amp;CHAR(10)&amp;CHAR(10)&amp;"4. Plano Terapêutico"&amp;CHAR(10)&amp;IF(W262&lt;&gt;"",W262,"Não definido.")</f>
      </c>
    </row>
    <row r="263" spans="1:24" x14ac:dyDescent="0.25">
      <c r="A263" s="6"/>
      <c r="B263" s="9">
        <f>IFERROR(INDEX(Pacientes!$A:$A,MATCH($A263,Pacientes!$B:$B,0)),"")</f>
      </c>
      <c r="C263" s="9">
        <f>IFERROR(INDEX(Pacientes!$C:$C,MATCH($A263,Pacientes!$B:$B,0)),"")</f>
      </c>
      <c r="D263" s="9">
        <f>IFERROR(INDEX(Pacientes!$D:$D,MATCH($A263,Pacientes!$B:$B,0)),"")</f>
      </c>
      <c r="E263" s="9">
        <f>IFERROR(INDEX(Pacientes!$E:$E,MATCH($A263,Pacientes!$B:$B,0)),"")</f>
      </c>
      <c r="F263" s="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>
        <f>"1. Evolução Clínica"&amp;CHAR(10)&amp;TEXTJOIN(" ",TRUE,"Paciente "&amp;G263&amp;", "&amp;IF(H263="","sem DVA","em uso de "&amp;H263)&amp;".",IF(I263&lt;&gt;"","Em "&amp;I263&amp;IF(J263&lt;&gt;""," ("&amp;J263&amp;")","")&amp;IF(K263&lt;&gt;"", ", "&amp;K263,"")&amp;IF(L263&lt;&gt;"", ", sob analgosedação com "&amp;L263,"")&amp;".",""),IF(M263&lt;&gt;"","Dieta "&amp;M263&amp;IF(N263&lt;&gt;"", ", com "&amp;LOWER(N263),"")&amp;IF(O263&lt;&gt;"", " — "&amp;O263,"")&amp;".",""),IF(P263="Febre","Apresentou episódio febril nas últimas 24h"&amp;IF(Q263&lt;&gt;""," ("&amp;Q263&amp;")","")&amp;".",IF(P263="Afebril","Encontra-se afebril.","")),IF(R263&lt;&gt;"",IF(S263="Sim","Apresenta disfunção renal aguda ","Função renal preservada ")&amp;"("&amp;R263&amp;").",""),IF(T263&lt;&gt;"","Em uso do esquema antimicrobiano com "&amp;T263&amp;".",""),IF(U263&lt;&gt;"","Em uso de profilaxia: "&amp;U263&amp;".",""))&amp;CHAR(10)&amp;CHAR(10)&amp;"2. Farmacoterapia"&amp;CHAR(10)&amp;IF(V263&lt;&gt;"","Corticoide/DART: "&amp;V263,"Sem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("&amp;Intervenções!$G$2:$G$500&amp;")",(Intervenções!$B$2:$B$500=A263)*(Intervenções!$A$2:$A$500=F263))),"Nenhuma intervenção registrada hoje.")&amp;CHAR(10)&amp;CHAR(10)&amp;"4. Plano Terapêutico"&amp;CHAR(10)&amp;IF(W263&lt;&gt;"",W263,"Não definido.")</f>
      </c>
    </row>
    <row r="264" spans="1:24" x14ac:dyDescent="0.25">
      <c r="A264" s="6"/>
      <c r="B264" s="9">
        <f>IFERROR(INDEX(Pacientes!$A:$A,MATCH($A264,Pacientes!$B:$B,0)),"")</f>
      </c>
      <c r="C264" s="9">
        <f>IFERROR(INDEX(Pacientes!$C:$C,MATCH($A264,Pacientes!$B:$B,0)),"")</f>
      </c>
      <c r="D264" s="9">
        <f>IFERROR(INDEX(Pacientes!$D:$D,MATCH($A264,Pacientes!$B:$B,0)),"")</f>
      </c>
      <c r="E264" s="9">
        <f>IFERROR(INDEX(Pacientes!$E:$E,MATCH($A264,Pacientes!$B:$B,0)),"")</f>
      </c>
      <c r="F264" s="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>
        <f>"1. Evolução Clínica"&amp;CHAR(10)&amp;TEXTJOIN(" ",TRUE,"Paciente "&amp;G264&amp;", "&amp;IF(H264="","sem DVA","em uso de "&amp;H264)&amp;".",IF(I264&lt;&gt;"","Em "&amp;I264&amp;IF(J264&lt;&gt;""," ("&amp;J264&amp;")","")&amp;IF(K264&lt;&gt;"", ", "&amp;K264,"")&amp;IF(L264&lt;&gt;"", ", sob analgosedação com "&amp;L264,"")&amp;".",""),IF(M264&lt;&gt;"","Dieta "&amp;M264&amp;IF(N264&lt;&gt;"", ", com "&amp;LOWER(N264),"")&amp;IF(O264&lt;&gt;"", " — "&amp;O264,"")&amp;".",""),IF(P264="Febre","Apresentou episódio febril nas últimas 24h"&amp;IF(Q264&lt;&gt;""," ("&amp;Q264&amp;")","")&amp;".",IF(P264="Afebril","Encontra-se afebril.","")),IF(R264&lt;&gt;"",IF(S264="Sim","Apresenta disfunção renal aguda ","Função renal preservada ")&amp;"("&amp;R264&amp;").",""),IF(T264&lt;&gt;"","Em uso do esquema antimicrobiano com "&amp;T264&amp;".",""),IF(U264&lt;&gt;"","Em uso de profilaxia: "&amp;U264&amp;".",""))&amp;CHAR(10)&amp;CHAR(10)&amp;"2. Farmacoterapia"&amp;CHAR(10)&amp;IF(V264&lt;&gt;"","Corticoide/DART: "&amp;V264,"Sem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("&amp;Intervenções!$G$2:$G$500&amp;")",(Intervenções!$B$2:$B$500=A264)*(Intervenções!$A$2:$A$500=F264))),"Nenhuma intervenção registrada hoje.")&amp;CHAR(10)&amp;CHAR(10)&amp;"4. Plano Terapêutico"&amp;CHAR(10)&amp;IF(W264&lt;&gt;"",W264,"Não definido.")</f>
      </c>
    </row>
    <row r="265" spans="1:24" x14ac:dyDescent="0.25">
      <c r="A265" s="6"/>
      <c r="B265" s="9">
        <f>IFERROR(INDEX(Pacientes!$A:$A,MATCH($A265,Pacientes!$B:$B,0)),"")</f>
      </c>
      <c r="C265" s="9">
        <f>IFERROR(INDEX(Pacientes!$C:$C,MATCH($A265,Pacientes!$B:$B,0)),"")</f>
      </c>
      <c r="D265" s="9">
        <f>IFERROR(INDEX(Pacientes!$D:$D,MATCH($A265,Pacientes!$B:$B,0)),"")</f>
      </c>
      <c r="E265" s="9">
        <f>IFERROR(INDEX(Pacientes!$E:$E,MATCH($A265,Pacientes!$B:$B,0)),"")</f>
      </c>
      <c r="F265" s="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>
        <f>"1. Evolução Clínica"&amp;CHAR(10)&amp;TEXTJOIN(" ",TRUE,"Paciente "&amp;G265&amp;", "&amp;IF(H265="","sem DVA","em uso de "&amp;H265)&amp;".",IF(I265&lt;&gt;"","Em "&amp;I265&amp;IF(J265&lt;&gt;""," ("&amp;J265&amp;")","")&amp;IF(K265&lt;&gt;"", ", "&amp;K265,"")&amp;IF(L265&lt;&gt;"", ", sob analgosedação com "&amp;L265,"")&amp;".",""),IF(M265&lt;&gt;"","Dieta "&amp;M265&amp;IF(N265&lt;&gt;"", ", com "&amp;LOWER(N265),"")&amp;IF(O265&lt;&gt;"", " — "&amp;O265,"")&amp;".",""),IF(P265="Febre","Apresentou episódio febril nas últimas 24h"&amp;IF(Q265&lt;&gt;""," ("&amp;Q265&amp;")","")&amp;".",IF(P265="Afebril","Encontra-se afebril.","")),IF(R265&lt;&gt;"",IF(S265="Sim","Apresenta disfunção renal aguda ","Função renal preservada ")&amp;"("&amp;R265&amp;").",""),IF(T265&lt;&gt;"","Em uso do esquema antimicrobiano com "&amp;T265&amp;".",""),IF(U265&lt;&gt;"","Em uso de profilaxia: "&amp;U265&amp;".",""))&amp;CHAR(10)&amp;CHAR(10)&amp;"2. Farmacoterapia"&amp;CHAR(10)&amp;IF(V265&lt;&gt;"","Corticoide/DART: "&amp;V265,"Sem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("&amp;Intervenções!$G$2:$G$500&amp;")",(Intervenções!$B$2:$B$500=A265)*(Intervenções!$A$2:$A$500=F265))),"Nenhuma intervenção registrada hoje.")&amp;CHAR(10)&amp;CHAR(10)&amp;"4. Plano Terapêutico"&amp;CHAR(10)&amp;IF(W265&lt;&gt;"",W265,"Não definido.")</f>
      </c>
    </row>
    <row r="266" spans="1:24" x14ac:dyDescent="0.25">
      <c r="A266" s="6"/>
      <c r="B266" s="9">
        <f>IFERROR(INDEX(Pacientes!$A:$A,MATCH($A266,Pacientes!$B:$B,0)),"")</f>
      </c>
      <c r="C266" s="9">
        <f>IFERROR(INDEX(Pacientes!$C:$C,MATCH($A266,Pacientes!$B:$B,0)),"")</f>
      </c>
      <c r="D266" s="9">
        <f>IFERROR(INDEX(Pacientes!$D:$D,MATCH($A266,Pacientes!$B:$B,0)),"")</f>
      </c>
      <c r="E266" s="9">
        <f>IFERROR(INDEX(Pacientes!$E:$E,MATCH($A266,Pacientes!$B:$B,0)),"")</f>
      </c>
      <c r="F266" s="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>
        <f>"1. Evolução Clínica"&amp;CHAR(10)&amp;TEXTJOIN(" ",TRUE,"Paciente "&amp;G266&amp;", "&amp;IF(H266="","sem DVA","em uso de "&amp;H266)&amp;".",IF(I266&lt;&gt;"","Em "&amp;I266&amp;IF(J266&lt;&gt;""," ("&amp;J266&amp;")","")&amp;IF(K266&lt;&gt;"", ", "&amp;K266,"")&amp;IF(L266&lt;&gt;"", ", sob analgosedação com "&amp;L266,"")&amp;".",""),IF(M266&lt;&gt;"","Dieta "&amp;M266&amp;IF(N266&lt;&gt;"", ", com "&amp;LOWER(N266),"")&amp;IF(O266&lt;&gt;"", " — "&amp;O266,"")&amp;".",""),IF(P266="Febre","Apresentou episódio febril nas últimas 24h"&amp;IF(Q266&lt;&gt;""," ("&amp;Q266&amp;")","")&amp;".",IF(P266="Afebril","Encontra-se afebril.","")),IF(R266&lt;&gt;"",IF(S266="Sim","Apresenta disfunção renal aguda ","Função renal preservada ")&amp;"("&amp;R266&amp;").",""),IF(T266&lt;&gt;"","Em uso do esquema antimicrobiano com "&amp;T266&amp;".",""),IF(U266&lt;&gt;"","Em uso de profilaxia: "&amp;U266&amp;".",""))&amp;CHAR(10)&amp;CHAR(10)&amp;"2. Farmacoterapia"&amp;CHAR(10)&amp;IF(V266&lt;&gt;"","Corticoide/DART: "&amp;V266,"Sem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("&amp;Intervenções!$G$2:$G$500&amp;")",(Intervenções!$B$2:$B$500=A266)*(Intervenções!$A$2:$A$500=F266))),"Nenhuma intervenção registrada hoje.")&amp;CHAR(10)&amp;CHAR(10)&amp;"4. Plano Terapêutico"&amp;CHAR(10)&amp;IF(W266&lt;&gt;"",W266,"Não definido.")</f>
      </c>
    </row>
    <row r="267" spans="1:24" x14ac:dyDescent="0.25">
      <c r="A267" s="6"/>
      <c r="B267" s="9">
        <f>IFERROR(INDEX(Pacientes!$A:$A,MATCH($A267,Pacientes!$B:$B,0)),"")</f>
      </c>
      <c r="C267" s="9">
        <f>IFERROR(INDEX(Pacientes!$C:$C,MATCH($A267,Pacientes!$B:$B,0)),"")</f>
      </c>
      <c r="D267" s="9">
        <f>IFERROR(INDEX(Pacientes!$D:$D,MATCH($A267,Pacientes!$B:$B,0)),"")</f>
      </c>
      <c r="E267" s="9">
        <f>IFERROR(INDEX(Pacientes!$E:$E,MATCH($A267,Pacientes!$B:$B,0)),"")</f>
      </c>
      <c r="F267" s="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>
        <f>"1. Evolução Clínica"&amp;CHAR(10)&amp;TEXTJOIN(" ",TRUE,"Paciente "&amp;G267&amp;", "&amp;IF(H267="","sem DVA","em uso de "&amp;H267)&amp;".",IF(I267&lt;&gt;"","Em "&amp;I267&amp;IF(J267&lt;&gt;""," ("&amp;J267&amp;")","")&amp;IF(K267&lt;&gt;"", ", "&amp;K267,"")&amp;IF(L267&lt;&gt;"", ", sob analgosedação com "&amp;L267,"")&amp;".",""),IF(M267&lt;&gt;"","Dieta "&amp;M267&amp;IF(N267&lt;&gt;"", ", com "&amp;LOWER(N267),"")&amp;IF(O267&lt;&gt;"", " — "&amp;O267,"")&amp;".",""),IF(P267="Febre","Apresentou episódio febril nas últimas 24h"&amp;IF(Q267&lt;&gt;""," ("&amp;Q267&amp;")","")&amp;".",IF(P267="Afebril","Encontra-se afebril.","")),IF(R267&lt;&gt;"",IF(S267="Sim","Apresenta disfunção renal aguda ","Função renal preservada ")&amp;"("&amp;R267&amp;").",""),IF(T267&lt;&gt;"","Em uso do esquema antimicrobiano com "&amp;T267&amp;".",""),IF(U267&lt;&gt;"","Em uso de profilaxia: "&amp;U267&amp;".",""))&amp;CHAR(10)&amp;CHAR(10)&amp;"2. Farmacoterapia"&amp;CHAR(10)&amp;IF(V267&lt;&gt;"","Corticoide/DART: "&amp;V267,"Sem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("&amp;Intervenções!$G$2:$G$500&amp;")",(Intervenções!$B$2:$B$500=A267)*(Intervenções!$A$2:$A$500=F267))),"Nenhuma intervenção registrada hoje.")&amp;CHAR(10)&amp;CHAR(10)&amp;"4. Plano Terapêutico"&amp;CHAR(10)&amp;IF(W267&lt;&gt;"",W267,"Não definido.")</f>
      </c>
    </row>
    <row r="268" spans="1:24" x14ac:dyDescent="0.25">
      <c r="A268" s="6"/>
      <c r="B268" s="9">
        <f>IFERROR(INDEX(Pacientes!$A:$A,MATCH($A268,Pacientes!$B:$B,0)),"")</f>
      </c>
      <c r="C268" s="9">
        <f>IFERROR(INDEX(Pacientes!$C:$C,MATCH($A268,Pacientes!$B:$B,0)),"")</f>
      </c>
      <c r="D268" s="9">
        <f>IFERROR(INDEX(Pacientes!$D:$D,MATCH($A268,Pacientes!$B:$B,0)),"")</f>
      </c>
      <c r="E268" s="9">
        <f>IFERROR(INDEX(Pacientes!$E:$E,MATCH($A268,Pacientes!$B:$B,0)),"")</f>
      </c>
      <c r="F268" s="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>
        <f>"1. Evolução Clínica"&amp;CHAR(10)&amp;TEXTJOIN(" ",TRUE,"Paciente "&amp;G268&amp;", "&amp;IF(H268="","sem DVA","em uso de "&amp;H268)&amp;".",IF(I268&lt;&gt;"","Em "&amp;I268&amp;IF(J268&lt;&gt;""," ("&amp;J268&amp;")","")&amp;IF(K268&lt;&gt;"", ", "&amp;K268,"")&amp;IF(L268&lt;&gt;"", ", sob analgosedação com "&amp;L268,"")&amp;".",""),IF(M268&lt;&gt;"","Dieta "&amp;M268&amp;IF(N268&lt;&gt;"", ", com "&amp;LOWER(N268),"")&amp;IF(O268&lt;&gt;"", " — "&amp;O268,"")&amp;".",""),IF(P268="Febre","Apresentou episódio febril nas últimas 24h"&amp;IF(Q268&lt;&gt;""," ("&amp;Q268&amp;")","")&amp;".",IF(P268="Afebril","Encontra-se afebril.","")),IF(R268&lt;&gt;"",IF(S268="Sim","Apresenta disfunção renal aguda ","Função renal preservada ")&amp;"("&amp;R268&amp;").",""),IF(T268&lt;&gt;"","Em uso do esquema antimicrobiano com "&amp;T268&amp;".",""),IF(U268&lt;&gt;"","Em uso de profilaxia: "&amp;U268&amp;".",""))&amp;CHAR(10)&amp;CHAR(10)&amp;"2. Farmacoterapia"&amp;CHAR(10)&amp;IF(V268&lt;&gt;"","Corticoide/DART: "&amp;V268,"Sem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("&amp;Intervenções!$G$2:$G$500&amp;")",(Intervenções!$B$2:$B$500=A268)*(Intervenções!$A$2:$A$500=F268))),"Nenhuma intervenção registrada hoje.")&amp;CHAR(10)&amp;CHAR(10)&amp;"4. Plano Terapêutico"&amp;CHAR(10)&amp;IF(W268&lt;&gt;"",W268,"Não definido.")</f>
      </c>
    </row>
    <row r="269" spans="1:24" x14ac:dyDescent="0.25">
      <c r="A269" s="6"/>
      <c r="B269" s="9">
        <f>IFERROR(INDEX(Pacientes!$A:$A,MATCH($A269,Pacientes!$B:$B,0)),"")</f>
      </c>
      <c r="C269" s="9">
        <f>IFERROR(INDEX(Pacientes!$C:$C,MATCH($A269,Pacientes!$B:$B,0)),"")</f>
      </c>
      <c r="D269" s="9">
        <f>IFERROR(INDEX(Pacientes!$D:$D,MATCH($A269,Pacientes!$B:$B,0)),"")</f>
      </c>
      <c r="E269" s="9">
        <f>IFERROR(INDEX(Pacientes!$E:$E,MATCH($A269,Pacientes!$B:$B,0)),"")</f>
      </c>
      <c r="F269" s="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>
        <f>"1. Evolução Clínica"&amp;CHAR(10)&amp;TEXTJOIN(" ",TRUE,"Paciente "&amp;G269&amp;", "&amp;IF(H269="","sem DVA","em uso de "&amp;H269)&amp;".",IF(I269&lt;&gt;"","Em "&amp;I269&amp;IF(J269&lt;&gt;""," ("&amp;J269&amp;")","")&amp;IF(K269&lt;&gt;"", ", "&amp;K269,"")&amp;IF(L269&lt;&gt;"", ", sob analgosedação com "&amp;L269,"")&amp;".",""),IF(M269&lt;&gt;"","Dieta "&amp;M269&amp;IF(N269&lt;&gt;"", ", com "&amp;LOWER(N269),"")&amp;IF(O269&lt;&gt;"", " — "&amp;O269,"")&amp;".",""),IF(P269="Febre","Apresentou episódio febril nas últimas 24h"&amp;IF(Q269&lt;&gt;""," ("&amp;Q269&amp;")","")&amp;".",IF(P269="Afebril","Encontra-se afebril.","")),IF(R269&lt;&gt;"",IF(S269="Sim","Apresenta disfunção renal aguda ","Função renal preservada ")&amp;"("&amp;R269&amp;").",""),IF(T269&lt;&gt;"","Em uso do esquema antimicrobiano com "&amp;T269&amp;".",""),IF(U269&lt;&gt;"","Em uso de profilaxia: "&amp;U269&amp;".",""))&amp;CHAR(10)&amp;CHAR(10)&amp;"2. Farmacoterapia"&amp;CHAR(10)&amp;IF(V269&lt;&gt;"","Corticoide/DART: "&amp;V269,"Sem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("&amp;Intervenções!$G$2:$G$500&amp;")",(Intervenções!$B$2:$B$500=A269)*(Intervenções!$A$2:$A$500=F269))),"Nenhuma intervenção registrada hoje.")&amp;CHAR(10)&amp;CHAR(10)&amp;"4. Plano Terapêutico"&amp;CHAR(10)&amp;IF(W269&lt;&gt;"",W269,"Não definido.")</f>
      </c>
    </row>
    <row r="270" spans="1:24" x14ac:dyDescent="0.25">
      <c r="A270" s="6"/>
      <c r="B270" s="9">
        <f>IFERROR(INDEX(Pacientes!$A:$A,MATCH($A270,Pacientes!$B:$B,0)),"")</f>
      </c>
      <c r="C270" s="9">
        <f>IFERROR(INDEX(Pacientes!$C:$C,MATCH($A270,Pacientes!$B:$B,0)),"")</f>
      </c>
      <c r="D270" s="9">
        <f>IFERROR(INDEX(Pacientes!$D:$D,MATCH($A270,Pacientes!$B:$B,0)),"")</f>
      </c>
      <c r="E270" s="9">
        <f>IFERROR(INDEX(Pacientes!$E:$E,MATCH($A270,Pacientes!$B:$B,0)),"")</f>
      </c>
      <c r="F270" s="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>
        <f>"1. Evolução Clínica"&amp;CHAR(10)&amp;TEXTJOIN(" ",TRUE,"Paciente "&amp;G270&amp;", "&amp;IF(H270="","sem DVA","em uso de "&amp;H270)&amp;".",IF(I270&lt;&gt;"","Em "&amp;I270&amp;IF(J270&lt;&gt;""," ("&amp;J270&amp;")","")&amp;IF(K270&lt;&gt;"", ", "&amp;K270,"")&amp;IF(L270&lt;&gt;"", ", sob analgosedação com "&amp;L270,"")&amp;".",""),IF(M270&lt;&gt;"","Dieta "&amp;M270&amp;IF(N270&lt;&gt;"", ", com "&amp;LOWER(N270),"")&amp;IF(O270&lt;&gt;"", " — "&amp;O270,"")&amp;".",""),IF(P270="Febre","Apresentou episódio febril nas últimas 24h"&amp;IF(Q270&lt;&gt;""," ("&amp;Q270&amp;")","")&amp;".",IF(P270="Afebril","Encontra-se afebril.","")),IF(R270&lt;&gt;"",IF(S270="Sim","Apresenta disfunção renal aguda ","Função renal preservada ")&amp;"("&amp;R270&amp;").",""),IF(T270&lt;&gt;"","Em uso do esquema antimicrobiano com "&amp;T270&amp;".",""),IF(U270&lt;&gt;"","Em uso de profilaxia: "&amp;U270&amp;".",""))&amp;CHAR(10)&amp;CHAR(10)&amp;"2. Farmacoterapia"&amp;CHAR(10)&amp;IF(V270&lt;&gt;"","Corticoide/DART: "&amp;V270,"Sem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("&amp;Intervenções!$G$2:$G$500&amp;")",(Intervenções!$B$2:$B$500=A270)*(Intervenções!$A$2:$A$500=F270))),"Nenhuma intervenção registrada hoje.")&amp;CHAR(10)&amp;CHAR(10)&amp;"4. Plano Terapêutico"&amp;CHAR(10)&amp;IF(W270&lt;&gt;"",W270,"Não definido.")</f>
      </c>
    </row>
    <row r="271" spans="1:24" x14ac:dyDescent="0.25">
      <c r="A271" s="6"/>
      <c r="B271" s="9">
        <f>IFERROR(INDEX(Pacientes!$A:$A,MATCH($A271,Pacientes!$B:$B,0)),"")</f>
      </c>
      <c r="C271" s="9">
        <f>IFERROR(INDEX(Pacientes!$C:$C,MATCH($A271,Pacientes!$B:$B,0)),"")</f>
      </c>
      <c r="D271" s="9">
        <f>IFERROR(INDEX(Pacientes!$D:$D,MATCH($A271,Pacientes!$B:$B,0)),"")</f>
      </c>
      <c r="E271" s="9">
        <f>IFERROR(INDEX(Pacientes!$E:$E,MATCH($A271,Pacientes!$B:$B,0)),"")</f>
      </c>
      <c r="F271" s="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>
        <f>"1. Evolução Clínica"&amp;CHAR(10)&amp;TEXTJOIN(" ",TRUE,"Paciente "&amp;G271&amp;", "&amp;IF(H271="","sem DVA","em uso de "&amp;H271)&amp;".",IF(I271&lt;&gt;"","Em "&amp;I271&amp;IF(J271&lt;&gt;""," ("&amp;J271&amp;")","")&amp;IF(K271&lt;&gt;"", ", "&amp;K271,"")&amp;IF(L271&lt;&gt;"", ", sob analgosedação com "&amp;L271,"")&amp;".",""),IF(M271&lt;&gt;"","Dieta "&amp;M271&amp;IF(N271&lt;&gt;"", ", com "&amp;LOWER(N271),"")&amp;IF(O271&lt;&gt;"", " — "&amp;O271,"")&amp;".",""),IF(P271="Febre","Apresentou episódio febril nas últimas 24h"&amp;IF(Q271&lt;&gt;""," ("&amp;Q271&amp;")","")&amp;".",IF(P271="Afebril","Encontra-se afebril.","")),IF(R271&lt;&gt;"",IF(S271="Sim","Apresenta disfunção renal aguda ","Função renal preservada ")&amp;"("&amp;R271&amp;").",""),IF(T271&lt;&gt;"","Em uso do esquema antimicrobiano com "&amp;T271&amp;".",""),IF(U271&lt;&gt;"","Em uso de profilaxia: "&amp;U271&amp;".",""))&amp;CHAR(10)&amp;CHAR(10)&amp;"2. Farmacoterapia"&amp;CHAR(10)&amp;IF(V271&lt;&gt;"","Corticoide/DART: "&amp;V271,"Sem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("&amp;Intervenções!$G$2:$G$500&amp;")",(Intervenções!$B$2:$B$500=A271)*(Intervenções!$A$2:$A$500=F271))),"Nenhuma intervenção registrada hoje.")&amp;CHAR(10)&amp;CHAR(10)&amp;"4. Plano Terapêutico"&amp;CHAR(10)&amp;IF(W271&lt;&gt;"",W271,"Não definido.")</f>
      </c>
    </row>
    <row r="272" spans="1:24" x14ac:dyDescent="0.25">
      <c r="A272" s="6"/>
      <c r="B272" s="9">
        <f>IFERROR(INDEX(Pacientes!$A:$A,MATCH($A272,Pacientes!$B:$B,0)),"")</f>
      </c>
      <c r="C272" s="9">
        <f>IFERROR(INDEX(Pacientes!$C:$C,MATCH($A272,Pacientes!$B:$B,0)),"")</f>
      </c>
      <c r="D272" s="9">
        <f>IFERROR(INDEX(Pacientes!$D:$D,MATCH($A272,Pacientes!$B:$B,0)),"")</f>
      </c>
      <c r="E272" s="9">
        <f>IFERROR(INDEX(Pacientes!$E:$E,MATCH($A272,Pacientes!$B:$B,0)),"")</f>
      </c>
      <c r="F272" s="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>
        <f>"1. Evolução Clínica"&amp;CHAR(10)&amp;TEXTJOIN(" ",TRUE,"Paciente "&amp;G272&amp;", "&amp;IF(H272="","sem DVA","em uso de "&amp;H272)&amp;".",IF(I272&lt;&gt;"","Em "&amp;I272&amp;IF(J272&lt;&gt;""," ("&amp;J272&amp;")","")&amp;IF(K272&lt;&gt;"", ", "&amp;K272,"")&amp;IF(L272&lt;&gt;"", ", sob analgosedação com "&amp;L272,"")&amp;".",""),IF(M272&lt;&gt;"","Dieta "&amp;M272&amp;IF(N272&lt;&gt;"", ", com "&amp;LOWER(N272),"")&amp;IF(O272&lt;&gt;"", " — "&amp;O272,"")&amp;".",""),IF(P272="Febre","Apresentou episódio febril nas últimas 24h"&amp;IF(Q272&lt;&gt;""," ("&amp;Q272&amp;")","")&amp;".",IF(P272="Afebril","Encontra-se afebril.","")),IF(R272&lt;&gt;"",IF(S272="Sim","Apresenta disfunção renal aguda ","Função renal preservada ")&amp;"("&amp;R272&amp;").",""),IF(T272&lt;&gt;"","Em uso do esquema antimicrobiano com "&amp;T272&amp;".",""),IF(U272&lt;&gt;"","Em uso de profilaxia: "&amp;U272&amp;".",""))&amp;CHAR(10)&amp;CHAR(10)&amp;"2. Farmacoterapia"&amp;CHAR(10)&amp;IF(V272&lt;&gt;"","Corticoide/DART: "&amp;V272,"Sem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("&amp;Intervenções!$G$2:$G$500&amp;")",(Intervenções!$B$2:$B$500=A272)*(Intervenções!$A$2:$A$500=F272))),"Nenhuma intervenção registrada hoje.")&amp;CHAR(10)&amp;CHAR(10)&amp;"4. Plano Terapêutico"&amp;CHAR(10)&amp;IF(W272&lt;&gt;"",W272,"Não definido.")</f>
      </c>
    </row>
    <row r="273" spans="1:24" x14ac:dyDescent="0.25">
      <c r="A273" s="6"/>
      <c r="B273" s="9">
        <f>IFERROR(INDEX(Pacientes!$A:$A,MATCH($A273,Pacientes!$B:$B,0)),"")</f>
      </c>
      <c r="C273" s="9">
        <f>IFERROR(INDEX(Pacientes!$C:$C,MATCH($A273,Pacientes!$B:$B,0)),"")</f>
      </c>
      <c r="D273" s="9">
        <f>IFERROR(INDEX(Pacientes!$D:$D,MATCH($A273,Pacientes!$B:$B,0)),"")</f>
      </c>
      <c r="E273" s="9">
        <f>IFERROR(INDEX(Pacientes!$E:$E,MATCH($A273,Pacientes!$B:$B,0)),"")</f>
      </c>
      <c r="F273" s="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>
        <f>"1. Evolução Clínica"&amp;CHAR(10)&amp;TEXTJOIN(" ",TRUE,"Paciente "&amp;G273&amp;", "&amp;IF(H273="","sem DVA","em uso de "&amp;H273)&amp;".",IF(I273&lt;&gt;"","Em "&amp;I273&amp;IF(J273&lt;&gt;""," ("&amp;J273&amp;")","")&amp;IF(K273&lt;&gt;"", ", "&amp;K273,"")&amp;IF(L273&lt;&gt;"", ", sob analgosedação com "&amp;L273,"")&amp;".",""),IF(M273&lt;&gt;"","Dieta "&amp;M273&amp;IF(N273&lt;&gt;"", ", com "&amp;LOWER(N273),"")&amp;IF(O273&lt;&gt;"", " — "&amp;O273,"")&amp;".",""),IF(P273="Febre","Apresentou episódio febril nas últimas 24h"&amp;IF(Q273&lt;&gt;""," ("&amp;Q273&amp;")","")&amp;".",IF(P273="Afebril","Encontra-se afebril.","")),IF(R273&lt;&gt;"",IF(S273="Sim","Apresenta disfunção renal aguda ","Função renal preservada ")&amp;"("&amp;R273&amp;").",""),IF(T273&lt;&gt;"","Em uso do esquema antimicrobiano com "&amp;T273&amp;".",""),IF(U273&lt;&gt;"","Em uso de profilaxia: "&amp;U273&amp;".",""))&amp;CHAR(10)&amp;CHAR(10)&amp;"2. Farmacoterapia"&amp;CHAR(10)&amp;IF(V273&lt;&gt;"","Corticoide/DART: "&amp;V273,"Sem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("&amp;Intervenções!$G$2:$G$500&amp;")",(Intervenções!$B$2:$B$500=A273)*(Intervenções!$A$2:$A$500=F273))),"Nenhuma intervenção registrada hoje.")&amp;CHAR(10)&amp;CHAR(10)&amp;"4. Plano Terapêutico"&amp;CHAR(10)&amp;IF(W273&lt;&gt;"",W273,"Não definido.")</f>
      </c>
    </row>
    <row r="274" spans="1:24" x14ac:dyDescent="0.25">
      <c r="A274" s="6"/>
      <c r="B274" s="9">
        <f>IFERROR(INDEX(Pacientes!$A:$A,MATCH($A274,Pacientes!$B:$B,0)),"")</f>
      </c>
      <c r="C274" s="9">
        <f>IFERROR(INDEX(Pacientes!$C:$C,MATCH($A274,Pacientes!$B:$B,0)),"")</f>
      </c>
      <c r="D274" s="9">
        <f>IFERROR(INDEX(Pacientes!$D:$D,MATCH($A274,Pacientes!$B:$B,0)),"")</f>
      </c>
      <c r="E274" s="9">
        <f>IFERROR(INDEX(Pacientes!$E:$E,MATCH($A274,Pacientes!$B:$B,0)),"")</f>
      </c>
      <c r="F274" s="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>
        <f>"1. Evolução Clínica"&amp;CHAR(10)&amp;TEXTJOIN(" ",TRUE,"Paciente "&amp;G274&amp;", "&amp;IF(H274="","sem DVA","em uso de "&amp;H274)&amp;".",IF(I274&lt;&gt;"","Em "&amp;I274&amp;IF(J274&lt;&gt;""," ("&amp;J274&amp;")","")&amp;IF(K274&lt;&gt;"", ", "&amp;K274,"")&amp;IF(L274&lt;&gt;"", ", sob analgosedação com "&amp;L274,"")&amp;".",""),IF(M274&lt;&gt;"","Dieta "&amp;M274&amp;IF(N274&lt;&gt;"", ", com "&amp;LOWER(N274),"")&amp;IF(O274&lt;&gt;"", " — "&amp;O274,"")&amp;".",""),IF(P274="Febre","Apresentou episódio febril nas últimas 24h"&amp;IF(Q274&lt;&gt;""," ("&amp;Q274&amp;")","")&amp;".",IF(P274="Afebril","Encontra-se afebril.","")),IF(R274&lt;&gt;"",IF(S274="Sim","Apresenta disfunção renal aguda ","Função renal preservada ")&amp;"("&amp;R274&amp;").",""),IF(T274&lt;&gt;"","Em uso do esquema antimicrobiano com "&amp;T274&amp;".",""),IF(U274&lt;&gt;"","Em uso de profilaxia: "&amp;U274&amp;".",""))&amp;CHAR(10)&amp;CHAR(10)&amp;"2. Farmacoterapia"&amp;CHAR(10)&amp;IF(V274&lt;&gt;"","Corticoide/DART: "&amp;V274,"Sem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("&amp;Intervenções!$G$2:$G$500&amp;")",(Intervenções!$B$2:$B$500=A274)*(Intervenções!$A$2:$A$500=F274))),"Nenhuma intervenção registrada hoje.")&amp;CHAR(10)&amp;CHAR(10)&amp;"4. Plano Terapêutico"&amp;CHAR(10)&amp;IF(W274&lt;&gt;"",W274,"Não definido.")</f>
      </c>
    </row>
    <row r="275" spans="1:24" x14ac:dyDescent="0.25">
      <c r="A275" s="6"/>
      <c r="B275" s="9">
        <f>IFERROR(INDEX(Pacientes!$A:$A,MATCH($A275,Pacientes!$B:$B,0)),"")</f>
      </c>
      <c r="C275" s="9">
        <f>IFERROR(INDEX(Pacientes!$C:$C,MATCH($A275,Pacientes!$B:$B,0)),"")</f>
      </c>
      <c r="D275" s="9">
        <f>IFERROR(INDEX(Pacientes!$D:$D,MATCH($A275,Pacientes!$B:$B,0)),"")</f>
      </c>
      <c r="E275" s="9">
        <f>IFERROR(INDEX(Pacientes!$E:$E,MATCH($A275,Pacientes!$B:$B,0)),"")</f>
      </c>
      <c r="F275" s="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>
        <f>"1. Evolução Clínica"&amp;CHAR(10)&amp;TEXTJOIN(" ",TRUE,"Paciente "&amp;G275&amp;", "&amp;IF(H275="","sem DVA","em uso de "&amp;H275)&amp;".",IF(I275&lt;&gt;"","Em "&amp;I275&amp;IF(J275&lt;&gt;""," ("&amp;J275&amp;")","")&amp;IF(K275&lt;&gt;"", ", "&amp;K275,"")&amp;IF(L275&lt;&gt;"", ", sob analgosedação com "&amp;L275,"")&amp;".",""),IF(M275&lt;&gt;"","Dieta "&amp;M275&amp;IF(N275&lt;&gt;"", ", com "&amp;LOWER(N275),"")&amp;IF(O275&lt;&gt;"", " — "&amp;O275,"")&amp;".",""),IF(P275="Febre","Apresentou episódio febril nas últimas 24h"&amp;IF(Q275&lt;&gt;""," ("&amp;Q275&amp;")","")&amp;".",IF(P275="Afebril","Encontra-se afebril.","")),IF(R275&lt;&gt;"",IF(S275="Sim","Apresenta disfunção renal aguda ","Função renal preservada ")&amp;"("&amp;R275&amp;").",""),IF(T275&lt;&gt;"","Em uso do esquema antimicrobiano com "&amp;T275&amp;".",""),IF(U275&lt;&gt;"","Em uso de profilaxia: "&amp;U275&amp;".",""))&amp;CHAR(10)&amp;CHAR(10)&amp;"2. Farmacoterapia"&amp;CHAR(10)&amp;IF(V275&lt;&gt;"","Corticoide/DART: "&amp;V275,"Sem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("&amp;Intervenções!$G$2:$G$500&amp;")",(Intervenções!$B$2:$B$500=A275)*(Intervenções!$A$2:$A$500=F275))),"Nenhuma intervenção registrada hoje.")&amp;CHAR(10)&amp;CHAR(10)&amp;"4. Plano Terapêutico"&amp;CHAR(10)&amp;IF(W275&lt;&gt;"",W275,"Não definido.")</f>
      </c>
    </row>
    <row r="276" spans="1:24" x14ac:dyDescent="0.25">
      <c r="A276" s="6"/>
      <c r="B276" s="9">
        <f>IFERROR(INDEX(Pacientes!$A:$A,MATCH($A276,Pacientes!$B:$B,0)),"")</f>
      </c>
      <c r="C276" s="9">
        <f>IFERROR(INDEX(Pacientes!$C:$C,MATCH($A276,Pacientes!$B:$B,0)),"")</f>
      </c>
      <c r="D276" s="9">
        <f>IFERROR(INDEX(Pacientes!$D:$D,MATCH($A276,Pacientes!$B:$B,0)),"")</f>
      </c>
      <c r="E276" s="9">
        <f>IFERROR(INDEX(Pacientes!$E:$E,MATCH($A276,Pacientes!$B:$B,0)),"")</f>
      </c>
      <c r="F276" s="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>
        <f>"1. Evolução Clínica"&amp;CHAR(10)&amp;TEXTJOIN(" ",TRUE,"Paciente "&amp;G276&amp;", "&amp;IF(H276="","sem DVA","em uso de "&amp;H276)&amp;".",IF(I276&lt;&gt;"","Em "&amp;I276&amp;IF(J276&lt;&gt;""," ("&amp;J276&amp;")","")&amp;IF(K276&lt;&gt;"", ", "&amp;K276,"")&amp;IF(L276&lt;&gt;"", ", sob analgosedação com "&amp;L276,"")&amp;".",""),IF(M276&lt;&gt;"","Dieta "&amp;M276&amp;IF(N276&lt;&gt;"", ", com "&amp;LOWER(N276),"")&amp;IF(O276&lt;&gt;"", " — "&amp;O276,"")&amp;".",""),IF(P276="Febre","Apresentou episódio febril nas últimas 24h"&amp;IF(Q276&lt;&gt;""," ("&amp;Q276&amp;")","")&amp;".",IF(P276="Afebril","Encontra-se afebril.","")),IF(R276&lt;&gt;"",IF(S276="Sim","Apresenta disfunção renal aguda ","Função renal preservada ")&amp;"("&amp;R276&amp;").",""),IF(T276&lt;&gt;"","Em uso do esquema antimicrobiano com "&amp;T276&amp;".",""),IF(U276&lt;&gt;"","Em uso de profilaxia: "&amp;U276&amp;".",""))&amp;CHAR(10)&amp;CHAR(10)&amp;"2. Farmacoterapia"&amp;CHAR(10)&amp;IF(V276&lt;&gt;"","Corticoide/DART: "&amp;V276,"Sem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("&amp;Intervenções!$G$2:$G$500&amp;")",(Intervenções!$B$2:$B$500=A276)*(Intervenções!$A$2:$A$500=F276))),"Nenhuma intervenção registrada hoje.")&amp;CHAR(10)&amp;CHAR(10)&amp;"4. Plano Terapêutico"&amp;CHAR(10)&amp;IF(W276&lt;&gt;"",W276,"Não definido.")</f>
      </c>
    </row>
    <row r="277" spans="1:24" x14ac:dyDescent="0.25">
      <c r="A277" s="6"/>
      <c r="B277" s="9">
        <f>IFERROR(INDEX(Pacientes!$A:$A,MATCH($A277,Pacientes!$B:$B,0)),"")</f>
      </c>
      <c r="C277" s="9">
        <f>IFERROR(INDEX(Pacientes!$C:$C,MATCH($A277,Pacientes!$B:$B,0)),"")</f>
      </c>
      <c r="D277" s="9">
        <f>IFERROR(INDEX(Pacientes!$D:$D,MATCH($A277,Pacientes!$B:$B,0)),"")</f>
      </c>
      <c r="E277" s="9">
        <f>IFERROR(INDEX(Pacientes!$E:$E,MATCH($A277,Pacientes!$B:$B,0)),"")</f>
      </c>
      <c r="F277" s="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>
        <f>"1. Evolução Clínica"&amp;CHAR(10)&amp;TEXTJOIN(" ",TRUE,"Paciente "&amp;G277&amp;", "&amp;IF(H277="","sem DVA","em uso de "&amp;H277)&amp;".",IF(I277&lt;&gt;"","Em "&amp;I277&amp;IF(J277&lt;&gt;""," ("&amp;J277&amp;")","")&amp;IF(K277&lt;&gt;"", ", "&amp;K277,"")&amp;IF(L277&lt;&gt;"", ", sob analgosedação com "&amp;L277,"")&amp;".",""),IF(M277&lt;&gt;"","Dieta "&amp;M277&amp;IF(N277&lt;&gt;"", ", com "&amp;LOWER(N277),"")&amp;IF(O277&lt;&gt;"", " — "&amp;O277,"")&amp;".",""),IF(P277="Febre","Apresentou episódio febril nas últimas 24h"&amp;IF(Q277&lt;&gt;""," ("&amp;Q277&amp;")","")&amp;".",IF(P277="Afebril","Encontra-se afebril.","")),IF(R277&lt;&gt;"",IF(S277="Sim","Apresenta disfunção renal aguda ","Função renal preservada ")&amp;"("&amp;R277&amp;").",""),IF(T277&lt;&gt;"","Em uso do esquema antimicrobiano com "&amp;T277&amp;".",""),IF(U277&lt;&gt;"","Em uso de profilaxia: "&amp;U277&amp;".",""))&amp;CHAR(10)&amp;CHAR(10)&amp;"2. Farmacoterapia"&amp;CHAR(10)&amp;IF(V277&lt;&gt;"","Corticoide/DART: "&amp;V277,"Sem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("&amp;Intervenções!$G$2:$G$500&amp;")",(Intervenções!$B$2:$B$500=A277)*(Intervenções!$A$2:$A$500=F277))),"Nenhuma intervenção registrada hoje.")&amp;CHAR(10)&amp;CHAR(10)&amp;"4. Plano Terapêutico"&amp;CHAR(10)&amp;IF(W277&lt;&gt;"",W277,"Não definido.")</f>
      </c>
    </row>
    <row r="278" spans="1:24" x14ac:dyDescent="0.25">
      <c r="A278" s="6"/>
      <c r="B278" s="9">
        <f>IFERROR(INDEX(Pacientes!$A:$A,MATCH($A278,Pacientes!$B:$B,0)),"")</f>
      </c>
      <c r="C278" s="9">
        <f>IFERROR(INDEX(Pacientes!$C:$C,MATCH($A278,Pacientes!$B:$B,0)),"")</f>
      </c>
      <c r="D278" s="9">
        <f>IFERROR(INDEX(Pacientes!$D:$D,MATCH($A278,Pacientes!$B:$B,0)),"")</f>
      </c>
      <c r="E278" s="9">
        <f>IFERROR(INDEX(Pacientes!$E:$E,MATCH($A278,Pacientes!$B:$B,0)),"")</f>
      </c>
      <c r="F278" s="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>
        <f>"1. Evolução Clínica"&amp;CHAR(10)&amp;TEXTJOIN(" ",TRUE,"Paciente "&amp;G278&amp;", "&amp;IF(H278="","sem DVA","em uso de "&amp;H278)&amp;".",IF(I278&lt;&gt;"","Em "&amp;I278&amp;IF(J278&lt;&gt;""," ("&amp;J278&amp;")","")&amp;IF(K278&lt;&gt;"", ", "&amp;K278,"")&amp;IF(L278&lt;&gt;"", ", sob analgosedação com "&amp;L278,"")&amp;".",""),IF(M278&lt;&gt;"","Dieta "&amp;M278&amp;IF(N278&lt;&gt;"", ", com "&amp;LOWER(N278),"")&amp;IF(O278&lt;&gt;"", " — "&amp;O278,"")&amp;".",""),IF(P278="Febre","Apresentou episódio febril nas últimas 24h"&amp;IF(Q278&lt;&gt;""," ("&amp;Q278&amp;")","")&amp;".",IF(P278="Afebril","Encontra-se afebril.","")),IF(R278&lt;&gt;"",IF(S278="Sim","Apresenta disfunção renal aguda ","Função renal preservada ")&amp;"("&amp;R278&amp;").",""),IF(T278&lt;&gt;"","Em uso do esquema antimicrobiano com "&amp;T278&amp;".",""),IF(U278&lt;&gt;"","Em uso de profilaxia: "&amp;U278&amp;".",""))&amp;CHAR(10)&amp;CHAR(10)&amp;"2. Farmacoterapia"&amp;CHAR(10)&amp;IF(V278&lt;&gt;"","Corticoide/DART: "&amp;V278,"Sem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("&amp;Intervenções!$G$2:$G$500&amp;")",(Intervenções!$B$2:$B$500=A278)*(Intervenções!$A$2:$A$500=F278))),"Nenhuma intervenção registrada hoje.")&amp;CHAR(10)&amp;CHAR(10)&amp;"4. Plano Terapêutico"&amp;CHAR(10)&amp;IF(W278&lt;&gt;"",W278,"Não definido.")</f>
      </c>
    </row>
    <row r="279" spans="1:24" x14ac:dyDescent="0.25">
      <c r="A279" s="6"/>
      <c r="B279" s="9">
        <f>IFERROR(INDEX(Pacientes!$A:$A,MATCH($A279,Pacientes!$B:$B,0)),"")</f>
      </c>
      <c r="C279" s="9">
        <f>IFERROR(INDEX(Pacientes!$C:$C,MATCH($A279,Pacientes!$B:$B,0)),"")</f>
      </c>
      <c r="D279" s="9">
        <f>IFERROR(INDEX(Pacientes!$D:$D,MATCH($A279,Pacientes!$B:$B,0)),"")</f>
      </c>
      <c r="E279" s="9">
        <f>IFERROR(INDEX(Pacientes!$E:$E,MATCH($A279,Pacientes!$B:$B,0)),"")</f>
      </c>
      <c r="F279" s="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>
        <f>"1. Evolução Clínica"&amp;CHAR(10)&amp;TEXTJOIN(" ",TRUE,"Paciente "&amp;G279&amp;", "&amp;IF(H279="","sem DVA","em uso de "&amp;H279)&amp;".",IF(I279&lt;&gt;"","Em "&amp;I279&amp;IF(J279&lt;&gt;""," ("&amp;J279&amp;")","")&amp;IF(K279&lt;&gt;"", ", "&amp;K279,"")&amp;IF(L279&lt;&gt;"", ", sob analgosedação com "&amp;L279,"")&amp;".",""),IF(M279&lt;&gt;"","Dieta "&amp;M279&amp;IF(N279&lt;&gt;"", ", com "&amp;LOWER(N279),"")&amp;IF(O279&lt;&gt;"", " — "&amp;O279,"")&amp;".",""),IF(P279="Febre","Apresentou episódio febril nas últimas 24h"&amp;IF(Q279&lt;&gt;""," ("&amp;Q279&amp;")","")&amp;".",IF(P279="Afebril","Encontra-se afebril.","")),IF(R279&lt;&gt;"",IF(S279="Sim","Apresenta disfunção renal aguda ","Função renal preservada ")&amp;"("&amp;R279&amp;").",""),IF(T279&lt;&gt;"","Em uso do esquema antimicrobiano com "&amp;T279&amp;".",""),IF(U279&lt;&gt;"","Em uso de profilaxia: "&amp;U279&amp;".",""))&amp;CHAR(10)&amp;CHAR(10)&amp;"2. Farmacoterapia"&amp;CHAR(10)&amp;IF(V279&lt;&gt;"","Corticoide/DART: "&amp;V279,"Sem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("&amp;Intervenções!$G$2:$G$500&amp;")",(Intervenções!$B$2:$B$500=A279)*(Intervenções!$A$2:$A$500=F279))),"Nenhuma intervenção registrada hoje.")&amp;CHAR(10)&amp;CHAR(10)&amp;"4. Plano Terapêutico"&amp;CHAR(10)&amp;IF(W279&lt;&gt;"",W279,"Não definido.")</f>
      </c>
    </row>
    <row r="280" spans="1:24" x14ac:dyDescent="0.25">
      <c r="A280" s="6"/>
      <c r="B280" s="9">
        <f>IFERROR(INDEX(Pacientes!$A:$A,MATCH($A280,Pacientes!$B:$B,0)),"")</f>
      </c>
      <c r="C280" s="9">
        <f>IFERROR(INDEX(Pacientes!$C:$C,MATCH($A280,Pacientes!$B:$B,0)),"")</f>
      </c>
      <c r="D280" s="9">
        <f>IFERROR(INDEX(Pacientes!$D:$D,MATCH($A280,Pacientes!$B:$B,0)),"")</f>
      </c>
      <c r="E280" s="9">
        <f>IFERROR(INDEX(Pacientes!$E:$E,MATCH($A280,Pacientes!$B:$B,0)),"")</f>
      </c>
      <c r="F280" s="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>
        <f>"1. Evolução Clínica"&amp;CHAR(10)&amp;TEXTJOIN(" ",TRUE,"Paciente "&amp;G280&amp;", "&amp;IF(H280="","sem DVA","em uso de "&amp;H280)&amp;".",IF(I280&lt;&gt;"","Em "&amp;I280&amp;IF(J280&lt;&gt;""," ("&amp;J280&amp;")","")&amp;IF(K280&lt;&gt;"", ", "&amp;K280,"")&amp;IF(L280&lt;&gt;"", ", sob analgosedação com "&amp;L280,"")&amp;".",""),IF(M280&lt;&gt;"","Dieta "&amp;M280&amp;IF(N280&lt;&gt;"", ", com "&amp;LOWER(N280),"")&amp;IF(O280&lt;&gt;"", " — "&amp;O280,"")&amp;".",""),IF(P280="Febre","Apresentou episódio febril nas últimas 24h"&amp;IF(Q280&lt;&gt;""," ("&amp;Q280&amp;")","")&amp;".",IF(P280="Afebril","Encontra-se afebril.","")),IF(R280&lt;&gt;"",IF(S280="Sim","Apresenta disfunção renal aguda ","Função renal preservada ")&amp;"("&amp;R280&amp;").",""),IF(T280&lt;&gt;"","Em uso do esquema antimicrobiano com "&amp;T280&amp;".",""),IF(U280&lt;&gt;"","Em uso de profilaxia: "&amp;U280&amp;".",""))&amp;CHAR(10)&amp;CHAR(10)&amp;"2. Farmacoterapia"&amp;CHAR(10)&amp;IF(V280&lt;&gt;"","Corticoide/DART: "&amp;V280,"Sem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("&amp;Intervenções!$G$2:$G$500&amp;")",(Intervenções!$B$2:$B$500=A280)*(Intervenções!$A$2:$A$500=F280))),"Nenhuma intervenção registrada hoje.")&amp;CHAR(10)&amp;CHAR(10)&amp;"4. Plano Terapêutico"&amp;CHAR(10)&amp;IF(W280&lt;&gt;"",W280,"Não definido.")</f>
      </c>
    </row>
    <row r="281" spans="1:24" x14ac:dyDescent="0.25">
      <c r="A281" s="6"/>
      <c r="B281" s="9">
        <f>IFERROR(INDEX(Pacientes!$A:$A,MATCH($A281,Pacientes!$B:$B,0)),"")</f>
      </c>
      <c r="C281" s="9">
        <f>IFERROR(INDEX(Pacientes!$C:$C,MATCH($A281,Pacientes!$B:$B,0)),"")</f>
      </c>
      <c r="D281" s="9">
        <f>IFERROR(INDEX(Pacientes!$D:$D,MATCH($A281,Pacientes!$B:$B,0)),"")</f>
      </c>
      <c r="E281" s="9">
        <f>IFERROR(INDEX(Pacientes!$E:$E,MATCH($A281,Pacientes!$B:$B,0)),"")</f>
      </c>
      <c r="F281" s="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>
        <f>"1. Evolução Clínica"&amp;CHAR(10)&amp;TEXTJOIN(" ",TRUE,"Paciente "&amp;G281&amp;", "&amp;IF(H281="","sem DVA","em uso de "&amp;H281)&amp;".",IF(I281&lt;&gt;"","Em "&amp;I281&amp;IF(J281&lt;&gt;""," ("&amp;J281&amp;")","")&amp;IF(K281&lt;&gt;"", ", "&amp;K281,"")&amp;IF(L281&lt;&gt;"", ", sob analgosedação com "&amp;L281,"")&amp;".",""),IF(M281&lt;&gt;"","Dieta "&amp;M281&amp;IF(N281&lt;&gt;"", ", com "&amp;LOWER(N281),"")&amp;IF(O281&lt;&gt;"", " — "&amp;O281,"")&amp;".",""),IF(P281="Febre","Apresentou episódio febril nas últimas 24h"&amp;IF(Q281&lt;&gt;""," ("&amp;Q281&amp;")","")&amp;".",IF(P281="Afebril","Encontra-se afebril.","")),IF(R281&lt;&gt;"",IF(S281="Sim","Apresenta disfunção renal aguda ","Função renal preservada ")&amp;"("&amp;R281&amp;").",""),IF(T281&lt;&gt;"","Em uso do esquema antimicrobiano com "&amp;T281&amp;".",""),IF(U281&lt;&gt;"","Em uso de profilaxia: "&amp;U281&amp;".",""))&amp;CHAR(10)&amp;CHAR(10)&amp;"2. Farmacoterapia"&amp;CHAR(10)&amp;IF(V281&lt;&gt;"","Corticoide/DART: "&amp;V281,"Sem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("&amp;Intervenções!$G$2:$G$500&amp;")",(Intervenções!$B$2:$B$500=A281)*(Intervenções!$A$2:$A$500=F281))),"Nenhuma intervenção registrada hoje.")&amp;CHAR(10)&amp;CHAR(10)&amp;"4. Plano Terapêutico"&amp;CHAR(10)&amp;IF(W281&lt;&gt;"",W281,"Não definido.")</f>
      </c>
    </row>
    <row r="282" spans="1:24" x14ac:dyDescent="0.25">
      <c r="A282" s="6"/>
      <c r="B282" s="9">
        <f>IFERROR(INDEX(Pacientes!$A:$A,MATCH($A282,Pacientes!$B:$B,0)),"")</f>
      </c>
      <c r="C282" s="9">
        <f>IFERROR(INDEX(Pacientes!$C:$C,MATCH($A282,Pacientes!$B:$B,0)),"")</f>
      </c>
      <c r="D282" s="9">
        <f>IFERROR(INDEX(Pacientes!$D:$D,MATCH($A282,Pacientes!$B:$B,0)),"")</f>
      </c>
      <c r="E282" s="9">
        <f>IFERROR(INDEX(Pacientes!$E:$E,MATCH($A282,Pacientes!$B:$B,0)),"")</f>
      </c>
      <c r="F282" s="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>
        <f>"1. Evolução Clínica"&amp;CHAR(10)&amp;TEXTJOIN(" ",TRUE,"Paciente "&amp;G282&amp;", "&amp;IF(H282="","sem DVA","em uso de "&amp;H282)&amp;".",IF(I282&lt;&gt;"","Em "&amp;I282&amp;IF(J282&lt;&gt;""," ("&amp;J282&amp;")","")&amp;IF(K282&lt;&gt;"", ", "&amp;K282,"")&amp;IF(L282&lt;&gt;"", ", sob analgosedação com "&amp;L282,"")&amp;".",""),IF(M282&lt;&gt;"","Dieta "&amp;M282&amp;IF(N282&lt;&gt;"", ", com "&amp;LOWER(N282),"")&amp;IF(O282&lt;&gt;"", " — "&amp;O282,"")&amp;".",""),IF(P282="Febre","Apresentou episódio febril nas últimas 24h"&amp;IF(Q282&lt;&gt;""," ("&amp;Q282&amp;")","")&amp;".",IF(P282="Afebril","Encontra-se afebril.","")),IF(R282&lt;&gt;"",IF(S282="Sim","Apresenta disfunção renal aguda ","Função renal preservada ")&amp;"("&amp;R282&amp;").",""),IF(T282&lt;&gt;"","Em uso do esquema antimicrobiano com "&amp;T282&amp;".",""),IF(U282&lt;&gt;"","Em uso de profilaxia: "&amp;U282&amp;".",""))&amp;CHAR(10)&amp;CHAR(10)&amp;"2. Farmacoterapia"&amp;CHAR(10)&amp;IF(V282&lt;&gt;"","Corticoide/DART: "&amp;V282,"Sem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("&amp;Intervenções!$G$2:$G$500&amp;")",(Intervenções!$B$2:$B$500=A282)*(Intervenções!$A$2:$A$500=F282))),"Nenhuma intervenção registrada hoje.")&amp;CHAR(10)&amp;CHAR(10)&amp;"4. Plano Terapêutico"&amp;CHAR(10)&amp;IF(W282&lt;&gt;"",W282,"Não definido.")</f>
      </c>
    </row>
    <row r="283" spans="1:24" x14ac:dyDescent="0.25">
      <c r="A283" s="6"/>
      <c r="B283" s="9">
        <f>IFERROR(INDEX(Pacientes!$A:$A,MATCH($A283,Pacientes!$B:$B,0)),"")</f>
      </c>
      <c r="C283" s="9">
        <f>IFERROR(INDEX(Pacientes!$C:$C,MATCH($A283,Pacientes!$B:$B,0)),"")</f>
      </c>
      <c r="D283" s="9">
        <f>IFERROR(INDEX(Pacientes!$D:$D,MATCH($A283,Pacientes!$B:$B,0)),"")</f>
      </c>
      <c r="E283" s="9">
        <f>IFERROR(INDEX(Pacientes!$E:$E,MATCH($A283,Pacientes!$B:$B,0)),"")</f>
      </c>
      <c r="F283" s="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>
        <f>"1. Evolução Clínica"&amp;CHAR(10)&amp;TEXTJOIN(" ",TRUE,"Paciente "&amp;G283&amp;", "&amp;IF(H283="","sem DVA","em uso de "&amp;H283)&amp;".",IF(I283&lt;&gt;"","Em "&amp;I283&amp;IF(J283&lt;&gt;""," ("&amp;J283&amp;")","")&amp;IF(K283&lt;&gt;"", ", "&amp;K283,"")&amp;IF(L283&lt;&gt;"", ", sob analgosedação com "&amp;L283,"")&amp;".",""),IF(M283&lt;&gt;"","Dieta "&amp;M283&amp;IF(N283&lt;&gt;"", ", com "&amp;LOWER(N283),"")&amp;IF(O283&lt;&gt;"", " — "&amp;O283,"")&amp;".",""),IF(P283="Febre","Apresentou episódio febril nas últimas 24h"&amp;IF(Q283&lt;&gt;""," ("&amp;Q283&amp;")","")&amp;".",IF(P283="Afebril","Encontra-se afebril.","")),IF(R283&lt;&gt;"",IF(S283="Sim","Apresenta disfunção renal aguda ","Função renal preservada ")&amp;"("&amp;R283&amp;").",""),IF(T283&lt;&gt;"","Em uso do esquema antimicrobiano com "&amp;T283&amp;".",""),IF(U283&lt;&gt;"","Em uso de profilaxia: "&amp;U283&amp;".",""))&amp;CHAR(10)&amp;CHAR(10)&amp;"2. Farmacoterapia"&amp;CHAR(10)&amp;IF(V283&lt;&gt;"","Corticoide/DART: "&amp;V283,"Sem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("&amp;Intervenções!$G$2:$G$500&amp;")",(Intervenções!$B$2:$B$500=A283)*(Intervenções!$A$2:$A$500=F283))),"Nenhuma intervenção registrada hoje.")&amp;CHAR(10)&amp;CHAR(10)&amp;"4. Plano Terapêutico"&amp;CHAR(10)&amp;IF(W283&lt;&gt;"",W283,"Não definido.")</f>
      </c>
    </row>
    <row r="284" spans="1:24" x14ac:dyDescent="0.25">
      <c r="A284" s="6"/>
      <c r="B284" s="9">
        <f>IFERROR(INDEX(Pacientes!$A:$A,MATCH($A284,Pacientes!$B:$B,0)),"")</f>
      </c>
      <c r="C284" s="9">
        <f>IFERROR(INDEX(Pacientes!$C:$C,MATCH($A284,Pacientes!$B:$B,0)),"")</f>
      </c>
      <c r="D284" s="9">
        <f>IFERROR(INDEX(Pacientes!$D:$D,MATCH($A284,Pacientes!$B:$B,0)),"")</f>
      </c>
      <c r="E284" s="9">
        <f>IFERROR(INDEX(Pacientes!$E:$E,MATCH($A284,Pacientes!$B:$B,0)),"")</f>
      </c>
      <c r="F284" s="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>
        <f>"1. Evolução Clínica"&amp;CHAR(10)&amp;TEXTJOIN(" ",TRUE,"Paciente "&amp;G284&amp;", "&amp;IF(H284="","sem DVA","em uso de "&amp;H284)&amp;".",IF(I284&lt;&gt;"","Em "&amp;I284&amp;IF(J284&lt;&gt;""," ("&amp;J284&amp;")","")&amp;IF(K284&lt;&gt;"", ", "&amp;K284,"")&amp;IF(L284&lt;&gt;"", ", sob analgosedação com "&amp;L284,"")&amp;".",""),IF(M284&lt;&gt;"","Dieta "&amp;M284&amp;IF(N284&lt;&gt;"", ", com "&amp;LOWER(N284),"")&amp;IF(O284&lt;&gt;"", " — "&amp;O284,"")&amp;".",""),IF(P284="Febre","Apresentou episódio febril nas últimas 24h"&amp;IF(Q284&lt;&gt;""," ("&amp;Q284&amp;")","")&amp;".",IF(P284="Afebril","Encontra-se afebril.","")),IF(R284&lt;&gt;"",IF(S284="Sim","Apresenta disfunção renal aguda ","Função renal preservada ")&amp;"("&amp;R284&amp;").",""),IF(T284&lt;&gt;"","Em uso do esquema antimicrobiano com "&amp;T284&amp;".",""),IF(U284&lt;&gt;"","Em uso de profilaxia: "&amp;U284&amp;".",""))&amp;CHAR(10)&amp;CHAR(10)&amp;"2. Farmacoterapia"&amp;CHAR(10)&amp;IF(V284&lt;&gt;"","Corticoide/DART: "&amp;V284,"Sem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("&amp;Intervenções!$G$2:$G$500&amp;")",(Intervenções!$B$2:$B$500=A284)*(Intervenções!$A$2:$A$500=F284))),"Nenhuma intervenção registrada hoje.")&amp;CHAR(10)&amp;CHAR(10)&amp;"4. Plano Terapêutico"&amp;CHAR(10)&amp;IF(W284&lt;&gt;"",W284,"Não definido.")</f>
      </c>
    </row>
    <row r="285" spans="1:24" x14ac:dyDescent="0.25">
      <c r="A285" s="6"/>
      <c r="B285" s="9">
        <f>IFERROR(INDEX(Pacientes!$A:$A,MATCH($A285,Pacientes!$B:$B,0)),"")</f>
      </c>
      <c r="C285" s="9">
        <f>IFERROR(INDEX(Pacientes!$C:$C,MATCH($A285,Pacientes!$B:$B,0)),"")</f>
      </c>
      <c r="D285" s="9">
        <f>IFERROR(INDEX(Pacientes!$D:$D,MATCH($A285,Pacientes!$B:$B,0)),"")</f>
      </c>
      <c r="E285" s="9">
        <f>IFERROR(INDEX(Pacientes!$E:$E,MATCH($A285,Pacientes!$B:$B,0)),"")</f>
      </c>
      <c r="F285" s="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>
        <f>"1. Evolução Clínica"&amp;CHAR(10)&amp;TEXTJOIN(" ",TRUE,"Paciente "&amp;G285&amp;", "&amp;IF(H285="","sem DVA","em uso de "&amp;H285)&amp;".",IF(I285&lt;&gt;"","Em "&amp;I285&amp;IF(J285&lt;&gt;""," ("&amp;J285&amp;")","")&amp;IF(K285&lt;&gt;"", ", "&amp;K285,"")&amp;IF(L285&lt;&gt;"", ", sob analgosedação com "&amp;L285,"")&amp;".",""),IF(M285&lt;&gt;"","Dieta "&amp;M285&amp;IF(N285&lt;&gt;"", ", com "&amp;LOWER(N285),"")&amp;IF(O285&lt;&gt;"", " — "&amp;O285,"")&amp;".",""),IF(P285="Febre","Apresentou episódio febril nas últimas 24h"&amp;IF(Q285&lt;&gt;""," ("&amp;Q285&amp;")","")&amp;".",IF(P285="Afebril","Encontra-se afebril.","")),IF(R285&lt;&gt;"",IF(S285="Sim","Apresenta disfunção renal aguda ","Função renal preservada ")&amp;"("&amp;R285&amp;").",""),IF(T285&lt;&gt;"","Em uso do esquema antimicrobiano com "&amp;T285&amp;".",""),IF(U285&lt;&gt;"","Em uso de profilaxia: "&amp;U285&amp;".",""))&amp;CHAR(10)&amp;CHAR(10)&amp;"2. Farmacoterapia"&amp;CHAR(10)&amp;IF(V285&lt;&gt;"","Corticoide/DART: "&amp;V285,"Sem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("&amp;Intervenções!$G$2:$G$500&amp;")",(Intervenções!$B$2:$B$500=A285)*(Intervenções!$A$2:$A$500=F285))),"Nenhuma intervenção registrada hoje.")&amp;CHAR(10)&amp;CHAR(10)&amp;"4. Plano Terapêutico"&amp;CHAR(10)&amp;IF(W285&lt;&gt;"",W285,"Não definido.")</f>
      </c>
    </row>
    <row r="286" spans="1:24" x14ac:dyDescent="0.25">
      <c r="A286" s="6"/>
      <c r="B286" s="9">
        <f>IFERROR(INDEX(Pacientes!$A:$A,MATCH($A286,Pacientes!$B:$B,0)),"")</f>
      </c>
      <c r="C286" s="9">
        <f>IFERROR(INDEX(Pacientes!$C:$C,MATCH($A286,Pacientes!$B:$B,0)),"")</f>
      </c>
      <c r="D286" s="9">
        <f>IFERROR(INDEX(Pacientes!$D:$D,MATCH($A286,Pacientes!$B:$B,0)),"")</f>
      </c>
      <c r="E286" s="9">
        <f>IFERROR(INDEX(Pacientes!$E:$E,MATCH($A286,Pacientes!$B:$B,0)),"")</f>
      </c>
      <c r="F286" s="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>
        <f>"1. Evolução Clínica"&amp;CHAR(10)&amp;TEXTJOIN(" ",TRUE,"Paciente "&amp;G286&amp;", "&amp;IF(H286="","sem DVA","em uso de "&amp;H286)&amp;".",IF(I286&lt;&gt;"","Em "&amp;I286&amp;IF(J286&lt;&gt;""," ("&amp;J286&amp;")","")&amp;IF(K286&lt;&gt;"", ", "&amp;K286,"")&amp;IF(L286&lt;&gt;"", ", sob analgosedação com "&amp;L286,"")&amp;".",""),IF(M286&lt;&gt;"","Dieta "&amp;M286&amp;IF(N286&lt;&gt;"", ", com "&amp;LOWER(N286),"")&amp;IF(O286&lt;&gt;"", " — "&amp;O286,"")&amp;".",""),IF(P286="Febre","Apresentou episódio febril nas últimas 24h"&amp;IF(Q286&lt;&gt;""," ("&amp;Q286&amp;")","")&amp;".",IF(P286="Afebril","Encontra-se afebril.","")),IF(R286&lt;&gt;"",IF(S286="Sim","Apresenta disfunção renal aguda ","Função renal preservada ")&amp;"("&amp;R286&amp;").",""),IF(T286&lt;&gt;"","Em uso do esquema antimicrobiano com "&amp;T286&amp;".",""),IF(U286&lt;&gt;"","Em uso de profilaxia: "&amp;U286&amp;".",""))&amp;CHAR(10)&amp;CHAR(10)&amp;"2. Farmacoterapia"&amp;CHAR(10)&amp;IF(V286&lt;&gt;"","Corticoide/DART: "&amp;V286,"Sem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("&amp;Intervenções!$G$2:$G$500&amp;")",(Intervenções!$B$2:$B$500=A286)*(Intervenções!$A$2:$A$500=F286))),"Nenhuma intervenção registrada hoje.")&amp;CHAR(10)&amp;CHAR(10)&amp;"4. Plano Terapêutico"&amp;CHAR(10)&amp;IF(W286&lt;&gt;"",W286,"Não definido.")</f>
      </c>
    </row>
    <row r="287" spans="1:24" x14ac:dyDescent="0.25">
      <c r="A287" s="6"/>
      <c r="B287" s="9">
        <f>IFERROR(INDEX(Pacientes!$A:$A,MATCH($A287,Pacientes!$B:$B,0)),"")</f>
      </c>
      <c r="C287" s="9">
        <f>IFERROR(INDEX(Pacientes!$C:$C,MATCH($A287,Pacientes!$B:$B,0)),"")</f>
      </c>
      <c r="D287" s="9">
        <f>IFERROR(INDEX(Pacientes!$D:$D,MATCH($A287,Pacientes!$B:$B,0)),"")</f>
      </c>
      <c r="E287" s="9">
        <f>IFERROR(INDEX(Pacientes!$E:$E,MATCH($A287,Pacientes!$B:$B,0)),"")</f>
      </c>
      <c r="F287" s="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>
        <f>"1. Evolução Clínica"&amp;CHAR(10)&amp;TEXTJOIN(" ",TRUE,"Paciente "&amp;G287&amp;", "&amp;IF(H287="","sem DVA","em uso de "&amp;H287)&amp;".",IF(I287&lt;&gt;"","Em "&amp;I287&amp;IF(J287&lt;&gt;""," ("&amp;J287&amp;")","")&amp;IF(K287&lt;&gt;"", ", "&amp;K287,"")&amp;IF(L287&lt;&gt;"", ", sob analgosedação com "&amp;L287,"")&amp;".",""),IF(M287&lt;&gt;"","Dieta "&amp;M287&amp;IF(N287&lt;&gt;"", ", com "&amp;LOWER(N287),"")&amp;IF(O287&lt;&gt;"", " — "&amp;O287,"")&amp;".",""),IF(P287="Febre","Apresentou episódio febril nas últimas 24h"&amp;IF(Q287&lt;&gt;""," ("&amp;Q287&amp;")","")&amp;".",IF(P287="Afebril","Encontra-se afebril.","")),IF(R287&lt;&gt;"",IF(S287="Sim","Apresenta disfunção renal aguda ","Função renal preservada ")&amp;"("&amp;R287&amp;").",""),IF(T287&lt;&gt;"","Em uso do esquema antimicrobiano com "&amp;T287&amp;".",""),IF(U287&lt;&gt;"","Em uso de profilaxia: "&amp;U287&amp;".",""))&amp;CHAR(10)&amp;CHAR(10)&amp;"2. Farmacoterapia"&amp;CHAR(10)&amp;IF(V287&lt;&gt;"","Corticoide/DART: "&amp;V287,"Sem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("&amp;Intervenções!$G$2:$G$500&amp;")",(Intervenções!$B$2:$B$500=A287)*(Intervenções!$A$2:$A$500=F287))),"Nenhuma intervenção registrada hoje.")&amp;CHAR(10)&amp;CHAR(10)&amp;"4. Plano Terapêutico"&amp;CHAR(10)&amp;IF(W287&lt;&gt;"",W287,"Não definido.")</f>
      </c>
    </row>
    <row r="288" spans="1:24" x14ac:dyDescent="0.25">
      <c r="A288" s="6"/>
      <c r="B288" s="9">
        <f>IFERROR(INDEX(Pacientes!$A:$A,MATCH($A288,Pacientes!$B:$B,0)),"")</f>
      </c>
      <c r="C288" s="9">
        <f>IFERROR(INDEX(Pacientes!$C:$C,MATCH($A288,Pacientes!$B:$B,0)),"")</f>
      </c>
      <c r="D288" s="9">
        <f>IFERROR(INDEX(Pacientes!$D:$D,MATCH($A288,Pacientes!$B:$B,0)),"")</f>
      </c>
      <c r="E288" s="9">
        <f>IFERROR(INDEX(Pacientes!$E:$E,MATCH($A288,Pacientes!$B:$B,0)),"")</f>
      </c>
      <c r="F288" s="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>
        <f>"1. Evolução Clínica"&amp;CHAR(10)&amp;TEXTJOIN(" ",TRUE,"Paciente "&amp;G288&amp;", "&amp;IF(H288="","sem DVA","em uso de "&amp;H288)&amp;".",IF(I288&lt;&gt;"","Em "&amp;I288&amp;IF(J288&lt;&gt;""," ("&amp;J288&amp;")","")&amp;IF(K288&lt;&gt;"", ", "&amp;K288,"")&amp;IF(L288&lt;&gt;"", ", sob analgosedação com "&amp;L288,"")&amp;".",""),IF(M288&lt;&gt;"","Dieta "&amp;M288&amp;IF(N288&lt;&gt;"", ", com "&amp;LOWER(N288),"")&amp;IF(O288&lt;&gt;"", " — "&amp;O288,"")&amp;".",""),IF(P288="Febre","Apresentou episódio febril nas últimas 24h"&amp;IF(Q288&lt;&gt;""," ("&amp;Q288&amp;")","")&amp;".",IF(P288="Afebril","Encontra-se afebril.","")),IF(R288&lt;&gt;"",IF(S288="Sim","Apresenta disfunção renal aguda ","Função renal preservada ")&amp;"("&amp;R288&amp;").",""),IF(T288&lt;&gt;"","Em uso do esquema antimicrobiano com "&amp;T288&amp;".",""),IF(U288&lt;&gt;"","Em uso de profilaxia: "&amp;U288&amp;".",""))&amp;CHAR(10)&amp;CHAR(10)&amp;"2. Farmacoterapia"&amp;CHAR(10)&amp;IF(V288&lt;&gt;"","Corticoide/DART: "&amp;V288,"Sem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("&amp;Intervenções!$G$2:$G$500&amp;")",(Intervenções!$B$2:$B$500=A288)*(Intervenções!$A$2:$A$500=F288))),"Nenhuma intervenção registrada hoje.")&amp;CHAR(10)&amp;CHAR(10)&amp;"4. Plano Terapêutico"&amp;CHAR(10)&amp;IF(W288&lt;&gt;"",W288,"Não definido.")</f>
      </c>
    </row>
    <row r="289" spans="1:24" x14ac:dyDescent="0.25">
      <c r="A289" s="6"/>
      <c r="B289" s="9">
        <f>IFERROR(INDEX(Pacientes!$A:$A,MATCH($A289,Pacientes!$B:$B,0)),"")</f>
      </c>
      <c r="C289" s="9">
        <f>IFERROR(INDEX(Pacientes!$C:$C,MATCH($A289,Pacientes!$B:$B,0)),"")</f>
      </c>
      <c r="D289" s="9">
        <f>IFERROR(INDEX(Pacientes!$D:$D,MATCH($A289,Pacientes!$B:$B,0)),"")</f>
      </c>
      <c r="E289" s="9">
        <f>IFERROR(INDEX(Pacientes!$E:$E,MATCH($A289,Pacientes!$B:$B,0)),"")</f>
      </c>
      <c r="F289" s="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>
        <f>"1. Evolução Clínica"&amp;CHAR(10)&amp;TEXTJOIN(" ",TRUE,"Paciente "&amp;G289&amp;", "&amp;IF(H289="","sem DVA","em uso de "&amp;H289)&amp;".",IF(I289&lt;&gt;"","Em "&amp;I289&amp;IF(J289&lt;&gt;""," ("&amp;J289&amp;")","")&amp;IF(K289&lt;&gt;"", ", "&amp;K289,"")&amp;IF(L289&lt;&gt;"", ", sob analgosedação com "&amp;L289,"")&amp;".",""),IF(M289&lt;&gt;"","Dieta "&amp;M289&amp;IF(N289&lt;&gt;"", ", com "&amp;LOWER(N289),"")&amp;IF(O289&lt;&gt;"", " — "&amp;O289,"")&amp;".",""),IF(P289="Febre","Apresentou episódio febril nas últimas 24h"&amp;IF(Q289&lt;&gt;""," ("&amp;Q289&amp;")","")&amp;".",IF(P289="Afebril","Encontra-se afebril.","")),IF(R289&lt;&gt;"",IF(S289="Sim","Apresenta disfunção renal aguda ","Função renal preservada ")&amp;"("&amp;R289&amp;").",""),IF(T289&lt;&gt;"","Em uso do esquema antimicrobiano com "&amp;T289&amp;".",""),IF(U289&lt;&gt;"","Em uso de profilaxia: "&amp;U289&amp;".",""))&amp;CHAR(10)&amp;CHAR(10)&amp;"2. Farmacoterapia"&amp;CHAR(10)&amp;IF(V289&lt;&gt;"","Corticoide/DART: "&amp;V289,"Sem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("&amp;Intervenções!$G$2:$G$500&amp;")",(Intervenções!$B$2:$B$500=A289)*(Intervenções!$A$2:$A$500=F289))),"Nenhuma intervenção registrada hoje.")&amp;CHAR(10)&amp;CHAR(10)&amp;"4. Plano Terapêutico"&amp;CHAR(10)&amp;IF(W289&lt;&gt;"",W289,"Não definido.")</f>
      </c>
    </row>
    <row r="290" spans="1:24" x14ac:dyDescent="0.25">
      <c r="A290" s="6"/>
      <c r="B290" s="9">
        <f>IFERROR(INDEX(Pacientes!$A:$A,MATCH($A290,Pacientes!$B:$B,0)),"")</f>
      </c>
      <c r="C290" s="9">
        <f>IFERROR(INDEX(Pacientes!$C:$C,MATCH($A290,Pacientes!$B:$B,0)),"")</f>
      </c>
      <c r="D290" s="9">
        <f>IFERROR(INDEX(Pacientes!$D:$D,MATCH($A290,Pacientes!$B:$B,0)),"")</f>
      </c>
      <c r="E290" s="9">
        <f>IFERROR(INDEX(Pacientes!$E:$E,MATCH($A290,Pacientes!$B:$B,0)),"")</f>
      </c>
      <c r="F290" s="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>
        <f>"1. Evolução Clínica"&amp;CHAR(10)&amp;TEXTJOIN(" ",TRUE,"Paciente "&amp;G290&amp;", "&amp;IF(H290="","sem DVA","em uso de "&amp;H290)&amp;".",IF(I290&lt;&gt;"","Em "&amp;I290&amp;IF(J290&lt;&gt;""," ("&amp;J290&amp;")","")&amp;IF(K290&lt;&gt;"", ", "&amp;K290,"")&amp;IF(L290&lt;&gt;"", ", sob analgosedação com "&amp;L290,"")&amp;".",""),IF(M290&lt;&gt;"","Dieta "&amp;M290&amp;IF(N290&lt;&gt;"", ", com "&amp;LOWER(N290),"")&amp;IF(O290&lt;&gt;"", " — "&amp;O290,"")&amp;".",""),IF(P290="Febre","Apresentou episódio febril nas últimas 24h"&amp;IF(Q290&lt;&gt;""," ("&amp;Q290&amp;")","")&amp;".",IF(P290="Afebril","Encontra-se afebril.","")),IF(R290&lt;&gt;"",IF(S290="Sim","Apresenta disfunção renal aguda ","Função renal preservada ")&amp;"("&amp;R290&amp;").",""),IF(T290&lt;&gt;"","Em uso do esquema antimicrobiano com "&amp;T290&amp;".",""),IF(U290&lt;&gt;"","Em uso de profilaxia: "&amp;U290&amp;".",""))&amp;CHAR(10)&amp;CHAR(10)&amp;"2. Farmacoterapia"&amp;CHAR(10)&amp;IF(V290&lt;&gt;"","Corticoide/DART: "&amp;V290,"Sem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("&amp;Intervenções!$G$2:$G$500&amp;")",(Intervenções!$B$2:$B$500=A290)*(Intervenções!$A$2:$A$500=F290))),"Nenhuma intervenção registrada hoje.")&amp;CHAR(10)&amp;CHAR(10)&amp;"4. Plano Terapêutico"&amp;CHAR(10)&amp;IF(W290&lt;&gt;"",W290,"Não definido.")</f>
      </c>
    </row>
    <row r="291" spans="1:24" x14ac:dyDescent="0.25">
      <c r="A291" s="6"/>
      <c r="B291" s="9">
        <f>IFERROR(INDEX(Pacientes!$A:$A,MATCH($A291,Pacientes!$B:$B,0)),"")</f>
      </c>
      <c r="C291" s="9">
        <f>IFERROR(INDEX(Pacientes!$C:$C,MATCH($A291,Pacientes!$B:$B,0)),"")</f>
      </c>
      <c r="D291" s="9">
        <f>IFERROR(INDEX(Pacientes!$D:$D,MATCH($A291,Pacientes!$B:$B,0)),"")</f>
      </c>
      <c r="E291" s="9">
        <f>IFERROR(INDEX(Pacientes!$E:$E,MATCH($A291,Pacientes!$B:$B,0)),"")</f>
      </c>
      <c r="F291" s="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>
        <f>"1. Evolução Clínica"&amp;CHAR(10)&amp;TEXTJOIN(" ",TRUE,"Paciente "&amp;G291&amp;", "&amp;IF(H291="","sem DVA","em uso de "&amp;H291)&amp;".",IF(I291&lt;&gt;"","Em "&amp;I291&amp;IF(J291&lt;&gt;""," ("&amp;J291&amp;")","")&amp;IF(K291&lt;&gt;"", ", "&amp;K291,"")&amp;IF(L291&lt;&gt;"", ", sob analgosedação com "&amp;L291,"")&amp;".",""),IF(M291&lt;&gt;"","Dieta "&amp;M291&amp;IF(N291&lt;&gt;"", ", com "&amp;LOWER(N291),"")&amp;IF(O291&lt;&gt;"", " — "&amp;O291,"")&amp;".",""),IF(P291="Febre","Apresentou episódio febril nas últimas 24h"&amp;IF(Q291&lt;&gt;""," ("&amp;Q291&amp;")","")&amp;".",IF(P291="Afebril","Encontra-se afebril.","")),IF(R291&lt;&gt;"",IF(S291="Sim","Apresenta disfunção renal aguda ","Função renal preservada ")&amp;"("&amp;R291&amp;").",""),IF(T291&lt;&gt;"","Em uso do esquema antimicrobiano com "&amp;T291&amp;".",""),IF(U291&lt;&gt;"","Em uso de profilaxia: "&amp;U291&amp;".",""))&amp;CHAR(10)&amp;CHAR(10)&amp;"2. Farmacoterapia"&amp;CHAR(10)&amp;IF(V291&lt;&gt;"","Corticoide/DART: "&amp;V291,"Sem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("&amp;Intervenções!$G$2:$G$500&amp;")",(Intervenções!$B$2:$B$500=A291)*(Intervenções!$A$2:$A$500=F291))),"Nenhuma intervenção registrada hoje.")&amp;CHAR(10)&amp;CHAR(10)&amp;"4. Plano Terapêutico"&amp;CHAR(10)&amp;IF(W291&lt;&gt;"",W291,"Não definido.")</f>
      </c>
    </row>
    <row r="292" spans="1:24" x14ac:dyDescent="0.25">
      <c r="A292" s="6"/>
      <c r="B292" s="9">
        <f>IFERROR(INDEX(Pacientes!$A:$A,MATCH($A292,Pacientes!$B:$B,0)),"")</f>
      </c>
      <c r="C292" s="9">
        <f>IFERROR(INDEX(Pacientes!$C:$C,MATCH($A292,Pacientes!$B:$B,0)),"")</f>
      </c>
      <c r="D292" s="9">
        <f>IFERROR(INDEX(Pacientes!$D:$D,MATCH($A292,Pacientes!$B:$B,0)),"")</f>
      </c>
      <c r="E292" s="9">
        <f>IFERROR(INDEX(Pacientes!$E:$E,MATCH($A292,Pacientes!$B:$B,0)),"")</f>
      </c>
      <c r="F292" s="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>
        <f>"1. Evolução Clínica"&amp;CHAR(10)&amp;TEXTJOIN(" ",TRUE,"Paciente "&amp;G292&amp;", "&amp;IF(H292="","sem DVA","em uso de "&amp;H292)&amp;".",IF(I292&lt;&gt;"","Em "&amp;I292&amp;IF(J292&lt;&gt;""," ("&amp;J292&amp;")","")&amp;IF(K292&lt;&gt;"", ", "&amp;K292,"")&amp;IF(L292&lt;&gt;"", ", sob analgosedação com "&amp;L292,"")&amp;".",""),IF(M292&lt;&gt;"","Dieta "&amp;M292&amp;IF(N292&lt;&gt;"", ", com "&amp;LOWER(N292),"")&amp;IF(O292&lt;&gt;"", " — "&amp;O292,"")&amp;".",""),IF(P292="Febre","Apresentou episódio febril nas últimas 24h"&amp;IF(Q292&lt;&gt;""," ("&amp;Q292&amp;")","")&amp;".",IF(P292="Afebril","Encontra-se afebril.","")),IF(R292&lt;&gt;"",IF(S292="Sim","Apresenta disfunção renal aguda ","Função renal preservada ")&amp;"("&amp;R292&amp;").",""),IF(T292&lt;&gt;"","Em uso do esquema antimicrobiano com "&amp;T292&amp;".",""),IF(U292&lt;&gt;"","Em uso de profilaxia: "&amp;U292&amp;".",""))&amp;CHAR(10)&amp;CHAR(10)&amp;"2. Farmacoterapia"&amp;CHAR(10)&amp;IF(V292&lt;&gt;"","Corticoide/DART: "&amp;V292,"Sem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("&amp;Intervenções!$G$2:$G$500&amp;")",(Intervenções!$B$2:$B$500=A292)*(Intervenções!$A$2:$A$500=F292))),"Nenhuma intervenção registrada hoje.")&amp;CHAR(10)&amp;CHAR(10)&amp;"4. Plano Terapêutico"&amp;CHAR(10)&amp;IF(W292&lt;&gt;"",W292,"Não definido.")</f>
      </c>
    </row>
    <row r="293" spans="1:24" x14ac:dyDescent="0.25">
      <c r="A293" s="6"/>
      <c r="B293" s="9">
        <f>IFERROR(INDEX(Pacientes!$A:$A,MATCH($A293,Pacientes!$B:$B,0)),"")</f>
      </c>
      <c r="C293" s="9">
        <f>IFERROR(INDEX(Pacientes!$C:$C,MATCH($A293,Pacientes!$B:$B,0)),"")</f>
      </c>
      <c r="D293" s="9">
        <f>IFERROR(INDEX(Pacientes!$D:$D,MATCH($A293,Pacientes!$B:$B,0)),"")</f>
      </c>
      <c r="E293" s="9">
        <f>IFERROR(INDEX(Pacientes!$E:$E,MATCH($A293,Pacientes!$B:$B,0)),"")</f>
      </c>
      <c r="F293" s="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>
        <f>"1. Evolução Clínica"&amp;CHAR(10)&amp;TEXTJOIN(" ",TRUE,"Paciente "&amp;G293&amp;", "&amp;IF(H293="","sem DVA","em uso de "&amp;H293)&amp;".",IF(I293&lt;&gt;"","Em "&amp;I293&amp;IF(J293&lt;&gt;""," ("&amp;J293&amp;")","")&amp;IF(K293&lt;&gt;"", ", "&amp;K293,"")&amp;IF(L293&lt;&gt;"", ", sob analgosedação com "&amp;L293,"")&amp;".",""),IF(M293&lt;&gt;"","Dieta "&amp;M293&amp;IF(N293&lt;&gt;"", ", com "&amp;LOWER(N293),"")&amp;IF(O293&lt;&gt;"", " — "&amp;O293,"")&amp;".",""),IF(P293="Febre","Apresentou episódio febril nas últimas 24h"&amp;IF(Q293&lt;&gt;""," ("&amp;Q293&amp;")","")&amp;".",IF(P293="Afebril","Encontra-se afebril.","")),IF(R293&lt;&gt;"",IF(S293="Sim","Apresenta disfunção renal aguda ","Função renal preservada ")&amp;"("&amp;R293&amp;").",""),IF(T293&lt;&gt;"","Em uso do esquema antimicrobiano com "&amp;T293&amp;".",""),IF(U293&lt;&gt;"","Em uso de profilaxia: "&amp;U293&amp;".",""))&amp;CHAR(10)&amp;CHAR(10)&amp;"2. Farmacoterapia"&amp;CHAR(10)&amp;IF(V293&lt;&gt;"","Corticoide/DART: "&amp;V293,"Sem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("&amp;Intervenções!$G$2:$G$500&amp;")",(Intervenções!$B$2:$B$500=A293)*(Intervenções!$A$2:$A$500=F293))),"Nenhuma intervenção registrada hoje.")&amp;CHAR(10)&amp;CHAR(10)&amp;"4. Plano Terapêutico"&amp;CHAR(10)&amp;IF(W293&lt;&gt;"",W293,"Não definido.")</f>
      </c>
    </row>
    <row r="294" spans="1:24" x14ac:dyDescent="0.25">
      <c r="A294" s="6"/>
      <c r="B294" s="9">
        <f>IFERROR(INDEX(Pacientes!$A:$A,MATCH($A294,Pacientes!$B:$B,0)),"")</f>
      </c>
      <c r="C294" s="9">
        <f>IFERROR(INDEX(Pacientes!$C:$C,MATCH($A294,Pacientes!$B:$B,0)),"")</f>
      </c>
      <c r="D294" s="9">
        <f>IFERROR(INDEX(Pacientes!$D:$D,MATCH($A294,Pacientes!$B:$B,0)),"")</f>
      </c>
      <c r="E294" s="9">
        <f>IFERROR(INDEX(Pacientes!$E:$E,MATCH($A294,Pacientes!$B:$B,0)),"")</f>
      </c>
      <c r="F294" s="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>
        <f>"1. Evolução Clínica"&amp;CHAR(10)&amp;TEXTJOIN(" ",TRUE,"Paciente "&amp;G294&amp;", "&amp;IF(H294="","sem DVA","em uso de "&amp;H294)&amp;".",IF(I294&lt;&gt;"","Em "&amp;I294&amp;IF(J294&lt;&gt;""," ("&amp;J294&amp;")","")&amp;IF(K294&lt;&gt;"", ", "&amp;K294,"")&amp;IF(L294&lt;&gt;"", ", sob analgosedação com "&amp;L294,"")&amp;".",""),IF(M294&lt;&gt;"","Dieta "&amp;M294&amp;IF(N294&lt;&gt;"", ", com "&amp;LOWER(N294),"")&amp;IF(O294&lt;&gt;"", " — "&amp;O294,"")&amp;".",""),IF(P294="Febre","Apresentou episódio febril nas últimas 24h"&amp;IF(Q294&lt;&gt;""," ("&amp;Q294&amp;")","")&amp;".",IF(P294="Afebril","Encontra-se afebril.","")),IF(R294&lt;&gt;"",IF(S294="Sim","Apresenta disfunção renal aguda ","Função renal preservada ")&amp;"("&amp;R294&amp;").",""),IF(T294&lt;&gt;"","Em uso do esquema antimicrobiano com "&amp;T294&amp;".",""),IF(U294&lt;&gt;"","Em uso de profilaxia: "&amp;U294&amp;".",""))&amp;CHAR(10)&amp;CHAR(10)&amp;"2. Farmacoterapia"&amp;CHAR(10)&amp;IF(V294&lt;&gt;"","Corticoide/DART: "&amp;V294,"Sem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("&amp;Intervenções!$G$2:$G$500&amp;")",(Intervenções!$B$2:$B$500=A294)*(Intervenções!$A$2:$A$500=F294))),"Nenhuma intervenção registrada hoje.")&amp;CHAR(10)&amp;CHAR(10)&amp;"4. Plano Terapêutico"&amp;CHAR(10)&amp;IF(W294&lt;&gt;"",W294,"Não definido.")</f>
      </c>
    </row>
    <row r="295" spans="1:24" x14ac:dyDescent="0.25">
      <c r="A295" s="6"/>
      <c r="B295" s="9">
        <f>IFERROR(INDEX(Pacientes!$A:$A,MATCH($A295,Pacientes!$B:$B,0)),"")</f>
      </c>
      <c r="C295" s="9">
        <f>IFERROR(INDEX(Pacientes!$C:$C,MATCH($A295,Pacientes!$B:$B,0)),"")</f>
      </c>
      <c r="D295" s="9">
        <f>IFERROR(INDEX(Pacientes!$D:$D,MATCH($A295,Pacientes!$B:$B,0)),"")</f>
      </c>
      <c r="E295" s="9">
        <f>IFERROR(INDEX(Pacientes!$E:$E,MATCH($A295,Pacientes!$B:$B,0)),"")</f>
      </c>
      <c r="F295" s="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>
        <f>"1. Evolução Clínica"&amp;CHAR(10)&amp;TEXTJOIN(" ",TRUE,"Paciente "&amp;G295&amp;", "&amp;IF(H295="","sem DVA","em uso de "&amp;H295)&amp;".",IF(I295&lt;&gt;"","Em "&amp;I295&amp;IF(J295&lt;&gt;""," ("&amp;J295&amp;")","")&amp;IF(K295&lt;&gt;"", ", "&amp;K295,"")&amp;IF(L295&lt;&gt;"", ", sob analgosedação com "&amp;L295,"")&amp;".",""),IF(M295&lt;&gt;"","Dieta "&amp;M295&amp;IF(N295&lt;&gt;"", ", com "&amp;LOWER(N295),"")&amp;IF(O295&lt;&gt;"", " — "&amp;O295,"")&amp;".",""),IF(P295="Febre","Apresentou episódio febril nas últimas 24h"&amp;IF(Q295&lt;&gt;""," ("&amp;Q295&amp;")","")&amp;".",IF(P295="Afebril","Encontra-se afebril.","")),IF(R295&lt;&gt;"",IF(S295="Sim","Apresenta disfunção renal aguda ","Função renal preservada ")&amp;"("&amp;R295&amp;").",""),IF(T295&lt;&gt;"","Em uso do esquema antimicrobiano com "&amp;T295&amp;".",""),IF(U295&lt;&gt;"","Em uso de profilaxia: "&amp;U295&amp;".",""))&amp;CHAR(10)&amp;CHAR(10)&amp;"2. Farmacoterapia"&amp;CHAR(10)&amp;IF(V295&lt;&gt;"","Corticoide/DART: "&amp;V295,"Sem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("&amp;Intervenções!$G$2:$G$500&amp;")",(Intervenções!$B$2:$B$500=A295)*(Intervenções!$A$2:$A$500=F295))),"Nenhuma intervenção registrada hoje.")&amp;CHAR(10)&amp;CHAR(10)&amp;"4. Plano Terapêutico"&amp;CHAR(10)&amp;IF(W295&lt;&gt;"",W295,"Não definido.")</f>
      </c>
    </row>
    <row r="296" spans="1:24" x14ac:dyDescent="0.25">
      <c r="A296" s="6"/>
      <c r="B296" s="9">
        <f>IFERROR(INDEX(Pacientes!$A:$A,MATCH($A296,Pacientes!$B:$B,0)),"")</f>
      </c>
      <c r="C296" s="9">
        <f>IFERROR(INDEX(Pacientes!$C:$C,MATCH($A296,Pacientes!$B:$B,0)),"")</f>
      </c>
      <c r="D296" s="9">
        <f>IFERROR(INDEX(Pacientes!$D:$D,MATCH($A296,Pacientes!$B:$B,0)),"")</f>
      </c>
      <c r="E296" s="9">
        <f>IFERROR(INDEX(Pacientes!$E:$E,MATCH($A296,Pacientes!$B:$B,0)),"")</f>
      </c>
      <c r="F296" s="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>
        <f>"1. Evolução Clínica"&amp;CHAR(10)&amp;TEXTJOIN(" ",TRUE,"Paciente "&amp;G296&amp;", "&amp;IF(H296="","sem DVA","em uso de "&amp;H296)&amp;".",IF(I296&lt;&gt;"","Em "&amp;I296&amp;IF(J296&lt;&gt;""," ("&amp;J296&amp;")","")&amp;IF(K296&lt;&gt;"", ", "&amp;K296,"")&amp;IF(L296&lt;&gt;"", ", sob analgosedação com "&amp;L296,"")&amp;".",""),IF(M296&lt;&gt;"","Dieta "&amp;M296&amp;IF(N296&lt;&gt;"", ", com "&amp;LOWER(N296),"")&amp;IF(O296&lt;&gt;"", " — "&amp;O296,"")&amp;".",""),IF(P296="Febre","Apresentou episódio febril nas últimas 24h"&amp;IF(Q296&lt;&gt;""," ("&amp;Q296&amp;")","")&amp;".",IF(P296="Afebril","Encontra-se afebril.","")),IF(R296&lt;&gt;"",IF(S296="Sim","Apresenta disfunção renal aguda ","Função renal preservada ")&amp;"("&amp;R296&amp;").",""),IF(T296&lt;&gt;"","Em uso do esquema antimicrobiano com "&amp;T296&amp;".",""),IF(U296&lt;&gt;"","Em uso de profilaxia: "&amp;U296&amp;".",""))&amp;CHAR(10)&amp;CHAR(10)&amp;"2. Farmacoterapia"&amp;CHAR(10)&amp;IF(V296&lt;&gt;"","Corticoide/DART: "&amp;V296,"Sem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("&amp;Intervenções!$G$2:$G$500&amp;")",(Intervenções!$B$2:$B$500=A296)*(Intervenções!$A$2:$A$500=F296))),"Nenhuma intervenção registrada hoje.")&amp;CHAR(10)&amp;CHAR(10)&amp;"4. Plano Terapêutico"&amp;CHAR(10)&amp;IF(W296&lt;&gt;"",W296,"Não definido.")</f>
      </c>
    </row>
    <row r="297" spans="1:24" x14ac:dyDescent="0.25">
      <c r="A297" s="6"/>
      <c r="B297" s="9">
        <f>IFERROR(INDEX(Pacientes!$A:$A,MATCH($A297,Pacientes!$B:$B,0)),"")</f>
      </c>
      <c r="C297" s="9">
        <f>IFERROR(INDEX(Pacientes!$C:$C,MATCH($A297,Pacientes!$B:$B,0)),"")</f>
      </c>
      <c r="D297" s="9">
        <f>IFERROR(INDEX(Pacientes!$D:$D,MATCH($A297,Pacientes!$B:$B,0)),"")</f>
      </c>
      <c r="E297" s="9">
        <f>IFERROR(INDEX(Pacientes!$E:$E,MATCH($A297,Pacientes!$B:$B,0)),"")</f>
      </c>
      <c r="F297" s="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>
        <f>"1. Evolução Clínica"&amp;CHAR(10)&amp;TEXTJOIN(" ",TRUE,"Paciente "&amp;G297&amp;", "&amp;IF(H297="","sem DVA","em uso de "&amp;H297)&amp;".",IF(I297&lt;&gt;"","Em "&amp;I297&amp;IF(J297&lt;&gt;""," ("&amp;J297&amp;")","")&amp;IF(K297&lt;&gt;"", ", "&amp;K297,"")&amp;IF(L297&lt;&gt;"", ", sob analgosedação com "&amp;L297,"")&amp;".",""),IF(M297&lt;&gt;"","Dieta "&amp;M297&amp;IF(N297&lt;&gt;"", ", com "&amp;LOWER(N297),"")&amp;IF(O297&lt;&gt;"", " — "&amp;O297,"")&amp;".",""),IF(P297="Febre","Apresentou episódio febril nas últimas 24h"&amp;IF(Q297&lt;&gt;""," ("&amp;Q297&amp;")","")&amp;".",IF(P297="Afebril","Encontra-se afebril.","")),IF(R297&lt;&gt;"",IF(S297="Sim","Apresenta disfunção renal aguda ","Função renal preservada ")&amp;"("&amp;R297&amp;").",""),IF(T297&lt;&gt;"","Em uso do esquema antimicrobiano com "&amp;T297&amp;".",""),IF(U297&lt;&gt;"","Em uso de profilaxia: "&amp;U297&amp;".",""))&amp;CHAR(10)&amp;CHAR(10)&amp;"2. Farmacoterapia"&amp;CHAR(10)&amp;IF(V297&lt;&gt;"","Corticoide/DART: "&amp;V297,"Sem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("&amp;Intervenções!$G$2:$G$500&amp;")",(Intervenções!$B$2:$B$500=A297)*(Intervenções!$A$2:$A$500=F297))),"Nenhuma intervenção registrada hoje.")&amp;CHAR(10)&amp;CHAR(10)&amp;"4. Plano Terapêutico"&amp;CHAR(10)&amp;IF(W297&lt;&gt;"",W297,"Não definido.")</f>
      </c>
    </row>
    <row r="298" spans="1:24" x14ac:dyDescent="0.25">
      <c r="A298" s="6"/>
      <c r="B298" s="9">
        <f>IFERROR(INDEX(Pacientes!$A:$A,MATCH($A298,Pacientes!$B:$B,0)),"")</f>
      </c>
      <c r="C298" s="9">
        <f>IFERROR(INDEX(Pacientes!$C:$C,MATCH($A298,Pacientes!$B:$B,0)),"")</f>
      </c>
      <c r="D298" s="9">
        <f>IFERROR(INDEX(Pacientes!$D:$D,MATCH($A298,Pacientes!$B:$B,0)),"")</f>
      </c>
      <c r="E298" s="9">
        <f>IFERROR(INDEX(Pacientes!$E:$E,MATCH($A298,Pacientes!$B:$B,0)),"")</f>
      </c>
      <c r="F298" s="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>
        <f>"1. Evolução Clínica"&amp;CHAR(10)&amp;TEXTJOIN(" ",TRUE,"Paciente "&amp;G298&amp;", "&amp;IF(H298="","sem DVA","em uso de "&amp;H298)&amp;".",IF(I298&lt;&gt;"","Em "&amp;I298&amp;IF(J298&lt;&gt;""," ("&amp;J298&amp;")","")&amp;IF(K298&lt;&gt;"", ", "&amp;K298,"")&amp;IF(L298&lt;&gt;"", ", sob analgosedação com "&amp;L298,"")&amp;".",""),IF(M298&lt;&gt;"","Dieta "&amp;M298&amp;IF(N298&lt;&gt;"", ", com "&amp;LOWER(N298),"")&amp;IF(O298&lt;&gt;"", " — "&amp;O298,"")&amp;".",""),IF(P298="Febre","Apresentou episódio febril nas últimas 24h"&amp;IF(Q298&lt;&gt;""," ("&amp;Q298&amp;")","")&amp;".",IF(P298="Afebril","Encontra-se afebril.","")),IF(R298&lt;&gt;"",IF(S298="Sim","Apresenta disfunção renal aguda ","Função renal preservada ")&amp;"("&amp;R298&amp;").",""),IF(T298&lt;&gt;"","Em uso do esquema antimicrobiano com "&amp;T298&amp;".",""),IF(U298&lt;&gt;"","Em uso de profilaxia: "&amp;U298&amp;".",""))&amp;CHAR(10)&amp;CHAR(10)&amp;"2. Farmacoterapia"&amp;CHAR(10)&amp;IF(V298&lt;&gt;"","Corticoide/DART: "&amp;V298,"Sem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("&amp;Intervenções!$G$2:$G$500&amp;")",(Intervenções!$B$2:$B$500=A298)*(Intervenções!$A$2:$A$500=F298))),"Nenhuma intervenção registrada hoje.")&amp;CHAR(10)&amp;CHAR(10)&amp;"4. Plano Terapêutico"&amp;CHAR(10)&amp;IF(W298&lt;&gt;"",W298,"Não definido.")</f>
      </c>
    </row>
    <row r="299" spans="1:24" x14ac:dyDescent="0.25">
      <c r="A299" s="6"/>
      <c r="B299" s="9">
        <f>IFERROR(INDEX(Pacientes!$A:$A,MATCH($A299,Pacientes!$B:$B,0)),"")</f>
      </c>
      <c r="C299" s="9">
        <f>IFERROR(INDEX(Pacientes!$C:$C,MATCH($A299,Pacientes!$B:$B,0)),"")</f>
      </c>
      <c r="D299" s="9">
        <f>IFERROR(INDEX(Pacientes!$D:$D,MATCH($A299,Pacientes!$B:$B,0)),"")</f>
      </c>
      <c r="E299" s="9">
        <f>IFERROR(INDEX(Pacientes!$E:$E,MATCH($A299,Pacientes!$B:$B,0)),"")</f>
      </c>
      <c r="F299" s="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>
        <f>"1. Evolução Clínica"&amp;CHAR(10)&amp;TEXTJOIN(" ",TRUE,"Paciente "&amp;G299&amp;", "&amp;IF(H299="","sem DVA","em uso de "&amp;H299)&amp;".",IF(I299&lt;&gt;"","Em "&amp;I299&amp;IF(J299&lt;&gt;""," ("&amp;J299&amp;")","")&amp;IF(K299&lt;&gt;"", ", "&amp;K299,"")&amp;IF(L299&lt;&gt;"", ", sob analgosedação com "&amp;L299,"")&amp;".",""),IF(M299&lt;&gt;"","Dieta "&amp;M299&amp;IF(N299&lt;&gt;"", ", com "&amp;LOWER(N299),"")&amp;IF(O299&lt;&gt;"", " — "&amp;O299,"")&amp;".",""),IF(P299="Febre","Apresentou episódio febril nas últimas 24h"&amp;IF(Q299&lt;&gt;""," ("&amp;Q299&amp;")","")&amp;".",IF(P299="Afebril","Encontra-se afebril.","")),IF(R299&lt;&gt;"",IF(S299="Sim","Apresenta disfunção renal aguda ","Função renal preservada ")&amp;"("&amp;R299&amp;").",""),IF(T299&lt;&gt;"","Em uso do esquema antimicrobiano com "&amp;T299&amp;".",""),IF(U299&lt;&gt;"","Em uso de profilaxia: "&amp;U299&amp;".",""))&amp;CHAR(10)&amp;CHAR(10)&amp;"2. Farmacoterapia"&amp;CHAR(10)&amp;IF(V299&lt;&gt;"","Corticoide/DART: "&amp;V299,"Sem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("&amp;Intervenções!$G$2:$G$500&amp;")",(Intervenções!$B$2:$B$500=A299)*(Intervenções!$A$2:$A$500=F299))),"Nenhuma intervenção registrada hoje.")&amp;CHAR(10)&amp;CHAR(10)&amp;"4. Plano Terapêutico"&amp;CHAR(10)&amp;IF(W299&lt;&gt;"",W299,"Não definido.")</f>
      </c>
    </row>
    <row r="300" spans="1:24" x14ac:dyDescent="0.25">
      <c r="A300" s="6"/>
      <c r="B300" s="9">
        <f>IFERROR(INDEX(Pacientes!$A:$A,MATCH($A300,Pacientes!$B:$B,0)),"")</f>
      </c>
      <c r="C300" s="9">
        <f>IFERROR(INDEX(Pacientes!$C:$C,MATCH($A300,Pacientes!$B:$B,0)),"")</f>
      </c>
      <c r="D300" s="9">
        <f>IFERROR(INDEX(Pacientes!$D:$D,MATCH($A300,Pacientes!$B:$B,0)),"")</f>
      </c>
      <c r="E300" s="9">
        <f>IFERROR(INDEX(Pacientes!$E:$E,MATCH($A300,Pacientes!$B:$B,0)),"")</f>
      </c>
      <c r="F300" s="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>
        <f>"1. Evolução Clínica"&amp;CHAR(10)&amp;TEXTJOIN(" ",TRUE,"Paciente "&amp;G300&amp;", "&amp;IF(H300="","sem DVA","em uso de "&amp;H300)&amp;".",IF(I300&lt;&gt;"","Em "&amp;I300&amp;IF(J300&lt;&gt;""," ("&amp;J300&amp;")","")&amp;IF(K300&lt;&gt;"", ", "&amp;K300,"")&amp;IF(L300&lt;&gt;"", ", sob analgosedação com "&amp;L300,"")&amp;".",""),IF(M300&lt;&gt;"","Dieta "&amp;M300&amp;IF(N300&lt;&gt;"", ", com "&amp;LOWER(N300),"")&amp;IF(O300&lt;&gt;"", " — "&amp;O300,"")&amp;".",""),IF(P300="Febre","Apresentou episódio febril nas últimas 24h"&amp;IF(Q300&lt;&gt;""," ("&amp;Q300&amp;")","")&amp;".",IF(P300="Afebril","Encontra-se afebril.","")),IF(R300&lt;&gt;"",IF(S300="Sim","Apresenta disfunção renal aguda ","Função renal preservada ")&amp;"("&amp;R300&amp;").",""),IF(T300&lt;&gt;"","Em uso do esquema antimicrobiano com "&amp;T300&amp;".",""),IF(U300&lt;&gt;"","Em uso de profilaxia: "&amp;U300&amp;".",""))&amp;CHAR(10)&amp;CHAR(10)&amp;"2. Farmacoterapia"&amp;CHAR(10)&amp;IF(V300&lt;&gt;"","Corticoide/DART: "&amp;V300,"Sem corticoide/DART registrado.")&amp;CHAR(10)&amp;CHAR(10)&amp;"3. Conduta Farmacêutica"&amp;CHAR(10)&amp;IFERROR(TEXTJOIN(CHAR(10),TRUE,FILTER("["&amp;Intervenções!$E$2:$E$500&amp;"] "&amp;Intervenções!$F$2:$F$500&amp;" ("&amp;Intervenções!$G$2:$G$500&amp;")",(Intervenções!$B$2:$B$500=A300)*(Intervenções!$A$2:$A$500=F300))),"Nenhuma intervenção registrada hoje.")&amp;CHAR(10)&amp;CHAR(10)&amp;"4. Plano Terapêutico"&amp;CHAR(10)&amp;IF(W300&lt;&gt;"",W300,"Não definido.")</f>
      </c>
    </row>
  </sheetData>
  <conditionalFormatting sqref="A2:X300">
    <cfRule type="expression" dxfId="3" priority="10">
      <formula>MOD(ROW(),2)=0</formula>
    </cfRule>
  </conditionalFormatting>
  <dataValidations count="16">
    <dataValidation type="list" allowBlank="1" sqref="A10:A300">
      <formula1>Pacientes!$B$2:$B$300</formula1>
    </dataValidation>
    <dataValidation type="list" allowBlank="1" sqref="A2:A300">
      <formula1>Pacientes!$B$2:$B$300</formula1>
    </dataValidation>
    <dataValidation type="list" allowBlank="1" sqref="G10:G300">
      <formula1>Listas!$C$2:$C$3</formula1>
    </dataValidation>
    <dataValidation type="list" allowBlank="1" sqref="G2:G300">
      <formula1>Listas!$C$2:$C$3</formula1>
    </dataValidation>
    <dataValidation type="list" allowBlank="1" sqref="I10:I300">
      <formula1>Listas!$D$2:$D$7</formula1>
    </dataValidation>
    <dataValidation type="list" allowBlank="1" sqref="I2:I300">
      <formula1>Listas!$D$2:$D$7</formula1>
    </dataValidation>
    <dataValidation type="list" allowBlank="1" sqref="K10:K300">
      <formula1>Listas!$E$2:$E$6</formula1>
    </dataValidation>
    <dataValidation type="list" allowBlank="1" sqref="K2:K300">
      <formula1>Listas!$E$2:$E$6</formula1>
    </dataValidation>
    <dataValidation type="list" allowBlank="1" sqref="M10:M300">
      <formula1>Listas!$G$2:$G$5</formula1>
    </dataValidation>
    <dataValidation type="list" allowBlank="1" sqref="M2:M300">
      <formula1>Listas!$G$2:$G$5</formula1>
    </dataValidation>
    <dataValidation type="list" allowBlank="1" sqref="N10:N300">
      <formula1>Listas!$H$2:$H$4</formula1>
    </dataValidation>
    <dataValidation type="list" allowBlank="1" sqref="N2:N300">
      <formula1>Listas!$H$2:$H$4</formula1>
    </dataValidation>
    <dataValidation type="list" allowBlank="1" sqref="P10:P300">
      <formula1>Listas!$I$2:$I$3</formula1>
    </dataValidation>
    <dataValidation type="list" allowBlank="1" sqref="P2:P300">
      <formula1>Listas!$I$2:$I$3</formula1>
    </dataValidation>
    <dataValidation type="list" allowBlank="1" sqref="S10:S300">
      <formula1>Listas!$F$2:$F$3</formula1>
    </dataValidation>
    <dataValidation type="list" allowBlank="1" sqref="S2:S300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0" customWidth="1"/>
    <col min="4" max="4" width="14" customWidth="1"/>
    <col min="5" max="5" width="32" customWidth="1"/>
    <col min="6" max="6" width="34" customWidth="1"/>
    <col min="7" max="7" width="26" customWidth="1"/>
    <col min="8" max="8" width="18" customWidth="1"/>
    <col min="9" max="9" width="16" customWidth="1"/>
  </cols>
  <sheetData>
    <row r="1" ht="40" customHeight="1" spans="1:9" x14ac:dyDescent="0.25">
      <c r="A1" s="4" t="s">
        <v>123</v>
      </c>
      <c r="B1" s="5" t="s">
        <v>97</v>
      </c>
      <c r="C1" s="4" t="s">
        <v>119</v>
      </c>
      <c r="D1" s="4" t="s">
        <v>120</v>
      </c>
      <c r="E1" s="5" t="s">
        <v>25</v>
      </c>
      <c r="F1" s="4" t="s">
        <v>149</v>
      </c>
      <c r="G1" s="5" t="s">
        <v>150</v>
      </c>
      <c r="H1" s="5" t="s">
        <v>151</v>
      </c>
      <c r="I1" s="5" t="s">
        <v>152</v>
      </c>
    </row>
    <row r="2" spans="1:9" x14ac:dyDescent="0.25">
      <c r="A2" s="7" t="s">
        <v>140</v>
      </c>
      <c r="B2" s="6" t="s">
        <v>104</v>
      </c>
      <c r="C2" s="9">
        <f>IFERROR(INDEX(Pacientes!$A:$A,MATCH($B2,Pacientes!$B:$B,0)),"")</f>
      </c>
      <c r="D2" s="9">
        <f>IFERROR(INDEX(Pacientes!$C:$C,MATCH($B2,Pacientes!$B:$B,0)),"")</f>
      </c>
      <c r="E2" s="6" t="s">
        <v>92</v>
      </c>
      <c r="F2" s="6" t="s">
        <v>153</v>
      </c>
      <c r="G2" s="6" t="s">
        <v>40</v>
      </c>
      <c r="H2" s="6" t="s">
        <v>41</v>
      </c>
      <c r="I2" s="6" t="s">
        <v>49</v>
      </c>
    </row>
    <row r="3" spans="1:9" x14ac:dyDescent="0.25">
      <c r="A3" s="7" t="s">
        <v>154</v>
      </c>
      <c r="B3" s="6" t="s">
        <v>109</v>
      </c>
      <c r="C3" s="9">
        <f>IFERROR(INDEX(Pacientes!$A:$A,MATCH($B3,Pacientes!$B:$B,0)),"")</f>
      </c>
      <c r="D3" s="9">
        <f>IFERROR(INDEX(Pacientes!$C:$C,MATCH($B3,Pacientes!$B:$B,0)),"")</f>
      </c>
      <c r="E3" s="6" t="s">
        <v>39</v>
      </c>
      <c r="F3" s="6" t="s">
        <v>155</v>
      </c>
      <c r="G3" s="6" t="s">
        <v>40</v>
      </c>
      <c r="H3" s="6" t="s">
        <v>54</v>
      </c>
      <c r="I3" s="6" t="s">
        <v>35</v>
      </c>
    </row>
    <row r="4" spans="1:9" x14ac:dyDescent="0.25">
      <c r="A4" s="7"/>
      <c r="B4" s="6"/>
      <c r="C4" s="9">
        <f>IFERROR(INDEX(Pacientes!$A:$A,MATCH($B4,Pacientes!$B:$B,0)),"")</f>
      </c>
      <c r="D4" s="9">
        <f>IFERROR(INDEX(Pacientes!$C:$C,MATCH($B4,Pacientes!$B:$B,0)),"")</f>
      </c>
      <c r="E4" s="6"/>
      <c r="F4" s="6"/>
      <c r="G4" s="6"/>
      <c r="H4" s="6"/>
      <c r="I4" s="6"/>
    </row>
    <row r="5" spans="1:9" x14ac:dyDescent="0.25">
      <c r="A5" s="7"/>
      <c r="B5" s="6"/>
      <c r="C5" s="9">
        <f>IFERROR(INDEX(Pacientes!$A:$A,MATCH($B5,Pacientes!$B:$B,0)),"")</f>
      </c>
      <c r="D5" s="9">
        <f>IFERROR(INDEX(Pacientes!$C:$C,MATCH($B5,Pacientes!$B:$B,0)),"")</f>
      </c>
      <c r="E5" s="6"/>
      <c r="F5" s="6"/>
      <c r="G5" s="6"/>
      <c r="H5" s="6"/>
      <c r="I5" s="6"/>
    </row>
    <row r="6" spans="1:9" x14ac:dyDescent="0.25">
      <c r="A6" s="7"/>
      <c r="B6" s="6"/>
      <c r="C6" s="9">
        <f>IFERROR(INDEX(Pacientes!$A:$A,MATCH($B6,Pacientes!$B:$B,0)),"")</f>
      </c>
      <c r="D6" s="9">
        <f>IFERROR(INDEX(Pacientes!$C:$C,MATCH($B6,Pacientes!$B:$B,0)),"")</f>
      </c>
      <c r="E6" s="6"/>
      <c r="F6" s="6"/>
      <c r="G6" s="6"/>
      <c r="H6" s="6"/>
      <c r="I6" s="6"/>
    </row>
    <row r="7" spans="1:9" x14ac:dyDescent="0.25">
      <c r="A7" s="7"/>
      <c r="B7" s="6"/>
      <c r="C7" s="9">
        <f>IFERROR(INDEX(Pacientes!$A:$A,MATCH($B7,Pacientes!$B:$B,0)),"")</f>
      </c>
      <c r="D7" s="9">
        <f>IFERROR(INDEX(Pacientes!$C:$C,MATCH($B7,Pacientes!$B:$B,0)),"")</f>
      </c>
      <c r="E7" s="6"/>
      <c r="F7" s="6"/>
      <c r="G7" s="6"/>
      <c r="H7" s="6"/>
      <c r="I7" s="6"/>
    </row>
    <row r="8" spans="1:9" x14ac:dyDescent="0.25">
      <c r="A8" s="7"/>
      <c r="B8" s="6"/>
      <c r="C8" s="9">
        <f>IFERROR(INDEX(Pacientes!$A:$A,MATCH($B8,Pacientes!$B:$B,0)),"")</f>
      </c>
      <c r="D8" s="9">
        <f>IFERROR(INDEX(Pacientes!$C:$C,MATCH($B8,Pacientes!$B:$B,0)),"")</f>
      </c>
      <c r="E8" s="6"/>
      <c r="F8" s="6"/>
      <c r="G8" s="6"/>
      <c r="H8" s="6"/>
      <c r="I8" s="6"/>
    </row>
    <row r="9" spans="1:9" x14ac:dyDescent="0.25">
      <c r="A9" s="7"/>
      <c r="B9" s="6"/>
      <c r="C9" s="9">
        <f>IFERROR(INDEX(Pacientes!$A:$A,MATCH($B9,Pacientes!$B:$B,0)),"")</f>
      </c>
      <c r="D9" s="9">
        <f>IFERROR(INDEX(Pacientes!$C:$C,MATCH($B9,Pacientes!$B:$B,0)),"")</f>
      </c>
      <c r="E9" s="6"/>
      <c r="F9" s="6"/>
      <c r="G9" s="6"/>
      <c r="H9" s="6"/>
      <c r="I9" s="6"/>
    </row>
    <row r="10" spans="1:9" x14ac:dyDescent="0.25">
      <c r="A10" s="7"/>
      <c r="B10" s="6"/>
      <c r="C10" s="9">
        <f>IFERROR(INDEX(Pacientes!$A:$A,MATCH($B10,Pacientes!$B:$B,0)),"")</f>
      </c>
      <c r="D10" s="9">
        <f>IFERROR(INDEX(Pacientes!$C:$C,MATCH($B10,Pacientes!$B:$B,0)),"")</f>
      </c>
      <c r="E10" s="6"/>
      <c r="F10" s="6"/>
      <c r="G10" s="6"/>
      <c r="H10" s="6"/>
      <c r="I10" s="6"/>
    </row>
    <row r="11" spans="1:9" x14ac:dyDescent="0.25">
      <c r="A11" s="7"/>
      <c r="B11" s="6"/>
      <c r="C11" s="9">
        <f>IFERROR(INDEX(Pacientes!$A:$A,MATCH($B11,Pacientes!$B:$B,0)),"")</f>
      </c>
      <c r="D11" s="9">
        <f>IFERROR(INDEX(Pacientes!$C:$C,MATCH($B11,Pacientes!$B:$B,0)),"")</f>
      </c>
      <c r="E11" s="6"/>
      <c r="F11" s="6"/>
      <c r="G11" s="6"/>
      <c r="H11" s="6"/>
      <c r="I11" s="6"/>
    </row>
    <row r="12" spans="1:9" x14ac:dyDescent="0.25">
      <c r="A12" s="7"/>
      <c r="B12" s="6"/>
      <c r="C12" s="9">
        <f>IFERROR(INDEX(Pacientes!$A:$A,MATCH($B12,Pacientes!$B:$B,0)),"")</f>
      </c>
      <c r="D12" s="9">
        <f>IFERROR(INDEX(Pacientes!$C:$C,MATCH($B12,Pacientes!$B:$B,0)),"")</f>
      </c>
      <c r="E12" s="6"/>
      <c r="F12" s="6"/>
      <c r="G12" s="6"/>
      <c r="H12" s="6"/>
      <c r="I12" s="6"/>
    </row>
    <row r="13" spans="1:9" x14ac:dyDescent="0.25">
      <c r="A13" s="7"/>
      <c r="B13" s="6"/>
      <c r="C13" s="9">
        <f>IFERROR(INDEX(Pacientes!$A:$A,MATCH($B13,Pacientes!$B:$B,0)),"")</f>
      </c>
      <c r="D13" s="9">
        <f>IFERROR(INDEX(Pacientes!$C:$C,MATCH($B13,Pacientes!$B:$B,0)),"")</f>
      </c>
      <c r="E13" s="6"/>
      <c r="F13" s="6"/>
      <c r="G13" s="6"/>
      <c r="H13" s="6"/>
      <c r="I13" s="6"/>
    </row>
    <row r="14" spans="1:9" x14ac:dyDescent="0.25">
      <c r="A14" s="7"/>
      <c r="B14" s="6"/>
      <c r="C14" s="9">
        <f>IFERROR(INDEX(Pacientes!$A:$A,MATCH($B14,Pacientes!$B:$B,0)),"")</f>
      </c>
      <c r="D14" s="9">
        <f>IFERROR(INDEX(Pacientes!$C:$C,MATCH($B14,Pacientes!$B:$B,0)),"")</f>
      </c>
      <c r="E14" s="6"/>
      <c r="F14" s="6"/>
      <c r="G14" s="6"/>
      <c r="H14" s="6"/>
      <c r="I14" s="6"/>
    </row>
    <row r="15" spans="1:9" x14ac:dyDescent="0.25">
      <c r="A15" s="7"/>
      <c r="B15" s="6"/>
      <c r="C15" s="9">
        <f>IFERROR(INDEX(Pacientes!$A:$A,MATCH($B15,Pacientes!$B:$B,0)),"")</f>
      </c>
      <c r="D15" s="9">
        <f>IFERROR(INDEX(Pacientes!$C:$C,MATCH($B15,Pacientes!$B:$B,0)),"")</f>
      </c>
      <c r="E15" s="6"/>
      <c r="F15" s="6"/>
      <c r="G15" s="6"/>
      <c r="H15" s="6"/>
      <c r="I15" s="6"/>
    </row>
    <row r="16" spans="1:9" x14ac:dyDescent="0.25">
      <c r="A16" s="7"/>
      <c r="B16" s="6"/>
      <c r="C16" s="9">
        <f>IFERROR(INDEX(Pacientes!$A:$A,MATCH($B16,Pacientes!$B:$B,0)),"")</f>
      </c>
      <c r="D16" s="9">
        <f>IFERROR(INDEX(Pacientes!$C:$C,MATCH($B16,Pacientes!$B:$B,0)),"")</f>
      </c>
      <c r="E16" s="6"/>
      <c r="F16" s="6"/>
      <c r="G16" s="6"/>
      <c r="H16" s="6"/>
      <c r="I16" s="6"/>
    </row>
    <row r="17" spans="1:9" x14ac:dyDescent="0.25">
      <c r="A17" s="7"/>
      <c r="B17" s="6"/>
      <c r="C17" s="9">
        <f>IFERROR(INDEX(Pacientes!$A:$A,MATCH($B17,Pacientes!$B:$B,0)),"")</f>
      </c>
      <c r="D17" s="9">
        <f>IFERROR(INDEX(Pacientes!$C:$C,MATCH($B17,Pacientes!$B:$B,0)),"")</f>
      </c>
      <c r="E17" s="6"/>
      <c r="F17" s="6"/>
      <c r="G17" s="6"/>
      <c r="H17" s="6"/>
      <c r="I17" s="6"/>
    </row>
    <row r="18" spans="1:9" x14ac:dyDescent="0.25">
      <c r="A18" s="7"/>
      <c r="B18" s="6"/>
      <c r="C18" s="9">
        <f>IFERROR(INDEX(Pacientes!$A:$A,MATCH($B18,Pacientes!$B:$B,0)),"")</f>
      </c>
      <c r="D18" s="9">
        <f>IFERROR(INDEX(Pacientes!$C:$C,MATCH($B18,Pacientes!$B:$B,0)),"")</f>
      </c>
      <c r="E18" s="6"/>
      <c r="F18" s="6"/>
      <c r="G18" s="6"/>
      <c r="H18" s="6"/>
      <c r="I18" s="6"/>
    </row>
    <row r="19" spans="1:9" x14ac:dyDescent="0.25">
      <c r="A19" s="7"/>
      <c r="B19" s="6"/>
      <c r="C19" s="9">
        <f>IFERROR(INDEX(Pacientes!$A:$A,MATCH($B19,Pacientes!$B:$B,0)),"")</f>
      </c>
      <c r="D19" s="9">
        <f>IFERROR(INDEX(Pacientes!$C:$C,MATCH($B19,Pacientes!$B:$B,0)),"")</f>
      </c>
      <c r="E19" s="6"/>
      <c r="F19" s="6"/>
      <c r="G19" s="6"/>
      <c r="H19" s="6"/>
      <c r="I19" s="6"/>
    </row>
    <row r="20" spans="1:9" x14ac:dyDescent="0.25">
      <c r="A20" s="7"/>
      <c r="B20" s="6"/>
      <c r="C20" s="9">
        <f>IFERROR(INDEX(Pacientes!$A:$A,MATCH($B20,Pacientes!$B:$B,0)),"")</f>
      </c>
      <c r="D20" s="9">
        <f>IFERROR(INDEX(Pacientes!$C:$C,MATCH($B20,Pacientes!$B:$B,0)),"")</f>
      </c>
      <c r="E20" s="6"/>
      <c r="F20" s="6"/>
      <c r="G20" s="6"/>
      <c r="H20" s="6"/>
      <c r="I20" s="6"/>
    </row>
    <row r="21" spans="1:9" x14ac:dyDescent="0.25">
      <c r="A21" s="7"/>
      <c r="B21" s="6"/>
      <c r="C21" s="9">
        <f>IFERROR(INDEX(Pacientes!$A:$A,MATCH($B21,Pacientes!$B:$B,0)),"")</f>
      </c>
      <c r="D21" s="9">
        <f>IFERROR(INDEX(Pacientes!$C:$C,MATCH($B21,Pacientes!$B:$B,0)),"")</f>
      </c>
      <c r="E21" s="6"/>
      <c r="F21" s="6"/>
      <c r="G21" s="6"/>
      <c r="H21" s="6"/>
      <c r="I21" s="6"/>
    </row>
    <row r="22" spans="1:9" x14ac:dyDescent="0.25">
      <c r="A22" s="7"/>
      <c r="B22" s="6"/>
      <c r="C22" s="9">
        <f>IFERROR(INDEX(Pacientes!$A:$A,MATCH($B22,Pacientes!$B:$B,0)),"")</f>
      </c>
      <c r="D22" s="9">
        <f>IFERROR(INDEX(Pacientes!$C:$C,MATCH($B22,Pacientes!$B:$B,0)),"")</f>
      </c>
      <c r="E22" s="6"/>
      <c r="F22" s="6"/>
      <c r="G22" s="6"/>
      <c r="H22" s="6"/>
      <c r="I22" s="6"/>
    </row>
    <row r="23" spans="1:9" x14ac:dyDescent="0.25">
      <c r="A23" s="7"/>
      <c r="B23" s="6"/>
      <c r="C23" s="9">
        <f>IFERROR(INDEX(Pacientes!$A:$A,MATCH($B23,Pacientes!$B:$B,0)),"")</f>
      </c>
      <c r="D23" s="9">
        <f>IFERROR(INDEX(Pacientes!$C:$C,MATCH($B23,Pacientes!$B:$B,0)),"")</f>
      </c>
      <c r="E23" s="6"/>
      <c r="F23" s="6"/>
      <c r="G23" s="6"/>
      <c r="H23" s="6"/>
      <c r="I23" s="6"/>
    </row>
    <row r="24" spans="1:9" x14ac:dyDescent="0.25">
      <c r="A24" s="7"/>
      <c r="B24" s="6"/>
      <c r="C24" s="9">
        <f>IFERROR(INDEX(Pacientes!$A:$A,MATCH($B24,Pacientes!$B:$B,0)),"")</f>
      </c>
      <c r="D24" s="9">
        <f>IFERROR(INDEX(Pacientes!$C:$C,MATCH($B24,Pacientes!$B:$B,0)),"")</f>
      </c>
      <c r="E24" s="6"/>
      <c r="F24" s="6"/>
      <c r="G24" s="6"/>
      <c r="H24" s="6"/>
      <c r="I24" s="6"/>
    </row>
    <row r="25" spans="1:9" x14ac:dyDescent="0.25">
      <c r="A25" s="7"/>
      <c r="B25" s="6"/>
      <c r="C25" s="9">
        <f>IFERROR(INDEX(Pacientes!$A:$A,MATCH($B25,Pacientes!$B:$B,0)),"")</f>
      </c>
      <c r="D25" s="9">
        <f>IFERROR(INDEX(Pacientes!$C:$C,MATCH($B25,Pacientes!$B:$B,0)),"")</f>
      </c>
      <c r="E25" s="6"/>
      <c r="F25" s="6"/>
      <c r="G25" s="6"/>
      <c r="H25" s="6"/>
      <c r="I25" s="6"/>
    </row>
    <row r="26" spans="1:9" x14ac:dyDescent="0.25">
      <c r="A26" s="7"/>
      <c r="B26" s="6"/>
      <c r="C26" s="9">
        <f>IFERROR(INDEX(Pacientes!$A:$A,MATCH($B26,Pacientes!$B:$B,0)),"")</f>
      </c>
      <c r="D26" s="9">
        <f>IFERROR(INDEX(Pacientes!$C:$C,MATCH($B26,Pacientes!$B:$B,0)),"")</f>
      </c>
      <c r="E26" s="6"/>
      <c r="F26" s="6"/>
      <c r="G26" s="6"/>
      <c r="H26" s="6"/>
      <c r="I26" s="6"/>
    </row>
    <row r="27" spans="1:9" x14ac:dyDescent="0.25">
      <c r="A27" s="7"/>
      <c r="B27" s="6"/>
      <c r="C27" s="9">
        <f>IFERROR(INDEX(Pacientes!$A:$A,MATCH($B27,Pacientes!$B:$B,0)),"")</f>
      </c>
      <c r="D27" s="9">
        <f>IFERROR(INDEX(Pacientes!$C:$C,MATCH($B27,Pacientes!$B:$B,0)),"")</f>
      </c>
      <c r="E27" s="6"/>
      <c r="F27" s="6"/>
      <c r="G27" s="6"/>
      <c r="H27" s="6"/>
      <c r="I27" s="6"/>
    </row>
    <row r="28" spans="1:9" x14ac:dyDescent="0.25">
      <c r="A28" s="7"/>
      <c r="B28" s="6"/>
      <c r="C28" s="9">
        <f>IFERROR(INDEX(Pacientes!$A:$A,MATCH($B28,Pacientes!$B:$B,0)),"")</f>
      </c>
      <c r="D28" s="9">
        <f>IFERROR(INDEX(Pacientes!$C:$C,MATCH($B28,Pacientes!$B:$B,0)),"")</f>
      </c>
      <c r="E28" s="6"/>
      <c r="F28" s="6"/>
      <c r="G28" s="6"/>
      <c r="H28" s="6"/>
      <c r="I28" s="6"/>
    </row>
    <row r="29" spans="1:9" x14ac:dyDescent="0.25">
      <c r="A29" s="7"/>
      <c r="B29" s="6"/>
      <c r="C29" s="9">
        <f>IFERROR(INDEX(Pacientes!$A:$A,MATCH($B29,Pacientes!$B:$B,0)),"")</f>
      </c>
      <c r="D29" s="9">
        <f>IFERROR(INDEX(Pacientes!$C:$C,MATCH($B29,Pacientes!$B:$B,0)),"")</f>
      </c>
      <c r="E29" s="6"/>
      <c r="F29" s="6"/>
      <c r="G29" s="6"/>
      <c r="H29" s="6"/>
      <c r="I29" s="6"/>
    </row>
    <row r="30" spans="1:9" x14ac:dyDescent="0.25">
      <c r="A30" s="7"/>
      <c r="B30" s="6"/>
      <c r="C30" s="9">
        <f>IFERROR(INDEX(Pacientes!$A:$A,MATCH($B30,Pacientes!$B:$B,0)),"")</f>
      </c>
      <c r="D30" s="9">
        <f>IFERROR(INDEX(Pacientes!$C:$C,MATCH($B30,Pacientes!$B:$B,0)),"")</f>
      </c>
      <c r="E30" s="6"/>
      <c r="F30" s="6"/>
      <c r="G30" s="6"/>
      <c r="H30" s="6"/>
      <c r="I30" s="6"/>
    </row>
    <row r="31" spans="1:9" x14ac:dyDescent="0.25">
      <c r="A31" s="7"/>
      <c r="B31" s="6"/>
      <c r="C31" s="9">
        <f>IFERROR(INDEX(Pacientes!$A:$A,MATCH($B31,Pacientes!$B:$B,0)),"")</f>
      </c>
      <c r="D31" s="9">
        <f>IFERROR(INDEX(Pacientes!$C:$C,MATCH($B31,Pacientes!$B:$B,0)),"")</f>
      </c>
      <c r="E31" s="6"/>
      <c r="F31" s="6"/>
      <c r="G31" s="6"/>
      <c r="H31" s="6"/>
      <c r="I31" s="6"/>
    </row>
    <row r="32" spans="1:9" x14ac:dyDescent="0.25">
      <c r="A32" s="7"/>
      <c r="B32" s="6"/>
      <c r="C32" s="9">
        <f>IFERROR(INDEX(Pacientes!$A:$A,MATCH($B32,Pacientes!$B:$B,0)),"")</f>
      </c>
      <c r="D32" s="9">
        <f>IFERROR(INDEX(Pacientes!$C:$C,MATCH($B32,Pacientes!$B:$B,0)),"")</f>
      </c>
      <c r="E32" s="6"/>
      <c r="F32" s="6"/>
      <c r="G32" s="6"/>
      <c r="H32" s="6"/>
      <c r="I32" s="6"/>
    </row>
    <row r="33" spans="1:9" x14ac:dyDescent="0.25">
      <c r="A33" s="7"/>
      <c r="B33" s="6"/>
      <c r="C33" s="9">
        <f>IFERROR(INDEX(Pacientes!$A:$A,MATCH($B33,Pacientes!$B:$B,0)),"")</f>
      </c>
      <c r="D33" s="9">
        <f>IFERROR(INDEX(Pacientes!$C:$C,MATCH($B33,Pacientes!$B:$B,0)),"")</f>
      </c>
      <c r="E33" s="6"/>
      <c r="F33" s="6"/>
      <c r="G33" s="6"/>
      <c r="H33" s="6"/>
      <c r="I33" s="6"/>
    </row>
    <row r="34" spans="1:9" x14ac:dyDescent="0.25">
      <c r="A34" s="7"/>
      <c r="B34" s="6"/>
      <c r="C34" s="9">
        <f>IFERROR(INDEX(Pacientes!$A:$A,MATCH($B34,Pacientes!$B:$B,0)),"")</f>
      </c>
      <c r="D34" s="9">
        <f>IFERROR(INDEX(Pacientes!$C:$C,MATCH($B34,Pacientes!$B:$B,0)),"")</f>
      </c>
      <c r="E34" s="6"/>
      <c r="F34" s="6"/>
      <c r="G34" s="6"/>
      <c r="H34" s="6"/>
      <c r="I34" s="6"/>
    </row>
    <row r="35" spans="1:9" x14ac:dyDescent="0.25">
      <c r="A35" s="7"/>
      <c r="B35" s="6"/>
      <c r="C35" s="9">
        <f>IFERROR(INDEX(Pacientes!$A:$A,MATCH($B35,Pacientes!$B:$B,0)),"")</f>
      </c>
      <c r="D35" s="9">
        <f>IFERROR(INDEX(Pacientes!$C:$C,MATCH($B35,Pacientes!$B:$B,0)),"")</f>
      </c>
      <c r="E35" s="6"/>
      <c r="F35" s="6"/>
      <c r="G35" s="6"/>
      <c r="H35" s="6"/>
      <c r="I35" s="6"/>
    </row>
    <row r="36" spans="1:9" x14ac:dyDescent="0.25">
      <c r="A36" s="7"/>
      <c r="B36" s="6"/>
      <c r="C36" s="9">
        <f>IFERROR(INDEX(Pacientes!$A:$A,MATCH($B36,Pacientes!$B:$B,0)),"")</f>
      </c>
      <c r="D36" s="9">
        <f>IFERROR(INDEX(Pacientes!$C:$C,MATCH($B36,Pacientes!$B:$B,0)),"")</f>
      </c>
      <c r="E36" s="6"/>
      <c r="F36" s="6"/>
      <c r="G36" s="6"/>
      <c r="H36" s="6"/>
      <c r="I36" s="6"/>
    </row>
    <row r="37" spans="1:9" x14ac:dyDescent="0.25">
      <c r="A37" s="7"/>
      <c r="B37" s="6"/>
      <c r="C37" s="9">
        <f>IFERROR(INDEX(Pacientes!$A:$A,MATCH($B37,Pacientes!$B:$B,0)),"")</f>
      </c>
      <c r="D37" s="9">
        <f>IFERROR(INDEX(Pacientes!$C:$C,MATCH($B37,Pacientes!$B:$B,0)),"")</f>
      </c>
      <c r="E37" s="6"/>
      <c r="F37" s="6"/>
      <c r="G37" s="6"/>
      <c r="H37" s="6"/>
      <c r="I37" s="6"/>
    </row>
    <row r="38" spans="1:9" x14ac:dyDescent="0.25">
      <c r="A38" s="7"/>
      <c r="B38" s="6"/>
      <c r="C38" s="9">
        <f>IFERROR(INDEX(Pacientes!$A:$A,MATCH($B38,Pacientes!$B:$B,0)),"")</f>
      </c>
      <c r="D38" s="9">
        <f>IFERROR(INDEX(Pacientes!$C:$C,MATCH($B38,Pacientes!$B:$B,0)),"")</f>
      </c>
      <c r="E38" s="6"/>
      <c r="F38" s="6"/>
      <c r="G38" s="6"/>
      <c r="H38" s="6"/>
      <c r="I38" s="6"/>
    </row>
    <row r="39" spans="1:9" x14ac:dyDescent="0.25">
      <c r="A39" s="7"/>
      <c r="B39" s="6"/>
      <c r="C39" s="9">
        <f>IFERROR(INDEX(Pacientes!$A:$A,MATCH($B39,Pacientes!$B:$B,0)),"")</f>
      </c>
      <c r="D39" s="9">
        <f>IFERROR(INDEX(Pacientes!$C:$C,MATCH($B39,Pacientes!$B:$B,0)),"")</f>
      </c>
      <c r="E39" s="6"/>
      <c r="F39" s="6"/>
      <c r="G39" s="6"/>
      <c r="H39" s="6"/>
      <c r="I39" s="6"/>
    </row>
    <row r="40" spans="1:9" x14ac:dyDescent="0.25">
      <c r="A40" s="7"/>
      <c r="B40" s="6"/>
      <c r="C40" s="9">
        <f>IFERROR(INDEX(Pacientes!$A:$A,MATCH($B40,Pacientes!$B:$B,0)),"")</f>
      </c>
      <c r="D40" s="9">
        <f>IFERROR(INDEX(Pacientes!$C:$C,MATCH($B40,Pacientes!$B:$B,0)),"")</f>
      </c>
      <c r="E40" s="6"/>
      <c r="F40" s="6"/>
      <c r="G40" s="6"/>
      <c r="H40" s="6"/>
      <c r="I40" s="6"/>
    </row>
    <row r="41" spans="1:9" x14ac:dyDescent="0.25">
      <c r="A41" s="7"/>
      <c r="B41" s="6"/>
      <c r="C41" s="9">
        <f>IFERROR(INDEX(Pacientes!$A:$A,MATCH($B41,Pacientes!$B:$B,0)),"")</f>
      </c>
      <c r="D41" s="9">
        <f>IFERROR(INDEX(Pacientes!$C:$C,MATCH($B41,Pacientes!$B:$B,0)),"")</f>
      </c>
      <c r="E41" s="6"/>
      <c r="F41" s="6"/>
      <c r="G41" s="6"/>
      <c r="H41" s="6"/>
      <c r="I41" s="6"/>
    </row>
    <row r="42" spans="1:9" x14ac:dyDescent="0.25">
      <c r="A42" s="7"/>
      <c r="B42" s="6"/>
      <c r="C42" s="9">
        <f>IFERROR(INDEX(Pacientes!$A:$A,MATCH($B42,Pacientes!$B:$B,0)),"")</f>
      </c>
      <c r="D42" s="9">
        <f>IFERROR(INDEX(Pacientes!$C:$C,MATCH($B42,Pacientes!$B:$B,0)),"")</f>
      </c>
      <c r="E42" s="6"/>
      <c r="F42" s="6"/>
      <c r="G42" s="6"/>
      <c r="H42" s="6"/>
      <c r="I42" s="6"/>
    </row>
    <row r="43" spans="1:9" x14ac:dyDescent="0.25">
      <c r="A43" s="7"/>
      <c r="B43" s="6"/>
      <c r="C43" s="9">
        <f>IFERROR(INDEX(Pacientes!$A:$A,MATCH($B43,Pacientes!$B:$B,0)),"")</f>
      </c>
      <c r="D43" s="9">
        <f>IFERROR(INDEX(Pacientes!$C:$C,MATCH($B43,Pacientes!$B:$B,0)),"")</f>
      </c>
      <c r="E43" s="6"/>
      <c r="F43" s="6"/>
      <c r="G43" s="6"/>
      <c r="H43" s="6"/>
      <c r="I43" s="6"/>
    </row>
    <row r="44" spans="1:9" x14ac:dyDescent="0.25">
      <c r="A44" s="7"/>
      <c r="B44" s="6"/>
      <c r="C44" s="9">
        <f>IFERROR(INDEX(Pacientes!$A:$A,MATCH($B44,Pacientes!$B:$B,0)),"")</f>
      </c>
      <c r="D44" s="9">
        <f>IFERROR(INDEX(Pacientes!$C:$C,MATCH($B44,Pacientes!$B:$B,0)),"")</f>
      </c>
      <c r="E44" s="6"/>
      <c r="F44" s="6"/>
      <c r="G44" s="6"/>
      <c r="H44" s="6"/>
      <c r="I44" s="6"/>
    </row>
    <row r="45" spans="1:9" x14ac:dyDescent="0.25">
      <c r="A45" s="7"/>
      <c r="B45" s="6"/>
      <c r="C45" s="9">
        <f>IFERROR(INDEX(Pacientes!$A:$A,MATCH($B45,Pacientes!$B:$B,0)),"")</f>
      </c>
      <c r="D45" s="9">
        <f>IFERROR(INDEX(Pacientes!$C:$C,MATCH($B45,Pacientes!$B:$B,0)),"")</f>
      </c>
      <c r="E45" s="6"/>
      <c r="F45" s="6"/>
      <c r="G45" s="6"/>
      <c r="H45" s="6"/>
      <c r="I45" s="6"/>
    </row>
    <row r="46" spans="1:9" x14ac:dyDescent="0.25">
      <c r="A46" s="7"/>
      <c r="B46" s="6"/>
      <c r="C46" s="9">
        <f>IFERROR(INDEX(Pacientes!$A:$A,MATCH($B46,Pacientes!$B:$B,0)),"")</f>
      </c>
      <c r="D46" s="9">
        <f>IFERROR(INDEX(Pacientes!$C:$C,MATCH($B46,Pacientes!$B:$B,0)),"")</f>
      </c>
      <c r="E46" s="6"/>
      <c r="F46" s="6"/>
      <c r="G46" s="6"/>
      <c r="H46" s="6"/>
      <c r="I46" s="6"/>
    </row>
    <row r="47" spans="1:9" x14ac:dyDescent="0.25">
      <c r="A47" s="7"/>
      <c r="B47" s="6"/>
      <c r="C47" s="9">
        <f>IFERROR(INDEX(Pacientes!$A:$A,MATCH($B47,Pacientes!$B:$B,0)),"")</f>
      </c>
      <c r="D47" s="9">
        <f>IFERROR(INDEX(Pacientes!$C:$C,MATCH($B47,Pacientes!$B:$B,0)),"")</f>
      </c>
      <c r="E47" s="6"/>
      <c r="F47" s="6"/>
      <c r="G47" s="6"/>
      <c r="H47" s="6"/>
      <c r="I47" s="6"/>
    </row>
    <row r="48" spans="1:9" x14ac:dyDescent="0.25">
      <c r="A48" s="7"/>
      <c r="B48" s="6"/>
      <c r="C48" s="9">
        <f>IFERROR(INDEX(Pacientes!$A:$A,MATCH($B48,Pacientes!$B:$B,0)),"")</f>
      </c>
      <c r="D48" s="9">
        <f>IFERROR(INDEX(Pacientes!$C:$C,MATCH($B48,Pacientes!$B:$B,0)),"")</f>
      </c>
      <c r="E48" s="6"/>
      <c r="F48" s="6"/>
      <c r="G48" s="6"/>
      <c r="H48" s="6"/>
      <c r="I48" s="6"/>
    </row>
    <row r="49" spans="1:9" x14ac:dyDescent="0.25">
      <c r="A49" s="7"/>
      <c r="B49" s="6"/>
      <c r="C49" s="9">
        <f>IFERROR(INDEX(Pacientes!$A:$A,MATCH($B49,Pacientes!$B:$B,0)),"")</f>
      </c>
      <c r="D49" s="9">
        <f>IFERROR(INDEX(Pacientes!$C:$C,MATCH($B49,Pacientes!$B:$B,0)),"")</f>
      </c>
      <c r="E49" s="6"/>
      <c r="F49" s="6"/>
      <c r="G49" s="6"/>
      <c r="H49" s="6"/>
      <c r="I49" s="6"/>
    </row>
    <row r="50" spans="1:9" x14ac:dyDescent="0.25">
      <c r="A50" s="7"/>
      <c r="B50" s="6"/>
      <c r="C50" s="9">
        <f>IFERROR(INDEX(Pacientes!$A:$A,MATCH($B50,Pacientes!$B:$B,0)),"")</f>
      </c>
      <c r="D50" s="9">
        <f>IFERROR(INDEX(Pacientes!$C:$C,MATCH($B50,Pacientes!$B:$B,0)),"")</f>
      </c>
      <c r="E50" s="6"/>
      <c r="F50" s="6"/>
      <c r="G50" s="6"/>
      <c r="H50" s="6"/>
      <c r="I50" s="6"/>
    </row>
    <row r="51" spans="1:9" x14ac:dyDescent="0.25">
      <c r="A51" s="7"/>
      <c r="B51" s="6"/>
      <c r="C51" s="9">
        <f>IFERROR(INDEX(Pacientes!$A:$A,MATCH($B51,Pacientes!$B:$B,0)),"")</f>
      </c>
      <c r="D51" s="9">
        <f>IFERROR(INDEX(Pacientes!$C:$C,MATCH($B51,Pacientes!$B:$B,0)),"")</f>
      </c>
      <c r="E51" s="6"/>
      <c r="F51" s="6"/>
      <c r="G51" s="6"/>
      <c r="H51" s="6"/>
      <c r="I51" s="6"/>
    </row>
    <row r="52" spans="1:9" x14ac:dyDescent="0.25">
      <c r="A52" s="7"/>
      <c r="B52" s="6"/>
      <c r="C52" s="9">
        <f>IFERROR(INDEX(Pacientes!$A:$A,MATCH($B52,Pacientes!$B:$B,0)),"")</f>
      </c>
      <c r="D52" s="9">
        <f>IFERROR(INDEX(Pacientes!$C:$C,MATCH($B52,Pacientes!$B:$B,0)),"")</f>
      </c>
      <c r="E52" s="6"/>
      <c r="F52" s="6"/>
      <c r="G52" s="6"/>
      <c r="H52" s="6"/>
      <c r="I52" s="6"/>
    </row>
    <row r="53" spans="1:9" x14ac:dyDescent="0.25">
      <c r="A53" s="7"/>
      <c r="B53" s="6"/>
      <c r="C53" s="9">
        <f>IFERROR(INDEX(Pacientes!$A:$A,MATCH($B53,Pacientes!$B:$B,0)),"")</f>
      </c>
      <c r="D53" s="9">
        <f>IFERROR(INDEX(Pacientes!$C:$C,MATCH($B53,Pacientes!$B:$B,0)),"")</f>
      </c>
      <c r="E53" s="6"/>
      <c r="F53" s="6"/>
      <c r="G53" s="6"/>
      <c r="H53" s="6"/>
      <c r="I53" s="6"/>
    </row>
    <row r="54" spans="1:9" x14ac:dyDescent="0.25">
      <c r="A54" s="7"/>
      <c r="B54" s="6"/>
      <c r="C54" s="9">
        <f>IFERROR(INDEX(Pacientes!$A:$A,MATCH($B54,Pacientes!$B:$B,0)),"")</f>
      </c>
      <c r="D54" s="9">
        <f>IFERROR(INDEX(Pacientes!$C:$C,MATCH($B54,Pacientes!$B:$B,0)),"")</f>
      </c>
      <c r="E54" s="6"/>
      <c r="F54" s="6"/>
      <c r="G54" s="6"/>
      <c r="H54" s="6"/>
      <c r="I54" s="6"/>
    </row>
    <row r="55" spans="1:9" x14ac:dyDescent="0.25">
      <c r="A55" s="7"/>
      <c r="B55" s="6"/>
      <c r="C55" s="9">
        <f>IFERROR(INDEX(Pacientes!$A:$A,MATCH($B55,Pacientes!$B:$B,0)),"")</f>
      </c>
      <c r="D55" s="9">
        <f>IFERROR(INDEX(Pacientes!$C:$C,MATCH($B55,Pacientes!$B:$B,0)),"")</f>
      </c>
      <c r="E55" s="6"/>
      <c r="F55" s="6"/>
      <c r="G55" s="6"/>
      <c r="H55" s="6"/>
      <c r="I55" s="6"/>
    </row>
    <row r="56" spans="1:9" x14ac:dyDescent="0.25">
      <c r="A56" s="7"/>
      <c r="B56" s="6"/>
      <c r="C56" s="9">
        <f>IFERROR(INDEX(Pacientes!$A:$A,MATCH($B56,Pacientes!$B:$B,0)),"")</f>
      </c>
      <c r="D56" s="9">
        <f>IFERROR(INDEX(Pacientes!$C:$C,MATCH($B56,Pacientes!$B:$B,0)),"")</f>
      </c>
      <c r="E56" s="6"/>
      <c r="F56" s="6"/>
      <c r="G56" s="6"/>
      <c r="H56" s="6"/>
      <c r="I56" s="6"/>
    </row>
    <row r="57" spans="1:9" x14ac:dyDescent="0.25">
      <c r="A57" s="7"/>
      <c r="B57" s="6"/>
      <c r="C57" s="9">
        <f>IFERROR(INDEX(Pacientes!$A:$A,MATCH($B57,Pacientes!$B:$B,0)),"")</f>
      </c>
      <c r="D57" s="9">
        <f>IFERROR(INDEX(Pacientes!$C:$C,MATCH($B57,Pacientes!$B:$B,0)),"")</f>
      </c>
      <c r="E57" s="6"/>
      <c r="F57" s="6"/>
      <c r="G57" s="6"/>
      <c r="H57" s="6"/>
      <c r="I57" s="6"/>
    </row>
    <row r="58" spans="1:9" x14ac:dyDescent="0.25">
      <c r="A58" s="7"/>
      <c r="B58" s="6"/>
      <c r="C58" s="9">
        <f>IFERROR(INDEX(Pacientes!$A:$A,MATCH($B58,Pacientes!$B:$B,0)),"")</f>
      </c>
      <c r="D58" s="9">
        <f>IFERROR(INDEX(Pacientes!$C:$C,MATCH($B58,Pacientes!$B:$B,0)),"")</f>
      </c>
      <c r="E58" s="6"/>
      <c r="F58" s="6"/>
      <c r="G58" s="6"/>
      <c r="H58" s="6"/>
      <c r="I58" s="6"/>
    </row>
    <row r="59" spans="1:9" x14ac:dyDescent="0.25">
      <c r="A59" s="7"/>
      <c r="B59" s="6"/>
      <c r="C59" s="9">
        <f>IFERROR(INDEX(Pacientes!$A:$A,MATCH($B59,Pacientes!$B:$B,0)),"")</f>
      </c>
      <c r="D59" s="9">
        <f>IFERROR(INDEX(Pacientes!$C:$C,MATCH($B59,Pacientes!$B:$B,0)),"")</f>
      </c>
      <c r="E59" s="6"/>
      <c r="F59" s="6"/>
      <c r="G59" s="6"/>
      <c r="H59" s="6"/>
      <c r="I59" s="6"/>
    </row>
    <row r="60" spans="1:9" x14ac:dyDescent="0.25">
      <c r="A60" s="7"/>
      <c r="B60" s="6"/>
      <c r="C60" s="9">
        <f>IFERROR(INDEX(Pacientes!$A:$A,MATCH($B60,Pacientes!$B:$B,0)),"")</f>
      </c>
      <c r="D60" s="9">
        <f>IFERROR(INDEX(Pacientes!$C:$C,MATCH($B60,Pacientes!$B:$B,0)),"")</f>
      </c>
      <c r="E60" s="6"/>
      <c r="F60" s="6"/>
      <c r="G60" s="6"/>
      <c r="H60" s="6"/>
      <c r="I60" s="6"/>
    </row>
    <row r="61" spans="1:9" x14ac:dyDescent="0.25">
      <c r="A61" s="7"/>
      <c r="B61" s="6"/>
      <c r="C61" s="9">
        <f>IFERROR(INDEX(Pacientes!$A:$A,MATCH($B61,Pacientes!$B:$B,0)),"")</f>
      </c>
      <c r="D61" s="9">
        <f>IFERROR(INDEX(Pacientes!$C:$C,MATCH($B61,Pacientes!$B:$B,0)),"")</f>
      </c>
      <c r="E61" s="6"/>
      <c r="F61" s="6"/>
      <c r="G61" s="6"/>
      <c r="H61" s="6"/>
      <c r="I61" s="6"/>
    </row>
    <row r="62" spans="1:9" x14ac:dyDescent="0.25">
      <c r="A62" s="7"/>
      <c r="B62" s="6"/>
      <c r="C62" s="9">
        <f>IFERROR(INDEX(Pacientes!$A:$A,MATCH($B62,Pacientes!$B:$B,0)),"")</f>
      </c>
      <c r="D62" s="9">
        <f>IFERROR(INDEX(Pacientes!$C:$C,MATCH($B62,Pacientes!$B:$B,0)),"")</f>
      </c>
      <c r="E62" s="6"/>
      <c r="F62" s="6"/>
      <c r="G62" s="6"/>
      <c r="H62" s="6"/>
      <c r="I62" s="6"/>
    </row>
    <row r="63" spans="1:9" x14ac:dyDescent="0.25">
      <c r="A63" s="7"/>
      <c r="B63" s="6"/>
      <c r="C63" s="9">
        <f>IFERROR(INDEX(Pacientes!$A:$A,MATCH($B63,Pacientes!$B:$B,0)),"")</f>
      </c>
      <c r="D63" s="9">
        <f>IFERROR(INDEX(Pacientes!$C:$C,MATCH($B63,Pacientes!$B:$B,0)),"")</f>
      </c>
      <c r="E63" s="6"/>
      <c r="F63" s="6"/>
      <c r="G63" s="6"/>
      <c r="H63" s="6"/>
      <c r="I63" s="6"/>
    </row>
    <row r="64" spans="1:9" x14ac:dyDescent="0.25">
      <c r="A64" s="7"/>
      <c r="B64" s="6"/>
      <c r="C64" s="9">
        <f>IFERROR(INDEX(Pacientes!$A:$A,MATCH($B64,Pacientes!$B:$B,0)),"")</f>
      </c>
      <c r="D64" s="9">
        <f>IFERROR(INDEX(Pacientes!$C:$C,MATCH($B64,Pacientes!$B:$B,0)),"")</f>
      </c>
      <c r="E64" s="6"/>
      <c r="F64" s="6"/>
      <c r="G64" s="6"/>
      <c r="H64" s="6"/>
      <c r="I64" s="6"/>
    </row>
    <row r="65" spans="1:9" x14ac:dyDescent="0.25">
      <c r="A65" s="7"/>
      <c r="B65" s="6"/>
      <c r="C65" s="9">
        <f>IFERROR(INDEX(Pacientes!$A:$A,MATCH($B65,Pacientes!$B:$B,0)),"")</f>
      </c>
      <c r="D65" s="9">
        <f>IFERROR(INDEX(Pacientes!$C:$C,MATCH($B65,Pacientes!$B:$B,0)),"")</f>
      </c>
      <c r="E65" s="6"/>
      <c r="F65" s="6"/>
      <c r="G65" s="6"/>
      <c r="H65" s="6"/>
      <c r="I65" s="6"/>
    </row>
    <row r="66" spans="1:9" x14ac:dyDescent="0.25">
      <c r="A66" s="7"/>
      <c r="B66" s="6"/>
      <c r="C66" s="9">
        <f>IFERROR(INDEX(Pacientes!$A:$A,MATCH($B66,Pacientes!$B:$B,0)),"")</f>
      </c>
      <c r="D66" s="9">
        <f>IFERROR(INDEX(Pacientes!$C:$C,MATCH($B66,Pacientes!$B:$B,0)),"")</f>
      </c>
      <c r="E66" s="6"/>
      <c r="F66" s="6"/>
      <c r="G66" s="6"/>
      <c r="H66" s="6"/>
      <c r="I66" s="6"/>
    </row>
    <row r="67" spans="1:9" x14ac:dyDescent="0.25">
      <c r="A67" s="7"/>
      <c r="B67" s="6"/>
      <c r="C67" s="9">
        <f>IFERROR(INDEX(Pacientes!$A:$A,MATCH($B67,Pacientes!$B:$B,0)),"")</f>
      </c>
      <c r="D67" s="9">
        <f>IFERROR(INDEX(Pacientes!$C:$C,MATCH($B67,Pacientes!$B:$B,0)),"")</f>
      </c>
      <c r="E67" s="6"/>
      <c r="F67" s="6"/>
      <c r="G67" s="6"/>
      <c r="H67" s="6"/>
      <c r="I67" s="6"/>
    </row>
    <row r="68" spans="1:9" x14ac:dyDescent="0.25">
      <c r="A68" s="7"/>
      <c r="B68" s="6"/>
      <c r="C68" s="9">
        <f>IFERROR(INDEX(Pacientes!$A:$A,MATCH($B68,Pacientes!$B:$B,0)),"")</f>
      </c>
      <c r="D68" s="9">
        <f>IFERROR(INDEX(Pacientes!$C:$C,MATCH($B68,Pacientes!$B:$B,0)),"")</f>
      </c>
      <c r="E68" s="6"/>
      <c r="F68" s="6"/>
      <c r="G68" s="6"/>
      <c r="H68" s="6"/>
      <c r="I68" s="6"/>
    </row>
    <row r="69" spans="1:9" x14ac:dyDescent="0.25">
      <c r="A69" s="7"/>
      <c r="B69" s="6"/>
      <c r="C69" s="9">
        <f>IFERROR(INDEX(Pacientes!$A:$A,MATCH($B69,Pacientes!$B:$B,0)),"")</f>
      </c>
      <c r="D69" s="9">
        <f>IFERROR(INDEX(Pacientes!$C:$C,MATCH($B69,Pacientes!$B:$B,0)),"")</f>
      </c>
      <c r="E69" s="6"/>
      <c r="F69" s="6"/>
      <c r="G69" s="6"/>
      <c r="H69" s="6"/>
      <c r="I69" s="6"/>
    </row>
    <row r="70" spans="1:9" x14ac:dyDescent="0.25">
      <c r="A70" s="7"/>
      <c r="B70" s="6"/>
      <c r="C70" s="9">
        <f>IFERROR(INDEX(Pacientes!$A:$A,MATCH($B70,Pacientes!$B:$B,0)),"")</f>
      </c>
      <c r="D70" s="9">
        <f>IFERROR(INDEX(Pacientes!$C:$C,MATCH($B70,Pacientes!$B:$B,0)),"")</f>
      </c>
      <c r="E70" s="6"/>
      <c r="F70" s="6"/>
      <c r="G70" s="6"/>
      <c r="H70" s="6"/>
      <c r="I70" s="6"/>
    </row>
    <row r="71" spans="1:9" x14ac:dyDescent="0.25">
      <c r="A71" s="7"/>
      <c r="B71" s="6"/>
      <c r="C71" s="9">
        <f>IFERROR(INDEX(Pacientes!$A:$A,MATCH($B71,Pacientes!$B:$B,0)),"")</f>
      </c>
      <c r="D71" s="9">
        <f>IFERROR(INDEX(Pacientes!$C:$C,MATCH($B71,Pacientes!$B:$B,0)),"")</f>
      </c>
      <c r="E71" s="6"/>
      <c r="F71" s="6"/>
      <c r="G71" s="6"/>
      <c r="H71" s="6"/>
      <c r="I71" s="6"/>
    </row>
    <row r="72" spans="1:9" x14ac:dyDescent="0.25">
      <c r="A72" s="7"/>
      <c r="B72" s="6"/>
      <c r="C72" s="9">
        <f>IFERROR(INDEX(Pacientes!$A:$A,MATCH($B72,Pacientes!$B:$B,0)),"")</f>
      </c>
      <c r="D72" s="9">
        <f>IFERROR(INDEX(Pacientes!$C:$C,MATCH($B72,Pacientes!$B:$B,0)),"")</f>
      </c>
      <c r="E72" s="6"/>
      <c r="F72" s="6"/>
      <c r="G72" s="6"/>
      <c r="H72" s="6"/>
      <c r="I72" s="6"/>
    </row>
    <row r="73" spans="1:9" x14ac:dyDescent="0.25">
      <c r="A73" s="7"/>
      <c r="B73" s="6"/>
      <c r="C73" s="9">
        <f>IFERROR(INDEX(Pacientes!$A:$A,MATCH($B73,Pacientes!$B:$B,0)),"")</f>
      </c>
      <c r="D73" s="9">
        <f>IFERROR(INDEX(Pacientes!$C:$C,MATCH($B73,Pacientes!$B:$B,0)),"")</f>
      </c>
      <c r="E73" s="6"/>
      <c r="F73" s="6"/>
      <c r="G73" s="6"/>
      <c r="H73" s="6"/>
      <c r="I73" s="6"/>
    </row>
    <row r="74" spans="1:9" x14ac:dyDescent="0.25">
      <c r="A74" s="7"/>
      <c r="B74" s="6"/>
      <c r="C74" s="9">
        <f>IFERROR(INDEX(Pacientes!$A:$A,MATCH($B74,Pacientes!$B:$B,0)),"")</f>
      </c>
      <c r="D74" s="9">
        <f>IFERROR(INDEX(Pacientes!$C:$C,MATCH($B74,Pacientes!$B:$B,0)),"")</f>
      </c>
      <c r="E74" s="6"/>
      <c r="F74" s="6"/>
      <c r="G74" s="6"/>
      <c r="H74" s="6"/>
      <c r="I74" s="6"/>
    </row>
    <row r="75" spans="1:9" x14ac:dyDescent="0.25">
      <c r="A75" s="7"/>
      <c r="B75" s="6"/>
      <c r="C75" s="9">
        <f>IFERROR(INDEX(Pacientes!$A:$A,MATCH($B75,Pacientes!$B:$B,0)),"")</f>
      </c>
      <c r="D75" s="9">
        <f>IFERROR(INDEX(Pacientes!$C:$C,MATCH($B75,Pacientes!$B:$B,0)),"")</f>
      </c>
      <c r="E75" s="6"/>
      <c r="F75" s="6"/>
      <c r="G75" s="6"/>
      <c r="H75" s="6"/>
      <c r="I75" s="6"/>
    </row>
    <row r="76" spans="1:9" x14ac:dyDescent="0.25">
      <c r="A76" s="7"/>
      <c r="B76" s="6"/>
      <c r="C76" s="9">
        <f>IFERROR(INDEX(Pacientes!$A:$A,MATCH($B76,Pacientes!$B:$B,0)),"")</f>
      </c>
      <c r="D76" s="9">
        <f>IFERROR(INDEX(Pacientes!$C:$C,MATCH($B76,Pacientes!$B:$B,0)),"")</f>
      </c>
      <c r="E76" s="6"/>
      <c r="F76" s="6"/>
      <c r="G76" s="6"/>
      <c r="H76" s="6"/>
      <c r="I76" s="6"/>
    </row>
    <row r="77" spans="1:9" x14ac:dyDescent="0.25">
      <c r="A77" s="7"/>
      <c r="B77" s="6"/>
      <c r="C77" s="9">
        <f>IFERROR(INDEX(Pacientes!$A:$A,MATCH($B77,Pacientes!$B:$B,0)),"")</f>
      </c>
      <c r="D77" s="9">
        <f>IFERROR(INDEX(Pacientes!$C:$C,MATCH($B77,Pacientes!$B:$B,0)),"")</f>
      </c>
      <c r="E77" s="6"/>
      <c r="F77" s="6"/>
      <c r="G77" s="6"/>
      <c r="H77" s="6"/>
      <c r="I77" s="6"/>
    </row>
    <row r="78" spans="1:9" x14ac:dyDescent="0.25">
      <c r="A78" s="7"/>
      <c r="B78" s="6"/>
      <c r="C78" s="9">
        <f>IFERROR(INDEX(Pacientes!$A:$A,MATCH($B78,Pacientes!$B:$B,0)),"")</f>
      </c>
      <c r="D78" s="9">
        <f>IFERROR(INDEX(Pacientes!$C:$C,MATCH($B78,Pacientes!$B:$B,0)),"")</f>
      </c>
      <c r="E78" s="6"/>
      <c r="F78" s="6"/>
      <c r="G78" s="6"/>
      <c r="H78" s="6"/>
      <c r="I78" s="6"/>
    </row>
    <row r="79" spans="1:9" x14ac:dyDescent="0.25">
      <c r="A79" s="7"/>
      <c r="B79" s="6"/>
      <c r="C79" s="9">
        <f>IFERROR(INDEX(Pacientes!$A:$A,MATCH($B79,Pacientes!$B:$B,0)),"")</f>
      </c>
      <c r="D79" s="9">
        <f>IFERROR(INDEX(Pacientes!$C:$C,MATCH($B79,Pacientes!$B:$B,0)),"")</f>
      </c>
      <c r="E79" s="6"/>
      <c r="F79" s="6"/>
      <c r="G79" s="6"/>
      <c r="H79" s="6"/>
      <c r="I79" s="6"/>
    </row>
    <row r="80" spans="1:9" x14ac:dyDescent="0.25">
      <c r="A80" s="7"/>
      <c r="B80" s="6"/>
      <c r="C80" s="9">
        <f>IFERROR(INDEX(Pacientes!$A:$A,MATCH($B80,Pacientes!$B:$B,0)),"")</f>
      </c>
      <c r="D80" s="9">
        <f>IFERROR(INDEX(Pacientes!$C:$C,MATCH($B80,Pacientes!$B:$B,0)),"")</f>
      </c>
      <c r="E80" s="6"/>
      <c r="F80" s="6"/>
      <c r="G80" s="6"/>
      <c r="H80" s="6"/>
      <c r="I80" s="6"/>
    </row>
    <row r="81" spans="1:9" x14ac:dyDescent="0.25">
      <c r="A81" s="7"/>
      <c r="B81" s="6"/>
      <c r="C81" s="9">
        <f>IFERROR(INDEX(Pacientes!$A:$A,MATCH($B81,Pacientes!$B:$B,0)),"")</f>
      </c>
      <c r="D81" s="9">
        <f>IFERROR(INDEX(Pacientes!$C:$C,MATCH($B81,Pacientes!$B:$B,0)),"")</f>
      </c>
      <c r="E81" s="6"/>
      <c r="F81" s="6"/>
      <c r="G81" s="6"/>
      <c r="H81" s="6"/>
      <c r="I81" s="6"/>
    </row>
    <row r="82" spans="1:9" x14ac:dyDescent="0.25">
      <c r="A82" s="7"/>
      <c r="B82" s="6"/>
      <c r="C82" s="9">
        <f>IFERROR(INDEX(Pacientes!$A:$A,MATCH($B82,Pacientes!$B:$B,0)),"")</f>
      </c>
      <c r="D82" s="9">
        <f>IFERROR(INDEX(Pacientes!$C:$C,MATCH($B82,Pacientes!$B:$B,0)),"")</f>
      </c>
      <c r="E82" s="6"/>
      <c r="F82" s="6"/>
      <c r="G82" s="6"/>
      <c r="H82" s="6"/>
      <c r="I82" s="6"/>
    </row>
    <row r="83" spans="1:9" x14ac:dyDescent="0.25">
      <c r="A83" s="7"/>
      <c r="B83" s="6"/>
      <c r="C83" s="9">
        <f>IFERROR(INDEX(Pacientes!$A:$A,MATCH($B83,Pacientes!$B:$B,0)),"")</f>
      </c>
      <c r="D83" s="9">
        <f>IFERROR(INDEX(Pacientes!$C:$C,MATCH($B83,Pacientes!$B:$B,0)),"")</f>
      </c>
      <c r="E83" s="6"/>
      <c r="F83" s="6"/>
      <c r="G83" s="6"/>
      <c r="H83" s="6"/>
      <c r="I83" s="6"/>
    </row>
    <row r="84" spans="1:9" x14ac:dyDescent="0.25">
      <c r="A84" s="7"/>
      <c r="B84" s="6"/>
      <c r="C84" s="9">
        <f>IFERROR(INDEX(Pacientes!$A:$A,MATCH($B84,Pacientes!$B:$B,0)),"")</f>
      </c>
      <c r="D84" s="9">
        <f>IFERROR(INDEX(Pacientes!$C:$C,MATCH($B84,Pacientes!$B:$B,0)),"")</f>
      </c>
      <c r="E84" s="6"/>
      <c r="F84" s="6"/>
      <c r="G84" s="6"/>
      <c r="H84" s="6"/>
      <c r="I84" s="6"/>
    </row>
    <row r="85" spans="1:9" x14ac:dyDescent="0.25">
      <c r="A85" s="7"/>
      <c r="B85" s="6"/>
      <c r="C85" s="9">
        <f>IFERROR(INDEX(Pacientes!$A:$A,MATCH($B85,Pacientes!$B:$B,0)),"")</f>
      </c>
      <c r="D85" s="9">
        <f>IFERROR(INDEX(Pacientes!$C:$C,MATCH($B85,Pacientes!$B:$B,0)),"")</f>
      </c>
      <c r="E85" s="6"/>
      <c r="F85" s="6"/>
      <c r="G85" s="6"/>
      <c r="H85" s="6"/>
      <c r="I85" s="6"/>
    </row>
    <row r="86" spans="1:9" x14ac:dyDescent="0.25">
      <c r="A86" s="7"/>
      <c r="B86" s="6"/>
      <c r="C86" s="9">
        <f>IFERROR(INDEX(Pacientes!$A:$A,MATCH($B86,Pacientes!$B:$B,0)),"")</f>
      </c>
      <c r="D86" s="9">
        <f>IFERROR(INDEX(Pacientes!$C:$C,MATCH($B86,Pacientes!$B:$B,0)),"")</f>
      </c>
      <c r="E86" s="6"/>
      <c r="F86" s="6"/>
      <c r="G86" s="6"/>
      <c r="H86" s="6"/>
      <c r="I86" s="6"/>
    </row>
    <row r="87" spans="1:9" x14ac:dyDescent="0.25">
      <c r="A87" s="7"/>
      <c r="B87" s="6"/>
      <c r="C87" s="9">
        <f>IFERROR(INDEX(Pacientes!$A:$A,MATCH($B87,Pacientes!$B:$B,0)),"")</f>
      </c>
      <c r="D87" s="9">
        <f>IFERROR(INDEX(Pacientes!$C:$C,MATCH($B87,Pacientes!$B:$B,0)),"")</f>
      </c>
      <c r="E87" s="6"/>
      <c r="F87" s="6"/>
      <c r="G87" s="6"/>
      <c r="H87" s="6"/>
      <c r="I87" s="6"/>
    </row>
    <row r="88" spans="1:9" x14ac:dyDescent="0.25">
      <c r="A88" s="7"/>
      <c r="B88" s="6"/>
      <c r="C88" s="9">
        <f>IFERROR(INDEX(Pacientes!$A:$A,MATCH($B88,Pacientes!$B:$B,0)),"")</f>
      </c>
      <c r="D88" s="9">
        <f>IFERROR(INDEX(Pacientes!$C:$C,MATCH($B88,Pacientes!$B:$B,0)),"")</f>
      </c>
      <c r="E88" s="6"/>
      <c r="F88" s="6"/>
      <c r="G88" s="6"/>
      <c r="H88" s="6"/>
      <c r="I88" s="6"/>
    </row>
    <row r="89" spans="1:9" x14ac:dyDescent="0.25">
      <c r="A89" s="7"/>
      <c r="B89" s="6"/>
      <c r="C89" s="9">
        <f>IFERROR(INDEX(Pacientes!$A:$A,MATCH($B89,Pacientes!$B:$B,0)),"")</f>
      </c>
      <c r="D89" s="9">
        <f>IFERROR(INDEX(Pacientes!$C:$C,MATCH($B89,Pacientes!$B:$B,0)),"")</f>
      </c>
      <c r="E89" s="6"/>
      <c r="F89" s="6"/>
      <c r="G89" s="6"/>
      <c r="H89" s="6"/>
      <c r="I89" s="6"/>
    </row>
    <row r="90" spans="1:9" x14ac:dyDescent="0.25">
      <c r="A90" s="7"/>
      <c r="B90" s="6"/>
      <c r="C90" s="9">
        <f>IFERROR(INDEX(Pacientes!$A:$A,MATCH($B90,Pacientes!$B:$B,0)),"")</f>
      </c>
      <c r="D90" s="9">
        <f>IFERROR(INDEX(Pacientes!$C:$C,MATCH($B90,Pacientes!$B:$B,0)),"")</f>
      </c>
      <c r="E90" s="6"/>
      <c r="F90" s="6"/>
      <c r="G90" s="6"/>
      <c r="H90" s="6"/>
      <c r="I90" s="6"/>
    </row>
    <row r="91" spans="1:9" x14ac:dyDescent="0.25">
      <c r="A91" s="7"/>
      <c r="B91" s="6"/>
      <c r="C91" s="9">
        <f>IFERROR(INDEX(Pacientes!$A:$A,MATCH($B91,Pacientes!$B:$B,0)),"")</f>
      </c>
      <c r="D91" s="9">
        <f>IFERROR(INDEX(Pacientes!$C:$C,MATCH($B91,Pacientes!$B:$B,0)),"")</f>
      </c>
      <c r="E91" s="6"/>
      <c r="F91" s="6"/>
      <c r="G91" s="6"/>
      <c r="H91" s="6"/>
      <c r="I91" s="6"/>
    </row>
    <row r="92" spans="1:9" x14ac:dyDescent="0.25">
      <c r="A92" s="7"/>
      <c r="B92" s="6"/>
      <c r="C92" s="9">
        <f>IFERROR(INDEX(Pacientes!$A:$A,MATCH($B92,Pacientes!$B:$B,0)),"")</f>
      </c>
      <c r="D92" s="9">
        <f>IFERROR(INDEX(Pacientes!$C:$C,MATCH($B92,Pacientes!$B:$B,0)),"")</f>
      </c>
      <c r="E92" s="6"/>
      <c r="F92" s="6"/>
      <c r="G92" s="6"/>
      <c r="H92" s="6"/>
      <c r="I92" s="6"/>
    </row>
    <row r="93" spans="1:9" x14ac:dyDescent="0.25">
      <c r="A93" s="7"/>
      <c r="B93" s="6"/>
      <c r="C93" s="9">
        <f>IFERROR(INDEX(Pacientes!$A:$A,MATCH($B93,Pacientes!$B:$B,0)),"")</f>
      </c>
      <c r="D93" s="9">
        <f>IFERROR(INDEX(Pacientes!$C:$C,MATCH($B93,Pacientes!$B:$B,0)),"")</f>
      </c>
      <c r="E93" s="6"/>
      <c r="F93" s="6"/>
      <c r="G93" s="6"/>
      <c r="H93" s="6"/>
      <c r="I93" s="6"/>
    </row>
    <row r="94" spans="1:9" x14ac:dyDescent="0.25">
      <c r="A94" s="7"/>
      <c r="B94" s="6"/>
      <c r="C94" s="9">
        <f>IFERROR(INDEX(Pacientes!$A:$A,MATCH($B94,Pacientes!$B:$B,0)),"")</f>
      </c>
      <c r="D94" s="9">
        <f>IFERROR(INDEX(Pacientes!$C:$C,MATCH($B94,Pacientes!$B:$B,0)),"")</f>
      </c>
      <c r="E94" s="6"/>
      <c r="F94" s="6"/>
      <c r="G94" s="6"/>
      <c r="H94" s="6"/>
      <c r="I94" s="6"/>
    </row>
    <row r="95" spans="1:9" x14ac:dyDescent="0.25">
      <c r="A95" s="7"/>
      <c r="B95" s="6"/>
      <c r="C95" s="9">
        <f>IFERROR(INDEX(Pacientes!$A:$A,MATCH($B95,Pacientes!$B:$B,0)),"")</f>
      </c>
      <c r="D95" s="9">
        <f>IFERROR(INDEX(Pacientes!$C:$C,MATCH($B95,Pacientes!$B:$B,0)),"")</f>
      </c>
      <c r="E95" s="6"/>
      <c r="F95" s="6"/>
      <c r="G95" s="6"/>
      <c r="H95" s="6"/>
      <c r="I95" s="6"/>
    </row>
    <row r="96" spans="1:9" x14ac:dyDescent="0.25">
      <c r="A96" s="7"/>
      <c r="B96" s="6"/>
      <c r="C96" s="9">
        <f>IFERROR(INDEX(Pacientes!$A:$A,MATCH($B96,Pacientes!$B:$B,0)),"")</f>
      </c>
      <c r="D96" s="9">
        <f>IFERROR(INDEX(Pacientes!$C:$C,MATCH($B96,Pacientes!$B:$B,0)),"")</f>
      </c>
      <c r="E96" s="6"/>
      <c r="F96" s="6"/>
      <c r="G96" s="6"/>
      <c r="H96" s="6"/>
      <c r="I96" s="6"/>
    </row>
    <row r="97" spans="1:9" x14ac:dyDescent="0.25">
      <c r="A97" s="7"/>
      <c r="B97" s="6"/>
      <c r="C97" s="9">
        <f>IFERROR(INDEX(Pacientes!$A:$A,MATCH($B97,Pacientes!$B:$B,0)),"")</f>
      </c>
      <c r="D97" s="9">
        <f>IFERROR(INDEX(Pacientes!$C:$C,MATCH($B97,Pacientes!$B:$B,0)),"")</f>
      </c>
      <c r="E97" s="6"/>
      <c r="F97" s="6"/>
      <c r="G97" s="6"/>
      <c r="H97" s="6"/>
      <c r="I97" s="6"/>
    </row>
    <row r="98" spans="1:9" x14ac:dyDescent="0.25">
      <c r="A98" s="7"/>
      <c r="B98" s="6"/>
      <c r="C98" s="9">
        <f>IFERROR(INDEX(Pacientes!$A:$A,MATCH($B98,Pacientes!$B:$B,0)),"")</f>
      </c>
      <c r="D98" s="9">
        <f>IFERROR(INDEX(Pacientes!$C:$C,MATCH($B98,Pacientes!$B:$B,0)),"")</f>
      </c>
      <c r="E98" s="6"/>
      <c r="F98" s="6"/>
      <c r="G98" s="6"/>
      <c r="H98" s="6"/>
      <c r="I98" s="6"/>
    </row>
    <row r="99" spans="1:9" x14ac:dyDescent="0.25">
      <c r="A99" s="7"/>
      <c r="B99" s="6"/>
      <c r="C99" s="9">
        <f>IFERROR(INDEX(Pacientes!$A:$A,MATCH($B99,Pacientes!$B:$B,0)),"")</f>
      </c>
      <c r="D99" s="9">
        <f>IFERROR(INDEX(Pacientes!$C:$C,MATCH($B99,Pacientes!$B:$B,0)),"")</f>
      </c>
      <c r="E99" s="6"/>
      <c r="F99" s="6"/>
      <c r="G99" s="6"/>
      <c r="H99" s="6"/>
      <c r="I99" s="6"/>
    </row>
    <row r="100" spans="1:9" x14ac:dyDescent="0.25">
      <c r="A100" s="7"/>
      <c r="B100" s="6"/>
      <c r="C100" s="9">
        <f>IFERROR(INDEX(Pacientes!$A:$A,MATCH($B100,Pacientes!$B:$B,0)),"")</f>
      </c>
      <c r="D100" s="9">
        <f>IFERROR(INDEX(Pacientes!$C:$C,MATCH($B100,Pacientes!$B:$B,0)),"")</f>
      </c>
      <c r="E100" s="6"/>
      <c r="F100" s="6"/>
      <c r="G100" s="6"/>
      <c r="H100" s="6"/>
      <c r="I100" s="6"/>
    </row>
    <row r="101" spans="1:9" x14ac:dyDescent="0.25">
      <c r="A101" s="7"/>
      <c r="B101" s="6"/>
      <c r="C101" s="9">
        <f>IFERROR(INDEX(Pacientes!$A:$A,MATCH($B101,Pacientes!$B:$B,0)),"")</f>
      </c>
      <c r="D101" s="9">
        <f>IFERROR(INDEX(Pacientes!$C:$C,MATCH($B101,Pacientes!$B:$B,0)),"")</f>
      </c>
      <c r="E101" s="6"/>
      <c r="F101" s="6"/>
      <c r="G101" s="6"/>
      <c r="H101" s="6"/>
      <c r="I101" s="6"/>
    </row>
    <row r="102" spans="1:9" x14ac:dyDescent="0.25">
      <c r="A102" s="7"/>
      <c r="B102" s="6"/>
      <c r="C102" s="9">
        <f>IFERROR(INDEX(Pacientes!$A:$A,MATCH($B102,Pacientes!$B:$B,0)),"")</f>
      </c>
      <c r="D102" s="9">
        <f>IFERROR(INDEX(Pacientes!$C:$C,MATCH($B102,Pacientes!$B:$B,0)),"")</f>
      </c>
      <c r="E102" s="6"/>
      <c r="F102" s="6"/>
      <c r="G102" s="6"/>
      <c r="H102" s="6"/>
      <c r="I102" s="6"/>
    </row>
    <row r="103" spans="1:9" x14ac:dyDescent="0.25">
      <c r="A103" s="7"/>
      <c r="B103" s="6"/>
      <c r="C103" s="9">
        <f>IFERROR(INDEX(Pacientes!$A:$A,MATCH($B103,Pacientes!$B:$B,0)),"")</f>
      </c>
      <c r="D103" s="9">
        <f>IFERROR(INDEX(Pacientes!$C:$C,MATCH($B103,Pacientes!$B:$B,0)),"")</f>
      </c>
      <c r="E103" s="6"/>
      <c r="F103" s="6"/>
      <c r="G103" s="6"/>
      <c r="H103" s="6"/>
      <c r="I103" s="6"/>
    </row>
    <row r="104" spans="1:9" x14ac:dyDescent="0.25">
      <c r="A104" s="7"/>
      <c r="B104" s="6"/>
      <c r="C104" s="9">
        <f>IFERROR(INDEX(Pacientes!$A:$A,MATCH($B104,Pacientes!$B:$B,0)),"")</f>
      </c>
      <c r="D104" s="9">
        <f>IFERROR(INDEX(Pacientes!$C:$C,MATCH($B104,Pacientes!$B:$B,0)),"")</f>
      </c>
      <c r="E104" s="6"/>
      <c r="F104" s="6"/>
      <c r="G104" s="6"/>
      <c r="H104" s="6"/>
      <c r="I104" s="6"/>
    </row>
    <row r="105" spans="1:9" x14ac:dyDescent="0.25">
      <c r="A105" s="7"/>
      <c r="B105" s="6"/>
      <c r="C105" s="9">
        <f>IFERROR(INDEX(Pacientes!$A:$A,MATCH($B105,Pacientes!$B:$B,0)),"")</f>
      </c>
      <c r="D105" s="9">
        <f>IFERROR(INDEX(Pacientes!$C:$C,MATCH($B105,Pacientes!$B:$B,0)),"")</f>
      </c>
      <c r="E105" s="6"/>
      <c r="F105" s="6"/>
      <c r="G105" s="6"/>
      <c r="H105" s="6"/>
      <c r="I105" s="6"/>
    </row>
    <row r="106" spans="1:9" x14ac:dyDescent="0.25">
      <c r="A106" s="7"/>
      <c r="B106" s="6"/>
      <c r="C106" s="9">
        <f>IFERROR(INDEX(Pacientes!$A:$A,MATCH($B106,Pacientes!$B:$B,0)),"")</f>
      </c>
      <c r="D106" s="9">
        <f>IFERROR(INDEX(Pacientes!$C:$C,MATCH($B106,Pacientes!$B:$B,0)),"")</f>
      </c>
      <c r="E106" s="6"/>
      <c r="F106" s="6"/>
      <c r="G106" s="6"/>
      <c r="H106" s="6"/>
      <c r="I106" s="6"/>
    </row>
    <row r="107" spans="1:9" x14ac:dyDescent="0.25">
      <c r="A107" s="7"/>
      <c r="B107" s="6"/>
      <c r="C107" s="9">
        <f>IFERROR(INDEX(Pacientes!$A:$A,MATCH($B107,Pacientes!$B:$B,0)),"")</f>
      </c>
      <c r="D107" s="9">
        <f>IFERROR(INDEX(Pacientes!$C:$C,MATCH($B107,Pacientes!$B:$B,0)),"")</f>
      </c>
      <c r="E107" s="6"/>
      <c r="F107" s="6"/>
      <c r="G107" s="6"/>
      <c r="H107" s="6"/>
      <c r="I107" s="6"/>
    </row>
    <row r="108" spans="1:9" x14ac:dyDescent="0.25">
      <c r="A108" s="7"/>
      <c r="B108" s="6"/>
      <c r="C108" s="9">
        <f>IFERROR(INDEX(Pacientes!$A:$A,MATCH($B108,Pacientes!$B:$B,0)),"")</f>
      </c>
      <c r="D108" s="9">
        <f>IFERROR(INDEX(Pacientes!$C:$C,MATCH($B108,Pacientes!$B:$B,0)),"")</f>
      </c>
      <c r="E108" s="6"/>
      <c r="F108" s="6"/>
      <c r="G108" s="6"/>
      <c r="H108" s="6"/>
      <c r="I108" s="6"/>
    </row>
    <row r="109" spans="1:9" x14ac:dyDescent="0.25">
      <c r="A109" s="7"/>
      <c r="B109" s="6"/>
      <c r="C109" s="9">
        <f>IFERROR(INDEX(Pacientes!$A:$A,MATCH($B109,Pacientes!$B:$B,0)),"")</f>
      </c>
      <c r="D109" s="9">
        <f>IFERROR(INDEX(Pacientes!$C:$C,MATCH($B109,Pacientes!$B:$B,0)),"")</f>
      </c>
      <c r="E109" s="6"/>
      <c r="F109" s="6"/>
      <c r="G109" s="6"/>
      <c r="H109" s="6"/>
      <c r="I109" s="6"/>
    </row>
    <row r="110" spans="1:9" x14ac:dyDescent="0.25">
      <c r="A110" s="7"/>
      <c r="B110" s="6"/>
      <c r="C110" s="9">
        <f>IFERROR(INDEX(Pacientes!$A:$A,MATCH($B110,Pacientes!$B:$B,0)),"")</f>
      </c>
      <c r="D110" s="9">
        <f>IFERROR(INDEX(Pacientes!$C:$C,MATCH($B110,Pacientes!$B:$B,0)),"")</f>
      </c>
      <c r="E110" s="6"/>
      <c r="F110" s="6"/>
      <c r="G110" s="6"/>
      <c r="H110" s="6"/>
      <c r="I110" s="6"/>
    </row>
    <row r="111" spans="1:9" x14ac:dyDescent="0.25">
      <c r="A111" s="7"/>
      <c r="B111" s="6"/>
      <c r="C111" s="9">
        <f>IFERROR(INDEX(Pacientes!$A:$A,MATCH($B111,Pacientes!$B:$B,0)),"")</f>
      </c>
      <c r="D111" s="9">
        <f>IFERROR(INDEX(Pacientes!$C:$C,MATCH($B111,Pacientes!$B:$B,0)),"")</f>
      </c>
      <c r="E111" s="6"/>
      <c r="F111" s="6"/>
      <c r="G111" s="6"/>
      <c r="H111" s="6"/>
      <c r="I111" s="6"/>
    </row>
    <row r="112" spans="1:9" x14ac:dyDescent="0.25">
      <c r="A112" s="7"/>
      <c r="B112" s="6"/>
      <c r="C112" s="9">
        <f>IFERROR(INDEX(Pacientes!$A:$A,MATCH($B112,Pacientes!$B:$B,0)),"")</f>
      </c>
      <c r="D112" s="9">
        <f>IFERROR(INDEX(Pacientes!$C:$C,MATCH($B112,Pacientes!$B:$B,0)),"")</f>
      </c>
      <c r="E112" s="6"/>
      <c r="F112" s="6"/>
      <c r="G112" s="6"/>
      <c r="H112" s="6"/>
      <c r="I112" s="6"/>
    </row>
    <row r="113" spans="1:9" x14ac:dyDescent="0.25">
      <c r="A113" s="7"/>
      <c r="B113" s="6"/>
      <c r="C113" s="9">
        <f>IFERROR(INDEX(Pacientes!$A:$A,MATCH($B113,Pacientes!$B:$B,0)),"")</f>
      </c>
      <c r="D113" s="9">
        <f>IFERROR(INDEX(Pacientes!$C:$C,MATCH($B113,Pacientes!$B:$B,0)),"")</f>
      </c>
      <c r="E113" s="6"/>
      <c r="F113" s="6"/>
      <c r="G113" s="6"/>
      <c r="H113" s="6"/>
      <c r="I113" s="6"/>
    </row>
    <row r="114" spans="1:9" x14ac:dyDescent="0.25">
      <c r="A114" s="7"/>
      <c r="B114" s="6"/>
      <c r="C114" s="9">
        <f>IFERROR(INDEX(Pacientes!$A:$A,MATCH($B114,Pacientes!$B:$B,0)),"")</f>
      </c>
      <c r="D114" s="9">
        <f>IFERROR(INDEX(Pacientes!$C:$C,MATCH($B114,Pacientes!$B:$B,0)),"")</f>
      </c>
      <c r="E114" s="6"/>
      <c r="F114" s="6"/>
      <c r="G114" s="6"/>
      <c r="H114" s="6"/>
      <c r="I114" s="6"/>
    </row>
    <row r="115" spans="1:9" x14ac:dyDescent="0.25">
      <c r="A115" s="7"/>
      <c r="B115" s="6"/>
      <c r="C115" s="9">
        <f>IFERROR(INDEX(Pacientes!$A:$A,MATCH($B115,Pacientes!$B:$B,0)),"")</f>
      </c>
      <c r="D115" s="9">
        <f>IFERROR(INDEX(Pacientes!$C:$C,MATCH($B115,Pacientes!$B:$B,0)),"")</f>
      </c>
      <c r="E115" s="6"/>
      <c r="F115" s="6"/>
      <c r="G115" s="6"/>
      <c r="H115" s="6"/>
      <c r="I115" s="6"/>
    </row>
    <row r="116" spans="1:9" x14ac:dyDescent="0.25">
      <c r="A116" s="7"/>
      <c r="B116" s="6"/>
      <c r="C116" s="9">
        <f>IFERROR(INDEX(Pacientes!$A:$A,MATCH($B116,Pacientes!$B:$B,0)),"")</f>
      </c>
      <c r="D116" s="9">
        <f>IFERROR(INDEX(Pacientes!$C:$C,MATCH($B116,Pacientes!$B:$B,0)),"")</f>
      </c>
      <c r="E116" s="6"/>
      <c r="F116" s="6"/>
      <c r="G116" s="6"/>
      <c r="H116" s="6"/>
      <c r="I116" s="6"/>
    </row>
    <row r="117" spans="1:9" x14ac:dyDescent="0.25">
      <c r="A117" s="7"/>
      <c r="B117" s="6"/>
      <c r="C117" s="9">
        <f>IFERROR(INDEX(Pacientes!$A:$A,MATCH($B117,Pacientes!$B:$B,0)),"")</f>
      </c>
      <c r="D117" s="9">
        <f>IFERROR(INDEX(Pacientes!$C:$C,MATCH($B117,Pacientes!$B:$B,0)),"")</f>
      </c>
      <c r="E117" s="6"/>
      <c r="F117" s="6"/>
      <c r="G117" s="6"/>
      <c r="H117" s="6"/>
      <c r="I117" s="6"/>
    </row>
    <row r="118" spans="1:9" x14ac:dyDescent="0.25">
      <c r="A118" s="7"/>
      <c r="B118" s="6"/>
      <c r="C118" s="9">
        <f>IFERROR(INDEX(Pacientes!$A:$A,MATCH($B118,Pacientes!$B:$B,0)),"")</f>
      </c>
      <c r="D118" s="9">
        <f>IFERROR(INDEX(Pacientes!$C:$C,MATCH($B118,Pacientes!$B:$B,0)),"")</f>
      </c>
      <c r="E118" s="6"/>
      <c r="F118" s="6"/>
      <c r="G118" s="6"/>
      <c r="H118" s="6"/>
      <c r="I118" s="6"/>
    </row>
    <row r="119" spans="1:9" x14ac:dyDescent="0.25">
      <c r="A119" s="7"/>
      <c r="B119" s="6"/>
      <c r="C119" s="9">
        <f>IFERROR(INDEX(Pacientes!$A:$A,MATCH($B119,Pacientes!$B:$B,0)),"")</f>
      </c>
      <c r="D119" s="9">
        <f>IFERROR(INDEX(Pacientes!$C:$C,MATCH($B119,Pacientes!$B:$B,0)),"")</f>
      </c>
      <c r="E119" s="6"/>
      <c r="F119" s="6"/>
      <c r="G119" s="6"/>
      <c r="H119" s="6"/>
      <c r="I119" s="6"/>
    </row>
    <row r="120" spans="1:9" x14ac:dyDescent="0.25">
      <c r="A120" s="7"/>
      <c r="B120" s="6"/>
      <c r="C120" s="9">
        <f>IFERROR(INDEX(Pacientes!$A:$A,MATCH($B120,Pacientes!$B:$B,0)),"")</f>
      </c>
      <c r="D120" s="9">
        <f>IFERROR(INDEX(Pacientes!$C:$C,MATCH($B120,Pacientes!$B:$B,0)),"")</f>
      </c>
      <c r="E120" s="6"/>
      <c r="F120" s="6"/>
      <c r="G120" s="6"/>
      <c r="H120" s="6"/>
      <c r="I120" s="6"/>
    </row>
    <row r="121" spans="1:9" x14ac:dyDescent="0.25">
      <c r="A121" s="7"/>
      <c r="B121" s="6"/>
      <c r="C121" s="9">
        <f>IFERROR(INDEX(Pacientes!$A:$A,MATCH($B121,Pacientes!$B:$B,0)),"")</f>
      </c>
      <c r="D121" s="9">
        <f>IFERROR(INDEX(Pacientes!$C:$C,MATCH($B121,Pacientes!$B:$B,0)),"")</f>
      </c>
      <c r="E121" s="6"/>
      <c r="F121" s="6"/>
      <c r="G121" s="6"/>
      <c r="H121" s="6"/>
      <c r="I121" s="6"/>
    </row>
    <row r="122" spans="1:9" x14ac:dyDescent="0.25">
      <c r="A122" s="7"/>
      <c r="B122" s="6"/>
      <c r="C122" s="9">
        <f>IFERROR(INDEX(Pacientes!$A:$A,MATCH($B122,Pacientes!$B:$B,0)),"")</f>
      </c>
      <c r="D122" s="9">
        <f>IFERROR(INDEX(Pacientes!$C:$C,MATCH($B122,Pacientes!$B:$B,0)),"")</f>
      </c>
      <c r="E122" s="6"/>
      <c r="F122" s="6"/>
      <c r="G122" s="6"/>
      <c r="H122" s="6"/>
      <c r="I122" s="6"/>
    </row>
    <row r="123" spans="1:9" x14ac:dyDescent="0.25">
      <c r="A123" s="7"/>
      <c r="B123" s="6"/>
      <c r="C123" s="9">
        <f>IFERROR(INDEX(Pacientes!$A:$A,MATCH($B123,Pacientes!$B:$B,0)),"")</f>
      </c>
      <c r="D123" s="9">
        <f>IFERROR(INDEX(Pacientes!$C:$C,MATCH($B123,Pacientes!$B:$B,0)),"")</f>
      </c>
      <c r="E123" s="6"/>
      <c r="F123" s="6"/>
      <c r="G123" s="6"/>
      <c r="H123" s="6"/>
      <c r="I123" s="6"/>
    </row>
    <row r="124" spans="1:9" x14ac:dyDescent="0.25">
      <c r="A124" s="7"/>
      <c r="B124" s="6"/>
      <c r="C124" s="9">
        <f>IFERROR(INDEX(Pacientes!$A:$A,MATCH($B124,Pacientes!$B:$B,0)),"")</f>
      </c>
      <c r="D124" s="9">
        <f>IFERROR(INDEX(Pacientes!$C:$C,MATCH($B124,Pacientes!$B:$B,0)),"")</f>
      </c>
      <c r="E124" s="6"/>
      <c r="F124" s="6"/>
      <c r="G124" s="6"/>
      <c r="H124" s="6"/>
      <c r="I124" s="6"/>
    </row>
    <row r="125" spans="1:9" x14ac:dyDescent="0.25">
      <c r="A125" s="7"/>
      <c r="B125" s="6"/>
      <c r="C125" s="9">
        <f>IFERROR(INDEX(Pacientes!$A:$A,MATCH($B125,Pacientes!$B:$B,0)),"")</f>
      </c>
      <c r="D125" s="9">
        <f>IFERROR(INDEX(Pacientes!$C:$C,MATCH($B125,Pacientes!$B:$B,0)),"")</f>
      </c>
      <c r="E125" s="6"/>
      <c r="F125" s="6"/>
      <c r="G125" s="6"/>
      <c r="H125" s="6"/>
      <c r="I125" s="6"/>
    </row>
    <row r="126" spans="1:9" x14ac:dyDescent="0.25">
      <c r="A126" s="7"/>
      <c r="B126" s="6"/>
      <c r="C126" s="9">
        <f>IFERROR(INDEX(Pacientes!$A:$A,MATCH($B126,Pacientes!$B:$B,0)),"")</f>
      </c>
      <c r="D126" s="9">
        <f>IFERROR(INDEX(Pacientes!$C:$C,MATCH($B126,Pacientes!$B:$B,0)),"")</f>
      </c>
      <c r="E126" s="6"/>
      <c r="F126" s="6"/>
      <c r="G126" s="6"/>
      <c r="H126" s="6"/>
      <c r="I126" s="6"/>
    </row>
    <row r="127" spans="1:9" x14ac:dyDescent="0.25">
      <c r="A127" s="7"/>
      <c r="B127" s="6"/>
      <c r="C127" s="9">
        <f>IFERROR(INDEX(Pacientes!$A:$A,MATCH($B127,Pacientes!$B:$B,0)),"")</f>
      </c>
      <c r="D127" s="9">
        <f>IFERROR(INDEX(Pacientes!$C:$C,MATCH($B127,Pacientes!$B:$B,0)),"")</f>
      </c>
      <c r="E127" s="6"/>
      <c r="F127" s="6"/>
      <c r="G127" s="6"/>
      <c r="H127" s="6"/>
      <c r="I127" s="6"/>
    </row>
    <row r="128" spans="1:9" x14ac:dyDescent="0.25">
      <c r="A128" s="7"/>
      <c r="B128" s="6"/>
      <c r="C128" s="9">
        <f>IFERROR(INDEX(Pacientes!$A:$A,MATCH($B128,Pacientes!$B:$B,0)),"")</f>
      </c>
      <c r="D128" s="9">
        <f>IFERROR(INDEX(Pacientes!$C:$C,MATCH($B128,Pacientes!$B:$B,0)),"")</f>
      </c>
      <c r="E128" s="6"/>
      <c r="F128" s="6"/>
      <c r="G128" s="6"/>
      <c r="H128" s="6"/>
      <c r="I128" s="6"/>
    </row>
    <row r="129" spans="1:9" x14ac:dyDescent="0.25">
      <c r="A129" s="7"/>
      <c r="B129" s="6"/>
      <c r="C129" s="9">
        <f>IFERROR(INDEX(Pacientes!$A:$A,MATCH($B129,Pacientes!$B:$B,0)),"")</f>
      </c>
      <c r="D129" s="9">
        <f>IFERROR(INDEX(Pacientes!$C:$C,MATCH($B129,Pacientes!$B:$B,0)),"")</f>
      </c>
      <c r="E129" s="6"/>
      <c r="F129" s="6"/>
      <c r="G129" s="6"/>
      <c r="H129" s="6"/>
      <c r="I129" s="6"/>
    </row>
    <row r="130" spans="1:9" x14ac:dyDescent="0.25">
      <c r="A130" s="7"/>
      <c r="B130" s="6"/>
      <c r="C130" s="9">
        <f>IFERROR(INDEX(Pacientes!$A:$A,MATCH($B130,Pacientes!$B:$B,0)),"")</f>
      </c>
      <c r="D130" s="9">
        <f>IFERROR(INDEX(Pacientes!$C:$C,MATCH($B130,Pacientes!$B:$B,0)),"")</f>
      </c>
      <c r="E130" s="6"/>
      <c r="F130" s="6"/>
      <c r="G130" s="6"/>
      <c r="H130" s="6"/>
      <c r="I130" s="6"/>
    </row>
    <row r="131" spans="1:9" x14ac:dyDescent="0.25">
      <c r="A131" s="7"/>
      <c r="B131" s="6"/>
      <c r="C131" s="9">
        <f>IFERROR(INDEX(Pacientes!$A:$A,MATCH($B131,Pacientes!$B:$B,0)),"")</f>
      </c>
      <c r="D131" s="9">
        <f>IFERROR(INDEX(Pacientes!$C:$C,MATCH($B131,Pacientes!$B:$B,0)),"")</f>
      </c>
      <c r="E131" s="6"/>
      <c r="F131" s="6"/>
      <c r="G131" s="6"/>
      <c r="H131" s="6"/>
      <c r="I131" s="6"/>
    </row>
    <row r="132" spans="1:9" x14ac:dyDescent="0.25">
      <c r="A132" s="7"/>
      <c r="B132" s="6"/>
      <c r="C132" s="9">
        <f>IFERROR(INDEX(Pacientes!$A:$A,MATCH($B132,Pacientes!$B:$B,0)),"")</f>
      </c>
      <c r="D132" s="9">
        <f>IFERROR(INDEX(Pacientes!$C:$C,MATCH($B132,Pacientes!$B:$B,0)),"")</f>
      </c>
      <c r="E132" s="6"/>
      <c r="F132" s="6"/>
      <c r="G132" s="6"/>
      <c r="H132" s="6"/>
      <c r="I132" s="6"/>
    </row>
    <row r="133" spans="1:9" x14ac:dyDescent="0.25">
      <c r="A133" s="7"/>
      <c r="B133" s="6"/>
      <c r="C133" s="9">
        <f>IFERROR(INDEX(Pacientes!$A:$A,MATCH($B133,Pacientes!$B:$B,0)),"")</f>
      </c>
      <c r="D133" s="9">
        <f>IFERROR(INDEX(Pacientes!$C:$C,MATCH($B133,Pacientes!$B:$B,0)),"")</f>
      </c>
      <c r="E133" s="6"/>
      <c r="F133" s="6"/>
      <c r="G133" s="6"/>
      <c r="H133" s="6"/>
      <c r="I133" s="6"/>
    </row>
    <row r="134" spans="1:9" x14ac:dyDescent="0.25">
      <c r="A134" s="7"/>
      <c r="B134" s="6"/>
      <c r="C134" s="9">
        <f>IFERROR(INDEX(Pacientes!$A:$A,MATCH($B134,Pacientes!$B:$B,0)),"")</f>
      </c>
      <c r="D134" s="9">
        <f>IFERROR(INDEX(Pacientes!$C:$C,MATCH($B134,Pacientes!$B:$B,0)),"")</f>
      </c>
      <c r="E134" s="6"/>
      <c r="F134" s="6"/>
      <c r="G134" s="6"/>
      <c r="H134" s="6"/>
      <c r="I134" s="6"/>
    </row>
    <row r="135" spans="1:9" x14ac:dyDescent="0.25">
      <c r="A135" s="7"/>
      <c r="B135" s="6"/>
      <c r="C135" s="9">
        <f>IFERROR(INDEX(Pacientes!$A:$A,MATCH($B135,Pacientes!$B:$B,0)),"")</f>
      </c>
      <c r="D135" s="9">
        <f>IFERROR(INDEX(Pacientes!$C:$C,MATCH($B135,Pacientes!$B:$B,0)),"")</f>
      </c>
      <c r="E135" s="6"/>
      <c r="F135" s="6"/>
      <c r="G135" s="6"/>
      <c r="H135" s="6"/>
      <c r="I135" s="6"/>
    </row>
    <row r="136" spans="1:9" x14ac:dyDescent="0.25">
      <c r="A136" s="7"/>
      <c r="B136" s="6"/>
      <c r="C136" s="9">
        <f>IFERROR(INDEX(Pacientes!$A:$A,MATCH($B136,Pacientes!$B:$B,0)),"")</f>
      </c>
      <c r="D136" s="9">
        <f>IFERROR(INDEX(Pacientes!$C:$C,MATCH($B136,Pacientes!$B:$B,0)),"")</f>
      </c>
      <c r="E136" s="6"/>
      <c r="F136" s="6"/>
      <c r="G136" s="6"/>
      <c r="H136" s="6"/>
      <c r="I136" s="6"/>
    </row>
    <row r="137" spans="1:9" x14ac:dyDescent="0.25">
      <c r="A137" s="7"/>
      <c r="B137" s="6"/>
      <c r="C137" s="9">
        <f>IFERROR(INDEX(Pacientes!$A:$A,MATCH($B137,Pacientes!$B:$B,0)),"")</f>
      </c>
      <c r="D137" s="9">
        <f>IFERROR(INDEX(Pacientes!$C:$C,MATCH($B137,Pacientes!$B:$B,0)),"")</f>
      </c>
      <c r="E137" s="6"/>
      <c r="F137" s="6"/>
      <c r="G137" s="6"/>
      <c r="H137" s="6"/>
      <c r="I137" s="6"/>
    </row>
    <row r="138" spans="1:9" x14ac:dyDescent="0.25">
      <c r="A138" s="7"/>
      <c r="B138" s="6"/>
      <c r="C138" s="9">
        <f>IFERROR(INDEX(Pacientes!$A:$A,MATCH($B138,Pacientes!$B:$B,0)),"")</f>
      </c>
      <c r="D138" s="9">
        <f>IFERROR(INDEX(Pacientes!$C:$C,MATCH($B138,Pacientes!$B:$B,0)),"")</f>
      </c>
      <c r="E138" s="6"/>
      <c r="F138" s="6"/>
      <c r="G138" s="6"/>
      <c r="H138" s="6"/>
      <c r="I138" s="6"/>
    </row>
    <row r="139" spans="1:9" x14ac:dyDescent="0.25">
      <c r="A139" s="7"/>
      <c r="B139" s="6"/>
      <c r="C139" s="9">
        <f>IFERROR(INDEX(Pacientes!$A:$A,MATCH($B139,Pacientes!$B:$B,0)),"")</f>
      </c>
      <c r="D139" s="9">
        <f>IFERROR(INDEX(Pacientes!$C:$C,MATCH($B139,Pacientes!$B:$B,0)),"")</f>
      </c>
      <c r="E139" s="6"/>
      <c r="F139" s="6"/>
      <c r="G139" s="6"/>
      <c r="H139" s="6"/>
      <c r="I139" s="6"/>
    </row>
    <row r="140" spans="1:9" x14ac:dyDescent="0.25">
      <c r="A140" s="7"/>
      <c r="B140" s="6"/>
      <c r="C140" s="9">
        <f>IFERROR(INDEX(Pacientes!$A:$A,MATCH($B140,Pacientes!$B:$B,0)),"")</f>
      </c>
      <c r="D140" s="9">
        <f>IFERROR(INDEX(Pacientes!$C:$C,MATCH($B140,Pacientes!$B:$B,0)),"")</f>
      </c>
      <c r="E140" s="6"/>
      <c r="F140" s="6"/>
      <c r="G140" s="6"/>
      <c r="H140" s="6"/>
      <c r="I140" s="6"/>
    </row>
    <row r="141" spans="1:9" x14ac:dyDescent="0.25">
      <c r="A141" s="7"/>
      <c r="B141" s="6"/>
      <c r="C141" s="9">
        <f>IFERROR(INDEX(Pacientes!$A:$A,MATCH($B141,Pacientes!$B:$B,0)),"")</f>
      </c>
      <c r="D141" s="9">
        <f>IFERROR(INDEX(Pacientes!$C:$C,MATCH($B141,Pacientes!$B:$B,0)),"")</f>
      </c>
      <c r="E141" s="6"/>
      <c r="F141" s="6"/>
      <c r="G141" s="6"/>
      <c r="H141" s="6"/>
      <c r="I141" s="6"/>
    </row>
    <row r="142" spans="1:9" x14ac:dyDescent="0.25">
      <c r="A142" s="7"/>
      <c r="B142" s="6"/>
      <c r="C142" s="9">
        <f>IFERROR(INDEX(Pacientes!$A:$A,MATCH($B142,Pacientes!$B:$B,0)),"")</f>
      </c>
      <c r="D142" s="9">
        <f>IFERROR(INDEX(Pacientes!$C:$C,MATCH($B142,Pacientes!$B:$B,0)),"")</f>
      </c>
      <c r="E142" s="6"/>
      <c r="F142" s="6"/>
      <c r="G142" s="6"/>
      <c r="H142" s="6"/>
      <c r="I142" s="6"/>
    </row>
    <row r="143" spans="1:9" x14ac:dyDescent="0.25">
      <c r="A143" s="7"/>
      <c r="B143" s="6"/>
      <c r="C143" s="9">
        <f>IFERROR(INDEX(Pacientes!$A:$A,MATCH($B143,Pacientes!$B:$B,0)),"")</f>
      </c>
      <c r="D143" s="9">
        <f>IFERROR(INDEX(Pacientes!$C:$C,MATCH($B143,Pacientes!$B:$B,0)),"")</f>
      </c>
      <c r="E143" s="6"/>
      <c r="F143" s="6"/>
      <c r="G143" s="6"/>
      <c r="H143" s="6"/>
      <c r="I143" s="6"/>
    </row>
    <row r="144" spans="1:9" x14ac:dyDescent="0.25">
      <c r="A144" s="7"/>
      <c r="B144" s="6"/>
      <c r="C144" s="9">
        <f>IFERROR(INDEX(Pacientes!$A:$A,MATCH($B144,Pacientes!$B:$B,0)),"")</f>
      </c>
      <c r="D144" s="9">
        <f>IFERROR(INDEX(Pacientes!$C:$C,MATCH($B144,Pacientes!$B:$B,0)),"")</f>
      </c>
      <c r="E144" s="6"/>
      <c r="F144" s="6"/>
      <c r="G144" s="6"/>
      <c r="H144" s="6"/>
      <c r="I144" s="6"/>
    </row>
    <row r="145" spans="1:9" x14ac:dyDescent="0.25">
      <c r="A145" s="7"/>
      <c r="B145" s="6"/>
      <c r="C145" s="9">
        <f>IFERROR(INDEX(Pacientes!$A:$A,MATCH($B145,Pacientes!$B:$B,0)),"")</f>
      </c>
      <c r="D145" s="9">
        <f>IFERROR(INDEX(Pacientes!$C:$C,MATCH($B145,Pacientes!$B:$B,0)),"")</f>
      </c>
      <c r="E145" s="6"/>
      <c r="F145" s="6"/>
      <c r="G145" s="6"/>
      <c r="H145" s="6"/>
      <c r="I145" s="6"/>
    </row>
    <row r="146" spans="1:9" x14ac:dyDescent="0.25">
      <c r="A146" s="7"/>
      <c r="B146" s="6"/>
      <c r="C146" s="9">
        <f>IFERROR(INDEX(Pacientes!$A:$A,MATCH($B146,Pacientes!$B:$B,0)),"")</f>
      </c>
      <c r="D146" s="9">
        <f>IFERROR(INDEX(Pacientes!$C:$C,MATCH($B146,Pacientes!$B:$B,0)),"")</f>
      </c>
      <c r="E146" s="6"/>
      <c r="F146" s="6"/>
      <c r="G146" s="6"/>
      <c r="H146" s="6"/>
      <c r="I146" s="6"/>
    </row>
    <row r="147" spans="1:9" x14ac:dyDescent="0.25">
      <c r="A147" s="7"/>
      <c r="B147" s="6"/>
      <c r="C147" s="9">
        <f>IFERROR(INDEX(Pacientes!$A:$A,MATCH($B147,Pacientes!$B:$B,0)),"")</f>
      </c>
      <c r="D147" s="9">
        <f>IFERROR(INDEX(Pacientes!$C:$C,MATCH($B147,Pacientes!$B:$B,0)),"")</f>
      </c>
      <c r="E147" s="6"/>
      <c r="F147" s="6"/>
      <c r="G147" s="6"/>
      <c r="H147" s="6"/>
      <c r="I147" s="6"/>
    </row>
    <row r="148" spans="1:9" x14ac:dyDescent="0.25">
      <c r="A148" s="7"/>
      <c r="B148" s="6"/>
      <c r="C148" s="9">
        <f>IFERROR(INDEX(Pacientes!$A:$A,MATCH($B148,Pacientes!$B:$B,0)),"")</f>
      </c>
      <c r="D148" s="9">
        <f>IFERROR(INDEX(Pacientes!$C:$C,MATCH($B148,Pacientes!$B:$B,0)),"")</f>
      </c>
      <c r="E148" s="6"/>
      <c r="F148" s="6"/>
      <c r="G148" s="6"/>
      <c r="H148" s="6"/>
      <c r="I148" s="6"/>
    </row>
    <row r="149" spans="1:9" x14ac:dyDescent="0.25">
      <c r="A149" s="7"/>
      <c r="B149" s="6"/>
      <c r="C149" s="9">
        <f>IFERROR(INDEX(Pacientes!$A:$A,MATCH($B149,Pacientes!$B:$B,0)),"")</f>
      </c>
      <c r="D149" s="9">
        <f>IFERROR(INDEX(Pacientes!$C:$C,MATCH($B149,Pacientes!$B:$B,0)),"")</f>
      </c>
      <c r="E149" s="6"/>
      <c r="F149" s="6"/>
      <c r="G149" s="6"/>
      <c r="H149" s="6"/>
      <c r="I149" s="6"/>
    </row>
    <row r="150" spans="1:9" x14ac:dyDescent="0.25">
      <c r="A150" s="7"/>
      <c r="B150" s="6"/>
      <c r="C150" s="9">
        <f>IFERROR(INDEX(Pacientes!$A:$A,MATCH($B150,Pacientes!$B:$B,0)),"")</f>
      </c>
      <c r="D150" s="9">
        <f>IFERROR(INDEX(Pacientes!$C:$C,MATCH($B150,Pacientes!$B:$B,0)),"")</f>
      </c>
      <c r="E150" s="6"/>
      <c r="F150" s="6"/>
      <c r="G150" s="6"/>
      <c r="H150" s="6"/>
      <c r="I150" s="6"/>
    </row>
    <row r="151" spans="1:9" x14ac:dyDescent="0.25">
      <c r="A151" s="7"/>
      <c r="B151" s="6"/>
      <c r="C151" s="9">
        <f>IFERROR(INDEX(Pacientes!$A:$A,MATCH($B151,Pacientes!$B:$B,0)),"")</f>
      </c>
      <c r="D151" s="9">
        <f>IFERROR(INDEX(Pacientes!$C:$C,MATCH($B151,Pacientes!$B:$B,0)),"")</f>
      </c>
      <c r="E151" s="6"/>
      <c r="F151" s="6"/>
      <c r="G151" s="6"/>
      <c r="H151" s="6"/>
      <c r="I151" s="6"/>
    </row>
    <row r="152" spans="1:9" x14ac:dyDescent="0.25">
      <c r="A152" s="7"/>
      <c r="B152" s="6"/>
      <c r="C152" s="9">
        <f>IFERROR(INDEX(Pacientes!$A:$A,MATCH($B152,Pacientes!$B:$B,0)),"")</f>
      </c>
      <c r="D152" s="9">
        <f>IFERROR(INDEX(Pacientes!$C:$C,MATCH($B152,Pacientes!$B:$B,0)),"")</f>
      </c>
      <c r="E152" s="6"/>
      <c r="F152" s="6"/>
      <c r="G152" s="6"/>
      <c r="H152" s="6"/>
      <c r="I152" s="6"/>
    </row>
    <row r="153" spans="1:9" x14ac:dyDescent="0.25">
      <c r="A153" s="7"/>
      <c r="B153" s="6"/>
      <c r="C153" s="9">
        <f>IFERROR(INDEX(Pacientes!$A:$A,MATCH($B153,Pacientes!$B:$B,0)),"")</f>
      </c>
      <c r="D153" s="9">
        <f>IFERROR(INDEX(Pacientes!$C:$C,MATCH($B153,Pacientes!$B:$B,0)),"")</f>
      </c>
      <c r="E153" s="6"/>
      <c r="F153" s="6"/>
      <c r="G153" s="6"/>
      <c r="H153" s="6"/>
      <c r="I153" s="6"/>
    </row>
    <row r="154" spans="1:9" x14ac:dyDescent="0.25">
      <c r="A154" s="7"/>
      <c r="B154" s="6"/>
      <c r="C154" s="9">
        <f>IFERROR(INDEX(Pacientes!$A:$A,MATCH($B154,Pacientes!$B:$B,0)),"")</f>
      </c>
      <c r="D154" s="9">
        <f>IFERROR(INDEX(Pacientes!$C:$C,MATCH($B154,Pacientes!$B:$B,0)),"")</f>
      </c>
      <c r="E154" s="6"/>
      <c r="F154" s="6"/>
      <c r="G154" s="6"/>
      <c r="H154" s="6"/>
      <c r="I154" s="6"/>
    </row>
    <row r="155" spans="1:9" x14ac:dyDescent="0.25">
      <c r="A155" s="7"/>
      <c r="B155" s="6"/>
      <c r="C155" s="9">
        <f>IFERROR(INDEX(Pacientes!$A:$A,MATCH($B155,Pacientes!$B:$B,0)),"")</f>
      </c>
      <c r="D155" s="9">
        <f>IFERROR(INDEX(Pacientes!$C:$C,MATCH($B155,Pacientes!$B:$B,0)),"")</f>
      </c>
      <c r="E155" s="6"/>
      <c r="F155" s="6"/>
      <c r="G155" s="6"/>
      <c r="H155" s="6"/>
      <c r="I155" s="6"/>
    </row>
    <row r="156" spans="1:9" x14ac:dyDescent="0.25">
      <c r="A156" s="7"/>
      <c r="B156" s="6"/>
      <c r="C156" s="9">
        <f>IFERROR(INDEX(Pacientes!$A:$A,MATCH($B156,Pacientes!$B:$B,0)),"")</f>
      </c>
      <c r="D156" s="9">
        <f>IFERROR(INDEX(Pacientes!$C:$C,MATCH($B156,Pacientes!$B:$B,0)),"")</f>
      </c>
      <c r="E156" s="6"/>
      <c r="F156" s="6"/>
      <c r="G156" s="6"/>
      <c r="H156" s="6"/>
      <c r="I156" s="6"/>
    </row>
    <row r="157" spans="1:9" x14ac:dyDescent="0.25">
      <c r="A157" s="7"/>
      <c r="B157" s="6"/>
      <c r="C157" s="9">
        <f>IFERROR(INDEX(Pacientes!$A:$A,MATCH($B157,Pacientes!$B:$B,0)),"")</f>
      </c>
      <c r="D157" s="9">
        <f>IFERROR(INDEX(Pacientes!$C:$C,MATCH($B157,Pacientes!$B:$B,0)),"")</f>
      </c>
      <c r="E157" s="6"/>
      <c r="F157" s="6"/>
      <c r="G157" s="6"/>
      <c r="H157" s="6"/>
      <c r="I157" s="6"/>
    </row>
    <row r="158" spans="1:9" x14ac:dyDescent="0.25">
      <c r="A158" s="7"/>
      <c r="B158" s="6"/>
      <c r="C158" s="9">
        <f>IFERROR(INDEX(Pacientes!$A:$A,MATCH($B158,Pacientes!$B:$B,0)),"")</f>
      </c>
      <c r="D158" s="9">
        <f>IFERROR(INDEX(Pacientes!$C:$C,MATCH($B158,Pacientes!$B:$B,0)),"")</f>
      </c>
      <c r="E158" s="6"/>
      <c r="F158" s="6"/>
      <c r="G158" s="6"/>
      <c r="H158" s="6"/>
      <c r="I158" s="6"/>
    </row>
    <row r="159" spans="1:9" x14ac:dyDescent="0.25">
      <c r="A159" s="7"/>
      <c r="B159" s="6"/>
      <c r="C159" s="9">
        <f>IFERROR(INDEX(Pacientes!$A:$A,MATCH($B159,Pacientes!$B:$B,0)),"")</f>
      </c>
      <c r="D159" s="9">
        <f>IFERROR(INDEX(Pacientes!$C:$C,MATCH($B159,Pacientes!$B:$B,0)),"")</f>
      </c>
      <c r="E159" s="6"/>
      <c r="F159" s="6"/>
      <c r="G159" s="6"/>
      <c r="H159" s="6"/>
      <c r="I159" s="6"/>
    </row>
    <row r="160" spans="1:9" x14ac:dyDescent="0.25">
      <c r="A160" s="7"/>
      <c r="B160" s="6"/>
      <c r="C160" s="9">
        <f>IFERROR(INDEX(Pacientes!$A:$A,MATCH($B160,Pacientes!$B:$B,0)),"")</f>
      </c>
      <c r="D160" s="9">
        <f>IFERROR(INDEX(Pacientes!$C:$C,MATCH($B160,Pacientes!$B:$B,0)),"")</f>
      </c>
      <c r="E160" s="6"/>
      <c r="F160" s="6"/>
      <c r="G160" s="6"/>
      <c r="H160" s="6"/>
      <c r="I160" s="6"/>
    </row>
    <row r="161" spans="1:9" x14ac:dyDescent="0.25">
      <c r="A161" s="7"/>
      <c r="B161" s="6"/>
      <c r="C161" s="9">
        <f>IFERROR(INDEX(Pacientes!$A:$A,MATCH($B161,Pacientes!$B:$B,0)),"")</f>
      </c>
      <c r="D161" s="9">
        <f>IFERROR(INDEX(Pacientes!$C:$C,MATCH($B161,Pacientes!$B:$B,0)),"")</f>
      </c>
      <c r="E161" s="6"/>
      <c r="F161" s="6"/>
      <c r="G161" s="6"/>
      <c r="H161" s="6"/>
      <c r="I161" s="6"/>
    </row>
    <row r="162" spans="1:9" x14ac:dyDescent="0.25">
      <c r="A162" s="7"/>
      <c r="B162" s="6"/>
      <c r="C162" s="9">
        <f>IFERROR(INDEX(Pacientes!$A:$A,MATCH($B162,Pacientes!$B:$B,0)),"")</f>
      </c>
      <c r="D162" s="9">
        <f>IFERROR(INDEX(Pacientes!$C:$C,MATCH($B162,Pacientes!$B:$B,0)),"")</f>
      </c>
      <c r="E162" s="6"/>
      <c r="F162" s="6"/>
      <c r="G162" s="6"/>
      <c r="H162" s="6"/>
      <c r="I162" s="6"/>
    </row>
    <row r="163" spans="1:9" x14ac:dyDescent="0.25">
      <c r="A163" s="7"/>
      <c r="B163" s="6"/>
      <c r="C163" s="9">
        <f>IFERROR(INDEX(Pacientes!$A:$A,MATCH($B163,Pacientes!$B:$B,0)),"")</f>
      </c>
      <c r="D163" s="9">
        <f>IFERROR(INDEX(Pacientes!$C:$C,MATCH($B163,Pacientes!$B:$B,0)),"")</f>
      </c>
      <c r="E163" s="6"/>
      <c r="F163" s="6"/>
      <c r="G163" s="6"/>
      <c r="H163" s="6"/>
      <c r="I163" s="6"/>
    </row>
    <row r="164" spans="1:9" x14ac:dyDescent="0.25">
      <c r="A164" s="7"/>
      <c r="B164" s="6"/>
      <c r="C164" s="9">
        <f>IFERROR(INDEX(Pacientes!$A:$A,MATCH($B164,Pacientes!$B:$B,0)),"")</f>
      </c>
      <c r="D164" s="9">
        <f>IFERROR(INDEX(Pacientes!$C:$C,MATCH($B164,Pacientes!$B:$B,0)),"")</f>
      </c>
      <c r="E164" s="6"/>
      <c r="F164" s="6"/>
      <c r="G164" s="6"/>
      <c r="H164" s="6"/>
      <c r="I164" s="6"/>
    </row>
    <row r="165" spans="1:9" x14ac:dyDescent="0.25">
      <c r="A165" s="7"/>
      <c r="B165" s="6"/>
      <c r="C165" s="9">
        <f>IFERROR(INDEX(Pacientes!$A:$A,MATCH($B165,Pacientes!$B:$B,0)),"")</f>
      </c>
      <c r="D165" s="9">
        <f>IFERROR(INDEX(Pacientes!$C:$C,MATCH($B165,Pacientes!$B:$B,0)),"")</f>
      </c>
      <c r="E165" s="6"/>
      <c r="F165" s="6"/>
      <c r="G165" s="6"/>
      <c r="H165" s="6"/>
      <c r="I165" s="6"/>
    </row>
    <row r="166" spans="1:9" x14ac:dyDescent="0.25">
      <c r="A166" s="7"/>
      <c r="B166" s="6"/>
      <c r="C166" s="9">
        <f>IFERROR(INDEX(Pacientes!$A:$A,MATCH($B166,Pacientes!$B:$B,0)),"")</f>
      </c>
      <c r="D166" s="9">
        <f>IFERROR(INDEX(Pacientes!$C:$C,MATCH($B166,Pacientes!$B:$B,0)),"")</f>
      </c>
      <c r="E166" s="6"/>
      <c r="F166" s="6"/>
      <c r="G166" s="6"/>
      <c r="H166" s="6"/>
      <c r="I166" s="6"/>
    </row>
    <row r="167" spans="1:9" x14ac:dyDescent="0.25">
      <c r="A167" s="7"/>
      <c r="B167" s="6"/>
      <c r="C167" s="9">
        <f>IFERROR(INDEX(Pacientes!$A:$A,MATCH($B167,Pacientes!$B:$B,0)),"")</f>
      </c>
      <c r="D167" s="9">
        <f>IFERROR(INDEX(Pacientes!$C:$C,MATCH($B167,Pacientes!$B:$B,0)),"")</f>
      </c>
      <c r="E167" s="6"/>
      <c r="F167" s="6"/>
      <c r="G167" s="6"/>
      <c r="H167" s="6"/>
      <c r="I167" s="6"/>
    </row>
    <row r="168" spans="1:9" x14ac:dyDescent="0.25">
      <c r="A168" s="7"/>
      <c r="B168" s="6"/>
      <c r="C168" s="9">
        <f>IFERROR(INDEX(Pacientes!$A:$A,MATCH($B168,Pacientes!$B:$B,0)),"")</f>
      </c>
      <c r="D168" s="9">
        <f>IFERROR(INDEX(Pacientes!$C:$C,MATCH($B168,Pacientes!$B:$B,0)),"")</f>
      </c>
      <c r="E168" s="6"/>
      <c r="F168" s="6"/>
      <c r="G168" s="6"/>
      <c r="H168" s="6"/>
      <c r="I168" s="6"/>
    </row>
    <row r="169" spans="1:9" x14ac:dyDescent="0.25">
      <c r="A169" s="7"/>
      <c r="B169" s="6"/>
      <c r="C169" s="9">
        <f>IFERROR(INDEX(Pacientes!$A:$A,MATCH($B169,Pacientes!$B:$B,0)),"")</f>
      </c>
      <c r="D169" s="9">
        <f>IFERROR(INDEX(Pacientes!$C:$C,MATCH($B169,Pacientes!$B:$B,0)),"")</f>
      </c>
      <c r="E169" s="6"/>
      <c r="F169" s="6"/>
      <c r="G169" s="6"/>
      <c r="H169" s="6"/>
      <c r="I169" s="6"/>
    </row>
    <row r="170" spans="1:9" x14ac:dyDescent="0.25">
      <c r="A170" s="7"/>
      <c r="B170" s="6"/>
      <c r="C170" s="9">
        <f>IFERROR(INDEX(Pacientes!$A:$A,MATCH($B170,Pacientes!$B:$B,0)),"")</f>
      </c>
      <c r="D170" s="9">
        <f>IFERROR(INDEX(Pacientes!$C:$C,MATCH($B170,Pacientes!$B:$B,0)),"")</f>
      </c>
      <c r="E170" s="6"/>
      <c r="F170" s="6"/>
      <c r="G170" s="6"/>
      <c r="H170" s="6"/>
      <c r="I170" s="6"/>
    </row>
    <row r="171" spans="1:9" x14ac:dyDescent="0.25">
      <c r="A171" s="7"/>
      <c r="B171" s="6"/>
      <c r="C171" s="9">
        <f>IFERROR(INDEX(Pacientes!$A:$A,MATCH($B171,Pacientes!$B:$B,0)),"")</f>
      </c>
      <c r="D171" s="9">
        <f>IFERROR(INDEX(Pacientes!$C:$C,MATCH($B171,Pacientes!$B:$B,0)),"")</f>
      </c>
      <c r="E171" s="6"/>
      <c r="F171" s="6"/>
      <c r="G171" s="6"/>
      <c r="H171" s="6"/>
      <c r="I171" s="6"/>
    </row>
    <row r="172" spans="1:9" x14ac:dyDescent="0.25">
      <c r="A172" s="7"/>
      <c r="B172" s="6"/>
      <c r="C172" s="9">
        <f>IFERROR(INDEX(Pacientes!$A:$A,MATCH($B172,Pacientes!$B:$B,0)),"")</f>
      </c>
      <c r="D172" s="9">
        <f>IFERROR(INDEX(Pacientes!$C:$C,MATCH($B172,Pacientes!$B:$B,0)),"")</f>
      </c>
      <c r="E172" s="6"/>
      <c r="F172" s="6"/>
      <c r="G172" s="6"/>
      <c r="H172" s="6"/>
      <c r="I172" s="6"/>
    </row>
    <row r="173" spans="1:9" x14ac:dyDescent="0.25">
      <c r="A173" s="7"/>
      <c r="B173" s="6"/>
      <c r="C173" s="9">
        <f>IFERROR(INDEX(Pacientes!$A:$A,MATCH($B173,Pacientes!$B:$B,0)),"")</f>
      </c>
      <c r="D173" s="9">
        <f>IFERROR(INDEX(Pacientes!$C:$C,MATCH($B173,Pacientes!$B:$B,0)),"")</f>
      </c>
      <c r="E173" s="6"/>
      <c r="F173" s="6"/>
      <c r="G173" s="6"/>
      <c r="H173" s="6"/>
      <c r="I173" s="6"/>
    </row>
    <row r="174" spans="1:9" x14ac:dyDescent="0.25">
      <c r="A174" s="7"/>
      <c r="B174" s="6"/>
      <c r="C174" s="9">
        <f>IFERROR(INDEX(Pacientes!$A:$A,MATCH($B174,Pacientes!$B:$B,0)),"")</f>
      </c>
      <c r="D174" s="9">
        <f>IFERROR(INDEX(Pacientes!$C:$C,MATCH($B174,Pacientes!$B:$B,0)),"")</f>
      </c>
      <c r="E174" s="6"/>
      <c r="F174" s="6"/>
      <c r="G174" s="6"/>
      <c r="H174" s="6"/>
      <c r="I174" s="6"/>
    </row>
    <row r="175" spans="1:9" x14ac:dyDescent="0.25">
      <c r="A175" s="7"/>
      <c r="B175" s="6"/>
      <c r="C175" s="9">
        <f>IFERROR(INDEX(Pacientes!$A:$A,MATCH($B175,Pacientes!$B:$B,0)),"")</f>
      </c>
      <c r="D175" s="9">
        <f>IFERROR(INDEX(Pacientes!$C:$C,MATCH($B175,Pacientes!$B:$B,0)),"")</f>
      </c>
      <c r="E175" s="6"/>
      <c r="F175" s="6"/>
      <c r="G175" s="6"/>
      <c r="H175" s="6"/>
      <c r="I175" s="6"/>
    </row>
    <row r="176" spans="1:9" x14ac:dyDescent="0.25">
      <c r="A176" s="7"/>
      <c r="B176" s="6"/>
      <c r="C176" s="9">
        <f>IFERROR(INDEX(Pacientes!$A:$A,MATCH($B176,Pacientes!$B:$B,0)),"")</f>
      </c>
      <c r="D176" s="9">
        <f>IFERROR(INDEX(Pacientes!$C:$C,MATCH($B176,Pacientes!$B:$B,0)),"")</f>
      </c>
      <c r="E176" s="6"/>
      <c r="F176" s="6"/>
      <c r="G176" s="6"/>
      <c r="H176" s="6"/>
      <c r="I176" s="6"/>
    </row>
    <row r="177" spans="1:9" x14ac:dyDescent="0.25">
      <c r="A177" s="7"/>
      <c r="B177" s="6"/>
      <c r="C177" s="9">
        <f>IFERROR(INDEX(Pacientes!$A:$A,MATCH($B177,Pacientes!$B:$B,0)),"")</f>
      </c>
      <c r="D177" s="9">
        <f>IFERROR(INDEX(Pacientes!$C:$C,MATCH($B177,Pacientes!$B:$B,0)),"")</f>
      </c>
      <c r="E177" s="6"/>
      <c r="F177" s="6"/>
      <c r="G177" s="6"/>
      <c r="H177" s="6"/>
      <c r="I177" s="6"/>
    </row>
    <row r="178" spans="1:9" x14ac:dyDescent="0.25">
      <c r="A178" s="7"/>
      <c r="B178" s="6"/>
      <c r="C178" s="9">
        <f>IFERROR(INDEX(Pacientes!$A:$A,MATCH($B178,Pacientes!$B:$B,0)),"")</f>
      </c>
      <c r="D178" s="9">
        <f>IFERROR(INDEX(Pacientes!$C:$C,MATCH($B178,Pacientes!$B:$B,0)),"")</f>
      </c>
      <c r="E178" s="6"/>
      <c r="F178" s="6"/>
      <c r="G178" s="6"/>
      <c r="H178" s="6"/>
      <c r="I178" s="6"/>
    </row>
    <row r="179" spans="1:9" x14ac:dyDescent="0.25">
      <c r="A179" s="7"/>
      <c r="B179" s="6"/>
      <c r="C179" s="9">
        <f>IFERROR(INDEX(Pacientes!$A:$A,MATCH($B179,Pacientes!$B:$B,0)),"")</f>
      </c>
      <c r="D179" s="9">
        <f>IFERROR(INDEX(Pacientes!$C:$C,MATCH($B179,Pacientes!$B:$B,0)),"")</f>
      </c>
      <c r="E179" s="6"/>
      <c r="F179" s="6"/>
      <c r="G179" s="6"/>
      <c r="H179" s="6"/>
      <c r="I179" s="6"/>
    </row>
    <row r="180" spans="1:9" x14ac:dyDescent="0.25">
      <c r="A180" s="7"/>
      <c r="B180" s="6"/>
      <c r="C180" s="9">
        <f>IFERROR(INDEX(Pacientes!$A:$A,MATCH($B180,Pacientes!$B:$B,0)),"")</f>
      </c>
      <c r="D180" s="9">
        <f>IFERROR(INDEX(Pacientes!$C:$C,MATCH($B180,Pacientes!$B:$B,0)),"")</f>
      </c>
      <c r="E180" s="6"/>
      <c r="F180" s="6"/>
      <c r="G180" s="6"/>
      <c r="H180" s="6"/>
      <c r="I180" s="6"/>
    </row>
    <row r="181" spans="1:9" x14ac:dyDescent="0.25">
      <c r="A181" s="7"/>
      <c r="B181" s="6"/>
      <c r="C181" s="9">
        <f>IFERROR(INDEX(Pacientes!$A:$A,MATCH($B181,Pacientes!$B:$B,0)),"")</f>
      </c>
      <c r="D181" s="9">
        <f>IFERROR(INDEX(Pacientes!$C:$C,MATCH($B181,Pacientes!$B:$B,0)),"")</f>
      </c>
      <c r="E181" s="6"/>
      <c r="F181" s="6"/>
      <c r="G181" s="6"/>
      <c r="H181" s="6"/>
      <c r="I181" s="6"/>
    </row>
    <row r="182" spans="1:9" x14ac:dyDescent="0.25">
      <c r="A182" s="7"/>
      <c r="B182" s="6"/>
      <c r="C182" s="9">
        <f>IFERROR(INDEX(Pacientes!$A:$A,MATCH($B182,Pacientes!$B:$B,0)),"")</f>
      </c>
      <c r="D182" s="9">
        <f>IFERROR(INDEX(Pacientes!$C:$C,MATCH($B182,Pacientes!$B:$B,0)),"")</f>
      </c>
      <c r="E182" s="6"/>
      <c r="F182" s="6"/>
      <c r="G182" s="6"/>
      <c r="H182" s="6"/>
      <c r="I182" s="6"/>
    </row>
    <row r="183" spans="1:9" x14ac:dyDescent="0.25">
      <c r="A183" s="7"/>
      <c r="B183" s="6"/>
      <c r="C183" s="9">
        <f>IFERROR(INDEX(Pacientes!$A:$A,MATCH($B183,Pacientes!$B:$B,0)),"")</f>
      </c>
      <c r="D183" s="9">
        <f>IFERROR(INDEX(Pacientes!$C:$C,MATCH($B183,Pacientes!$B:$B,0)),"")</f>
      </c>
      <c r="E183" s="6"/>
      <c r="F183" s="6"/>
      <c r="G183" s="6"/>
      <c r="H183" s="6"/>
      <c r="I183" s="6"/>
    </row>
    <row r="184" spans="1:9" x14ac:dyDescent="0.25">
      <c r="A184" s="7"/>
      <c r="B184" s="6"/>
      <c r="C184" s="9">
        <f>IFERROR(INDEX(Pacientes!$A:$A,MATCH($B184,Pacientes!$B:$B,0)),"")</f>
      </c>
      <c r="D184" s="9">
        <f>IFERROR(INDEX(Pacientes!$C:$C,MATCH($B184,Pacientes!$B:$B,0)),"")</f>
      </c>
      <c r="E184" s="6"/>
      <c r="F184" s="6"/>
      <c r="G184" s="6"/>
      <c r="H184" s="6"/>
      <c r="I184" s="6"/>
    </row>
    <row r="185" spans="1:9" x14ac:dyDescent="0.25">
      <c r="A185" s="7"/>
      <c r="B185" s="6"/>
      <c r="C185" s="9">
        <f>IFERROR(INDEX(Pacientes!$A:$A,MATCH($B185,Pacientes!$B:$B,0)),"")</f>
      </c>
      <c r="D185" s="9">
        <f>IFERROR(INDEX(Pacientes!$C:$C,MATCH($B185,Pacientes!$B:$B,0)),"")</f>
      </c>
      <c r="E185" s="6"/>
      <c r="F185" s="6"/>
      <c r="G185" s="6"/>
      <c r="H185" s="6"/>
      <c r="I185" s="6"/>
    </row>
    <row r="186" spans="1:9" x14ac:dyDescent="0.25">
      <c r="A186" s="7"/>
      <c r="B186" s="6"/>
      <c r="C186" s="9">
        <f>IFERROR(INDEX(Pacientes!$A:$A,MATCH($B186,Pacientes!$B:$B,0)),"")</f>
      </c>
      <c r="D186" s="9">
        <f>IFERROR(INDEX(Pacientes!$C:$C,MATCH($B186,Pacientes!$B:$B,0)),"")</f>
      </c>
      <c r="E186" s="6"/>
      <c r="F186" s="6"/>
      <c r="G186" s="6"/>
      <c r="H186" s="6"/>
      <c r="I186" s="6"/>
    </row>
    <row r="187" spans="1:9" x14ac:dyDescent="0.25">
      <c r="A187" s="7"/>
      <c r="B187" s="6"/>
      <c r="C187" s="9">
        <f>IFERROR(INDEX(Pacientes!$A:$A,MATCH($B187,Pacientes!$B:$B,0)),"")</f>
      </c>
      <c r="D187" s="9">
        <f>IFERROR(INDEX(Pacientes!$C:$C,MATCH($B187,Pacientes!$B:$B,0)),"")</f>
      </c>
      <c r="E187" s="6"/>
      <c r="F187" s="6"/>
      <c r="G187" s="6"/>
      <c r="H187" s="6"/>
      <c r="I187" s="6"/>
    </row>
    <row r="188" spans="1:9" x14ac:dyDescent="0.25">
      <c r="A188" s="7"/>
      <c r="B188" s="6"/>
      <c r="C188" s="9">
        <f>IFERROR(INDEX(Pacientes!$A:$A,MATCH($B188,Pacientes!$B:$B,0)),"")</f>
      </c>
      <c r="D188" s="9">
        <f>IFERROR(INDEX(Pacientes!$C:$C,MATCH($B188,Pacientes!$B:$B,0)),"")</f>
      </c>
      <c r="E188" s="6"/>
      <c r="F188" s="6"/>
      <c r="G188" s="6"/>
      <c r="H188" s="6"/>
      <c r="I188" s="6"/>
    </row>
    <row r="189" spans="1:9" x14ac:dyDescent="0.25">
      <c r="A189" s="7"/>
      <c r="B189" s="6"/>
      <c r="C189" s="9">
        <f>IFERROR(INDEX(Pacientes!$A:$A,MATCH($B189,Pacientes!$B:$B,0)),"")</f>
      </c>
      <c r="D189" s="9">
        <f>IFERROR(INDEX(Pacientes!$C:$C,MATCH($B189,Pacientes!$B:$B,0)),"")</f>
      </c>
      <c r="E189" s="6"/>
      <c r="F189" s="6"/>
      <c r="G189" s="6"/>
      <c r="H189" s="6"/>
      <c r="I189" s="6"/>
    </row>
    <row r="190" spans="1:9" x14ac:dyDescent="0.25">
      <c r="A190" s="7"/>
      <c r="B190" s="6"/>
      <c r="C190" s="9">
        <f>IFERROR(INDEX(Pacientes!$A:$A,MATCH($B190,Pacientes!$B:$B,0)),"")</f>
      </c>
      <c r="D190" s="9">
        <f>IFERROR(INDEX(Pacientes!$C:$C,MATCH($B190,Pacientes!$B:$B,0)),"")</f>
      </c>
      <c r="E190" s="6"/>
      <c r="F190" s="6"/>
      <c r="G190" s="6"/>
      <c r="H190" s="6"/>
      <c r="I190" s="6"/>
    </row>
    <row r="191" spans="1:9" x14ac:dyDescent="0.25">
      <c r="A191" s="7"/>
      <c r="B191" s="6"/>
      <c r="C191" s="9">
        <f>IFERROR(INDEX(Pacientes!$A:$A,MATCH($B191,Pacientes!$B:$B,0)),"")</f>
      </c>
      <c r="D191" s="9">
        <f>IFERROR(INDEX(Pacientes!$C:$C,MATCH($B191,Pacientes!$B:$B,0)),"")</f>
      </c>
      <c r="E191" s="6"/>
      <c r="F191" s="6"/>
      <c r="G191" s="6"/>
      <c r="H191" s="6"/>
      <c r="I191" s="6"/>
    </row>
    <row r="192" spans="1:9" x14ac:dyDescent="0.25">
      <c r="A192" s="7"/>
      <c r="B192" s="6"/>
      <c r="C192" s="9">
        <f>IFERROR(INDEX(Pacientes!$A:$A,MATCH($B192,Pacientes!$B:$B,0)),"")</f>
      </c>
      <c r="D192" s="9">
        <f>IFERROR(INDEX(Pacientes!$C:$C,MATCH($B192,Pacientes!$B:$B,0)),"")</f>
      </c>
      <c r="E192" s="6"/>
      <c r="F192" s="6"/>
      <c r="G192" s="6"/>
      <c r="H192" s="6"/>
      <c r="I192" s="6"/>
    </row>
    <row r="193" spans="1:9" x14ac:dyDescent="0.25">
      <c r="A193" s="7"/>
      <c r="B193" s="6"/>
      <c r="C193" s="9">
        <f>IFERROR(INDEX(Pacientes!$A:$A,MATCH($B193,Pacientes!$B:$B,0)),"")</f>
      </c>
      <c r="D193" s="9">
        <f>IFERROR(INDEX(Pacientes!$C:$C,MATCH($B193,Pacientes!$B:$B,0)),"")</f>
      </c>
      <c r="E193" s="6"/>
      <c r="F193" s="6"/>
      <c r="G193" s="6"/>
      <c r="H193" s="6"/>
      <c r="I193" s="6"/>
    </row>
    <row r="194" spans="1:9" x14ac:dyDescent="0.25">
      <c r="A194" s="7"/>
      <c r="B194" s="6"/>
      <c r="C194" s="9">
        <f>IFERROR(INDEX(Pacientes!$A:$A,MATCH($B194,Pacientes!$B:$B,0)),"")</f>
      </c>
      <c r="D194" s="9">
        <f>IFERROR(INDEX(Pacientes!$C:$C,MATCH($B194,Pacientes!$B:$B,0)),"")</f>
      </c>
      <c r="E194" s="6"/>
      <c r="F194" s="6"/>
      <c r="G194" s="6"/>
      <c r="H194" s="6"/>
      <c r="I194" s="6"/>
    </row>
    <row r="195" spans="1:9" x14ac:dyDescent="0.25">
      <c r="A195" s="7"/>
      <c r="B195" s="6"/>
      <c r="C195" s="9">
        <f>IFERROR(INDEX(Pacientes!$A:$A,MATCH($B195,Pacientes!$B:$B,0)),"")</f>
      </c>
      <c r="D195" s="9">
        <f>IFERROR(INDEX(Pacientes!$C:$C,MATCH($B195,Pacientes!$B:$B,0)),"")</f>
      </c>
      <c r="E195" s="6"/>
      <c r="F195" s="6"/>
      <c r="G195" s="6"/>
      <c r="H195" s="6"/>
      <c r="I195" s="6"/>
    </row>
    <row r="196" spans="1:9" x14ac:dyDescent="0.25">
      <c r="A196" s="7"/>
      <c r="B196" s="6"/>
      <c r="C196" s="9">
        <f>IFERROR(INDEX(Pacientes!$A:$A,MATCH($B196,Pacientes!$B:$B,0)),"")</f>
      </c>
      <c r="D196" s="9">
        <f>IFERROR(INDEX(Pacientes!$C:$C,MATCH($B196,Pacientes!$B:$B,0)),"")</f>
      </c>
      <c r="E196" s="6"/>
      <c r="F196" s="6"/>
      <c r="G196" s="6"/>
      <c r="H196" s="6"/>
      <c r="I196" s="6"/>
    </row>
    <row r="197" spans="1:9" x14ac:dyDescent="0.25">
      <c r="A197" s="7"/>
      <c r="B197" s="6"/>
      <c r="C197" s="9">
        <f>IFERROR(INDEX(Pacientes!$A:$A,MATCH($B197,Pacientes!$B:$B,0)),"")</f>
      </c>
      <c r="D197" s="9">
        <f>IFERROR(INDEX(Pacientes!$C:$C,MATCH($B197,Pacientes!$B:$B,0)),"")</f>
      </c>
      <c r="E197" s="6"/>
      <c r="F197" s="6"/>
      <c r="G197" s="6"/>
      <c r="H197" s="6"/>
      <c r="I197" s="6"/>
    </row>
    <row r="198" spans="1:9" x14ac:dyDescent="0.25">
      <c r="A198" s="7"/>
      <c r="B198" s="6"/>
      <c r="C198" s="9">
        <f>IFERROR(INDEX(Pacientes!$A:$A,MATCH($B198,Pacientes!$B:$B,0)),"")</f>
      </c>
      <c r="D198" s="9">
        <f>IFERROR(INDEX(Pacientes!$C:$C,MATCH($B198,Pacientes!$B:$B,0)),"")</f>
      </c>
      <c r="E198" s="6"/>
      <c r="F198" s="6"/>
      <c r="G198" s="6"/>
      <c r="H198" s="6"/>
      <c r="I198" s="6"/>
    </row>
    <row r="199" spans="1:9" x14ac:dyDescent="0.25">
      <c r="A199" s="7"/>
      <c r="B199" s="6"/>
      <c r="C199" s="9">
        <f>IFERROR(INDEX(Pacientes!$A:$A,MATCH($B199,Pacientes!$B:$B,0)),"")</f>
      </c>
      <c r="D199" s="9">
        <f>IFERROR(INDEX(Pacientes!$C:$C,MATCH($B199,Pacientes!$B:$B,0)),"")</f>
      </c>
      <c r="E199" s="6"/>
      <c r="F199" s="6"/>
      <c r="G199" s="6"/>
      <c r="H199" s="6"/>
      <c r="I199" s="6"/>
    </row>
    <row r="200" spans="1:9" x14ac:dyDescent="0.25">
      <c r="A200" s="7"/>
      <c r="B200" s="6"/>
      <c r="C200" s="9">
        <f>IFERROR(INDEX(Pacientes!$A:$A,MATCH($B200,Pacientes!$B:$B,0)),"")</f>
      </c>
      <c r="D200" s="9">
        <f>IFERROR(INDEX(Pacientes!$C:$C,MATCH($B200,Pacientes!$B:$B,0)),"")</f>
      </c>
      <c r="E200" s="6"/>
      <c r="F200" s="6"/>
      <c r="G200" s="6"/>
      <c r="H200" s="6"/>
      <c r="I200" s="6"/>
    </row>
    <row r="201" spans="1:9" x14ac:dyDescent="0.25">
      <c r="A201" s="7"/>
      <c r="B201" s="6"/>
      <c r="C201" s="9">
        <f>IFERROR(INDEX(Pacientes!$A:$A,MATCH($B201,Pacientes!$B:$B,0)),"")</f>
      </c>
      <c r="D201" s="9">
        <f>IFERROR(INDEX(Pacientes!$C:$C,MATCH($B201,Pacientes!$B:$B,0)),"")</f>
      </c>
      <c r="E201" s="6"/>
      <c r="F201" s="6"/>
      <c r="G201" s="6"/>
      <c r="H201" s="6"/>
      <c r="I201" s="6"/>
    </row>
    <row r="202" spans="1:9" x14ac:dyDescent="0.25">
      <c r="A202" s="7"/>
      <c r="B202" s="6"/>
      <c r="C202" s="9">
        <f>IFERROR(INDEX(Pacientes!$A:$A,MATCH($B202,Pacientes!$B:$B,0)),"")</f>
      </c>
      <c r="D202" s="9">
        <f>IFERROR(INDEX(Pacientes!$C:$C,MATCH($B202,Pacientes!$B:$B,0)),"")</f>
      </c>
      <c r="E202" s="6"/>
      <c r="F202" s="6"/>
      <c r="G202" s="6"/>
      <c r="H202" s="6"/>
      <c r="I202" s="6"/>
    </row>
    <row r="203" spans="1:9" x14ac:dyDescent="0.25">
      <c r="A203" s="7"/>
      <c r="B203" s="6"/>
      <c r="C203" s="9">
        <f>IFERROR(INDEX(Pacientes!$A:$A,MATCH($B203,Pacientes!$B:$B,0)),"")</f>
      </c>
      <c r="D203" s="9">
        <f>IFERROR(INDEX(Pacientes!$C:$C,MATCH($B203,Pacientes!$B:$B,0)),"")</f>
      </c>
      <c r="E203" s="6"/>
      <c r="F203" s="6"/>
      <c r="G203" s="6"/>
      <c r="H203" s="6"/>
      <c r="I203" s="6"/>
    </row>
    <row r="204" spans="1:9" x14ac:dyDescent="0.25">
      <c r="A204" s="7"/>
      <c r="B204" s="6"/>
      <c r="C204" s="9">
        <f>IFERROR(INDEX(Pacientes!$A:$A,MATCH($B204,Pacientes!$B:$B,0)),"")</f>
      </c>
      <c r="D204" s="9">
        <f>IFERROR(INDEX(Pacientes!$C:$C,MATCH($B204,Pacientes!$B:$B,0)),"")</f>
      </c>
      <c r="E204" s="6"/>
      <c r="F204" s="6"/>
      <c r="G204" s="6"/>
      <c r="H204" s="6"/>
      <c r="I204" s="6"/>
    </row>
    <row r="205" spans="1:9" x14ac:dyDescent="0.25">
      <c r="A205" s="7"/>
      <c r="B205" s="6"/>
      <c r="C205" s="9">
        <f>IFERROR(INDEX(Pacientes!$A:$A,MATCH($B205,Pacientes!$B:$B,0)),"")</f>
      </c>
      <c r="D205" s="9">
        <f>IFERROR(INDEX(Pacientes!$C:$C,MATCH($B205,Pacientes!$B:$B,0)),"")</f>
      </c>
      <c r="E205" s="6"/>
      <c r="F205" s="6"/>
      <c r="G205" s="6"/>
      <c r="H205" s="6"/>
      <c r="I205" s="6"/>
    </row>
    <row r="206" spans="1:9" x14ac:dyDescent="0.25">
      <c r="A206" s="7"/>
      <c r="B206" s="6"/>
      <c r="C206" s="9">
        <f>IFERROR(INDEX(Pacientes!$A:$A,MATCH($B206,Pacientes!$B:$B,0)),"")</f>
      </c>
      <c r="D206" s="9">
        <f>IFERROR(INDEX(Pacientes!$C:$C,MATCH($B206,Pacientes!$B:$B,0)),"")</f>
      </c>
      <c r="E206" s="6"/>
      <c r="F206" s="6"/>
      <c r="G206" s="6"/>
      <c r="H206" s="6"/>
      <c r="I206" s="6"/>
    </row>
    <row r="207" spans="1:9" x14ac:dyDescent="0.25">
      <c r="A207" s="7"/>
      <c r="B207" s="6"/>
      <c r="C207" s="9">
        <f>IFERROR(INDEX(Pacientes!$A:$A,MATCH($B207,Pacientes!$B:$B,0)),"")</f>
      </c>
      <c r="D207" s="9">
        <f>IFERROR(INDEX(Pacientes!$C:$C,MATCH($B207,Pacientes!$B:$B,0)),"")</f>
      </c>
      <c r="E207" s="6"/>
      <c r="F207" s="6"/>
      <c r="G207" s="6"/>
      <c r="H207" s="6"/>
      <c r="I207" s="6"/>
    </row>
    <row r="208" spans="1:9" x14ac:dyDescent="0.25">
      <c r="A208" s="7"/>
      <c r="B208" s="6"/>
      <c r="C208" s="9">
        <f>IFERROR(INDEX(Pacientes!$A:$A,MATCH($B208,Pacientes!$B:$B,0)),"")</f>
      </c>
      <c r="D208" s="9">
        <f>IFERROR(INDEX(Pacientes!$C:$C,MATCH($B208,Pacientes!$B:$B,0)),"")</f>
      </c>
      <c r="E208" s="6"/>
      <c r="F208" s="6"/>
      <c r="G208" s="6"/>
      <c r="H208" s="6"/>
      <c r="I208" s="6"/>
    </row>
    <row r="209" spans="1:9" x14ac:dyDescent="0.25">
      <c r="A209" s="7"/>
      <c r="B209" s="6"/>
      <c r="C209" s="9">
        <f>IFERROR(INDEX(Pacientes!$A:$A,MATCH($B209,Pacientes!$B:$B,0)),"")</f>
      </c>
      <c r="D209" s="9">
        <f>IFERROR(INDEX(Pacientes!$C:$C,MATCH($B209,Pacientes!$B:$B,0)),"")</f>
      </c>
      <c r="E209" s="6"/>
      <c r="F209" s="6"/>
      <c r="G209" s="6"/>
      <c r="H209" s="6"/>
      <c r="I209" s="6"/>
    </row>
    <row r="210" spans="1:9" x14ac:dyDescent="0.25">
      <c r="A210" s="7"/>
      <c r="B210" s="6"/>
      <c r="C210" s="9">
        <f>IFERROR(INDEX(Pacientes!$A:$A,MATCH($B210,Pacientes!$B:$B,0)),"")</f>
      </c>
      <c r="D210" s="9">
        <f>IFERROR(INDEX(Pacientes!$C:$C,MATCH($B210,Pacientes!$B:$B,0)),"")</f>
      </c>
      <c r="E210" s="6"/>
      <c r="F210" s="6"/>
      <c r="G210" s="6"/>
      <c r="H210" s="6"/>
      <c r="I210" s="6"/>
    </row>
    <row r="211" spans="1:9" x14ac:dyDescent="0.25">
      <c r="A211" s="7"/>
      <c r="B211" s="6"/>
      <c r="C211" s="9">
        <f>IFERROR(INDEX(Pacientes!$A:$A,MATCH($B211,Pacientes!$B:$B,0)),"")</f>
      </c>
      <c r="D211" s="9">
        <f>IFERROR(INDEX(Pacientes!$C:$C,MATCH($B211,Pacientes!$B:$B,0)),"")</f>
      </c>
      <c r="E211" s="6"/>
      <c r="F211" s="6"/>
      <c r="G211" s="6"/>
      <c r="H211" s="6"/>
      <c r="I211" s="6"/>
    </row>
    <row r="212" spans="1:9" x14ac:dyDescent="0.25">
      <c r="A212" s="7"/>
      <c r="B212" s="6"/>
      <c r="C212" s="9">
        <f>IFERROR(INDEX(Pacientes!$A:$A,MATCH($B212,Pacientes!$B:$B,0)),"")</f>
      </c>
      <c r="D212" s="9">
        <f>IFERROR(INDEX(Pacientes!$C:$C,MATCH($B212,Pacientes!$B:$B,0)),"")</f>
      </c>
      <c r="E212" s="6"/>
      <c r="F212" s="6"/>
      <c r="G212" s="6"/>
      <c r="H212" s="6"/>
      <c r="I212" s="6"/>
    </row>
    <row r="213" spans="1:9" x14ac:dyDescent="0.25">
      <c r="A213" s="7"/>
      <c r="B213" s="6"/>
      <c r="C213" s="9">
        <f>IFERROR(INDEX(Pacientes!$A:$A,MATCH($B213,Pacientes!$B:$B,0)),"")</f>
      </c>
      <c r="D213" s="9">
        <f>IFERROR(INDEX(Pacientes!$C:$C,MATCH($B213,Pacientes!$B:$B,0)),"")</f>
      </c>
      <c r="E213" s="6"/>
      <c r="F213" s="6"/>
      <c r="G213" s="6"/>
      <c r="H213" s="6"/>
      <c r="I213" s="6"/>
    </row>
    <row r="214" spans="1:9" x14ac:dyDescent="0.25">
      <c r="A214" s="7"/>
      <c r="B214" s="6"/>
      <c r="C214" s="9">
        <f>IFERROR(INDEX(Pacientes!$A:$A,MATCH($B214,Pacientes!$B:$B,0)),"")</f>
      </c>
      <c r="D214" s="9">
        <f>IFERROR(INDEX(Pacientes!$C:$C,MATCH($B214,Pacientes!$B:$B,0)),"")</f>
      </c>
      <c r="E214" s="6"/>
      <c r="F214" s="6"/>
      <c r="G214" s="6"/>
      <c r="H214" s="6"/>
      <c r="I214" s="6"/>
    </row>
    <row r="215" spans="1:9" x14ac:dyDescent="0.25">
      <c r="A215" s="7"/>
      <c r="B215" s="6"/>
      <c r="C215" s="9">
        <f>IFERROR(INDEX(Pacientes!$A:$A,MATCH($B215,Pacientes!$B:$B,0)),"")</f>
      </c>
      <c r="D215" s="9">
        <f>IFERROR(INDEX(Pacientes!$C:$C,MATCH($B215,Pacientes!$B:$B,0)),"")</f>
      </c>
      <c r="E215" s="6"/>
      <c r="F215" s="6"/>
      <c r="G215" s="6"/>
      <c r="H215" s="6"/>
      <c r="I215" s="6"/>
    </row>
    <row r="216" spans="1:9" x14ac:dyDescent="0.25">
      <c r="A216" s="7"/>
      <c r="B216" s="6"/>
      <c r="C216" s="9">
        <f>IFERROR(INDEX(Pacientes!$A:$A,MATCH($B216,Pacientes!$B:$B,0)),"")</f>
      </c>
      <c r="D216" s="9">
        <f>IFERROR(INDEX(Pacientes!$C:$C,MATCH($B216,Pacientes!$B:$B,0)),"")</f>
      </c>
      <c r="E216" s="6"/>
      <c r="F216" s="6"/>
      <c r="G216" s="6"/>
      <c r="H216" s="6"/>
      <c r="I216" s="6"/>
    </row>
    <row r="217" spans="1:9" x14ac:dyDescent="0.25">
      <c r="A217" s="7"/>
      <c r="B217" s="6"/>
      <c r="C217" s="9">
        <f>IFERROR(INDEX(Pacientes!$A:$A,MATCH($B217,Pacientes!$B:$B,0)),"")</f>
      </c>
      <c r="D217" s="9">
        <f>IFERROR(INDEX(Pacientes!$C:$C,MATCH($B217,Pacientes!$B:$B,0)),"")</f>
      </c>
      <c r="E217" s="6"/>
      <c r="F217" s="6"/>
      <c r="G217" s="6"/>
      <c r="H217" s="6"/>
      <c r="I217" s="6"/>
    </row>
    <row r="218" spans="1:9" x14ac:dyDescent="0.25">
      <c r="A218" s="7"/>
      <c r="B218" s="6"/>
      <c r="C218" s="9">
        <f>IFERROR(INDEX(Pacientes!$A:$A,MATCH($B218,Pacientes!$B:$B,0)),"")</f>
      </c>
      <c r="D218" s="9">
        <f>IFERROR(INDEX(Pacientes!$C:$C,MATCH($B218,Pacientes!$B:$B,0)),"")</f>
      </c>
      <c r="E218" s="6"/>
      <c r="F218" s="6"/>
      <c r="G218" s="6"/>
      <c r="H218" s="6"/>
      <c r="I218" s="6"/>
    </row>
    <row r="219" spans="1:9" x14ac:dyDescent="0.25">
      <c r="A219" s="7"/>
      <c r="B219" s="6"/>
      <c r="C219" s="9">
        <f>IFERROR(INDEX(Pacientes!$A:$A,MATCH($B219,Pacientes!$B:$B,0)),"")</f>
      </c>
      <c r="D219" s="9">
        <f>IFERROR(INDEX(Pacientes!$C:$C,MATCH($B219,Pacientes!$B:$B,0)),"")</f>
      </c>
      <c r="E219" s="6"/>
      <c r="F219" s="6"/>
      <c r="G219" s="6"/>
      <c r="H219" s="6"/>
      <c r="I219" s="6"/>
    </row>
    <row r="220" spans="1:9" x14ac:dyDescent="0.25">
      <c r="A220" s="7"/>
      <c r="B220" s="6"/>
      <c r="C220" s="9">
        <f>IFERROR(INDEX(Pacientes!$A:$A,MATCH($B220,Pacientes!$B:$B,0)),"")</f>
      </c>
      <c r="D220" s="9">
        <f>IFERROR(INDEX(Pacientes!$C:$C,MATCH($B220,Pacientes!$B:$B,0)),"")</f>
      </c>
      <c r="E220" s="6"/>
      <c r="F220" s="6"/>
      <c r="G220" s="6"/>
      <c r="H220" s="6"/>
      <c r="I220" s="6"/>
    </row>
    <row r="221" spans="1:9" x14ac:dyDescent="0.25">
      <c r="A221" s="7"/>
      <c r="B221" s="6"/>
      <c r="C221" s="9">
        <f>IFERROR(INDEX(Pacientes!$A:$A,MATCH($B221,Pacientes!$B:$B,0)),"")</f>
      </c>
      <c r="D221" s="9">
        <f>IFERROR(INDEX(Pacientes!$C:$C,MATCH($B221,Pacientes!$B:$B,0)),"")</f>
      </c>
      <c r="E221" s="6"/>
      <c r="F221" s="6"/>
      <c r="G221" s="6"/>
      <c r="H221" s="6"/>
      <c r="I221" s="6"/>
    </row>
    <row r="222" spans="1:9" x14ac:dyDescent="0.25">
      <c r="A222" s="7"/>
      <c r="B222" s="6"/>
      <c r="C222" s="9">
        <f>IFERROR(INDEX(Pacientes!$A:$A,MATCH($B222,Pacientes!$B:$B,0)),"")</f>
      </c>
      <c r="D222" s="9">
        <f>IFERROR(INDEX(Pacientes!$C:$C,MATCH($B222,Pacientes!$B:$B,0)),"")</f>
      </c>
      <c r="E222" s="6"/>
      <c r="F222" s="6"/>
      <c r="G222" s="6"/>
      <c r="H222" s="6"/>
      <c r="I222" s="6"/>
    </row>
    <row r="223" spans="1:9" x14ac:dyDescent="0.25">
      <c r="A223" s="7"/>
      <c r="B223" s="6"/>
      <c r="C223" s="9">
        <f>IFERROR(INDEX(Pacientes!$A:$A,MATCH($B223,Pacientes!$B:$B,0)),"")</f>
      </c>
      <c r="D223" s="9">
        <f>IFERROR(INDEX(Pacientes!$C:$C,MATCH($B223,Pacientes!$B:$B,0)),"")</f>
      </c>
      <c r="E223" s="6"/>
      <c r="F223" s="6"/>
      <c r="G223" s="6"/>
      <c r="H223" s="6"/>
      <c r="I223" s="6"/>
    </row>
    <row r="224" spans="1:9" x14ac:dyDescent="0.25">
      <c r="A224" s="7"/>
      <c r="B224" s="6"/>
      <c r="C224" s="9">
        <f>IFERROR(INDEX(Pacientes!$A:$A,MATCH($B224,Pacientes!$B:$B,0)),"")</f>
      </c>
      <c r="D224" s="9">
        <f>IFERROR(INDEX(Pacientes!$C:$C,MATCH($B224,Pacientes!$B:$B,0)),"")</f>
      </c>
      <c r="E224" s="6"/>
      <c r="F224" s="6"/>
      <c r="G224" s="6"/>
      <c r="H224" s="6"/>
      <c r="I224" s="6"/>
    </row>
    <row r="225" spans="1:9" x14ac:dyDescent="0.25">
      <c r="A225" s="7"/>
      <c r="B225" s="6"/>
      <c r="C225" s="9">
        <f>IFERROR(INDEX(Pacientes!$A:$A,MATCH($B225,Pacientes!$B:$B,0)),"")</f>
      </c>
      <c r="D225" s="9">
        <f>IFERROR(INDEX(Pacientes!$C:$C,MATCH($B225,Pacientes!$B:$B,0)),"")</f>
      </c>
      <c r="E225" s="6"/>
      <c r="F225" s="6"/>
      <c r="G225" s="6"/>
      <c r="H225" s="6"/>
      <c r="I225" s="6"/>
    </row>
    <row r="226" spans="1:9" x14ac:dyDescent="0.25">
      <c r="A226" s="7"/>
      <c r="B226" s="6"/>
      <c r="C226" s="9">
        <f>IFERROR(INDEX(Pacientes!$A:$A,MATCH($B226,Pacientes!$B:$B,0)),"")</f>
      </c>
      <c r="D226" s="9">
        <f>IFERROR(INDEX(Pacientes!$C:$C,MATCH($B226,Pacientes!$B:$B,0)),"")</f>
      </c>
      <c r="E226" s="6"/>
      <c r="F226" s="6"/>
      <c r="G226" s="6"/>
      <c r="H226" s="6"/>
      <c r="I226" s="6"/>
    </row>
    <row r="227" spans="1:9" x14ac:dyDescent="0.25">
      <c r="A227" s="7"/>
      <c r="B227" s="6"/>
      <c r="C227" s="9">
        <f>IFERROR(INDEX(Pacientes!$A:$A,MATCH($B227,Pacientes!$B:$B,0)),"")</f>
      </c>
      <c r="D227" s="9">
        <f>IFERROR(INDEX(Pacientes!$C:$C,MATCH($B227,Pacientes!$B:$B,0)),"")</f>
      </c>
      <c r="E227" s="6"/>
      <c r="F227" s="6"/>
      <c r="G227" s="6"/>
      <c r="H227" s="6"/>
      <c r="I227" s="6"/>
    </row>
    <row r="228" spans="1:9" x14ac:dyDescent="0.25">
      <c r="A228" s="7"/>
      <c r="B228" s="6"/>
      <c r="C228" s="9">
        <f>IFERROR(INDEX(Pacientes!$A:$A,MATCH($B228,Pacientes!$B:$B,0)),"")</f>
      </c>
      <c r="D228" s="9">
        <f>IFERROR(INDEX(Pacientes!$C:$C,MATCH($B228,Pacientes!$B:$B,0)),"")</f>
      </c>
      <c r="E228" s="6"/>
      <c r="F228" s="6"/>
      <c r="G228" s="6"/>
      <c r="H228" s="6"/>
      <c r="I228" s="6"/>
    </row>
    <row r="229" spans="1:9" x14ac:dyDescent="0.25">
      <c r="A229" s="7"/>
      <c r="B229" s="6"/>
      <c r="C229" s="9">
        <f>IFERROR(INDEX(Pacientes!$A:$A,MATCH($B229,Pacientes!$B:$B,0)),"")</f>
      </c>
      <c r="D229" s="9">
        <f>IFERROR(INDEX(Pacientes!$C:$C,MATCH($B229,Pacientes!$B:$B,0)),"")</f>
      </c>
      <c r="E229" s="6"/>
      <c r="F229" s="6"/>
      <c r="G229" s="6"/>
      <c r="H229" s="6"/>
      <c r="I229" s="6"/>
    </row>
    <row r="230" spans="1:9" x14ac:dyDescent="0.25">
      <c r="A230" s="7"/>
      <c r="B230" s="6"/>
      <c r="C230" s="9">
        <f>IFERROR(INDEX(Pacientes!$A:$A,MATCH($B230,Pacientes!$B:$B,0)),"")</f>
      </c>
      <c r="D230" s="9">
        <f>IFERROR(INDEX(Pacientes!$C:$C,MATCH($B230,Pacientes!$B:$B,0)),"")</f>
      </c>
      <c r="E230" s="6"/>
      <c r="F230" s="6"/>
      <c r="G230" s="6"/>
      <c r="H230" s="6"/>
      <c r="I230" s="6"/>
    </row>
    <row r="231" spans="1:9" x14ac:dyDescent="0.25">
      <c r="A231" s="7"/>
      <c r="B231" s="6"/>
      <c r="C231" s="9">
        <f>IFERROR(INDEX(Pacientes!$A:$A,MATCH($B231,Pacientes!$B:$B,0)),"")</f>
      </c>
      <c r="D231" s="9">
        <f>IFERROR(INDEX(Pacientes!$C:$C,MATCH($B231,Pacientes!$B:$B,0)),"")</f>
      </c>
      <c r="E231" s="6"/>
      <c r="F231" s="6"/>
      <c r="G231" s="6"/>
      <c r="H231" s="6"/>
      <c r="I231" s="6"/>
    </row>
    <row r="232" spans="1:9" x14ac:dyDescent="0.25">
      <c r="A232" s="7"/>
      <c r="B232" s="6"/>
      <c r="C232" s="9">
        <f>IFERROR(INDEX(Pacientes!$A:$A,MATCH($B232,Pacientes!$B:$B,0)),"")</f>
      </c>
      <c r="D232" s="9">
        <f>IFERROR(INDEX(Pacientes!$C:$C,MATCH($B232,Pacientes!$B:$B,0)),"")</f>
      </c>
      <c r="E232" s="6"/>
      <c r="F232" s="6"/>
      <c r="G232" s="6"/>
      <c r="H232" s="6"/>
      <c r="I232" s="6"/>
    </row>
    <row r="233" spans="1:9" x14ac:dyDescent="0.25">
      <c r="A233" s="7"/>
      <c r="B233" s="6"/>
      <c r="C233" s="9">
        <f>IFERROR(INDEX(Pacientes!$A:$A,MATCH($B233,Pacientes!$B:$B,0)),"")</f>
      </c>
      <c r="D233" s="9">
        <f>IFERROR(INDEX(Pacientes!$C:$C,MATCH($B233,Pacientes!$B:$B,0)),"")</f>
      </c>
      <c r="E233" s="6"/>
      <c r="F233" s="6"/>
      <c r="G233" s="6"/>
      <c r="H233" s="6"/>
      <c r="I233" s="6"/>
    </row>
    <row r="234" spans="1:9" x14ac:dyDescent="0.25">
      <c r="A234" s="7"/>
      <c r="B234" s="6"/>
      <c r="C234" s="9">
        <f>IFERROR(INDEX(Pacientes!$A:$A,MATCH($B234,Pacientes!$B:$B,0)),"")</f>
      </c>
      <c r="D234" s="9">
        <f>IFERROR(INDEX(Pacientes!$C:$C,MATCH($B234,Pacientes!$B:$B,0)),"")</f>
      </c>
      <c r="E234" s="6"/>
      <c r="F234" s="6"/>
      <c r="G234" s="6"/>
      <c r="H234" s="6"/>
      <c r="I234" s="6"/>
    </row>
    <row r="235" spans="1:9" x14ac:dyDescent="0.25">
      <c r="A235" s="7"/>
      <c r="B235" s="6"/>
      <c r="C235" s="9">
        <f>IFERROR(INDEX(Pacientes!$A:$A,MATCH($B235,Pacientes!$B:$B,0)),"")</f>
      </c>
      <c r="D235" s="9">
        <f>IFERROR(INDEX(Pacientes!$C:$C,MATCH($B235,Pacientes!$B:$B,0)),"")</f>
      </c>
      <c r="E235" s="6"/>
      <c r="F235" s="6"/>
      <c r="G235" s="6"/>
      <c r="H235" s="6"/>
      <c r="I235" s="6"/>
    </row>
    <row r="236" spans="1:9" x14ac:dyDescent="0.25">
      <c r="A236" s="7"/>
      <c r="B236" s="6"/>
      <c r="C236" s="9">
        <f>IFERROR(INDEX(Pacientes!$A:$A,MATCH($B236,Pacientes!$B:$B,0)),"")</f>
      </c>
      <c r="D236" s="9">
        <f>IFERROR(INDEX(Pacientes!$C:$C,MATCH($B236,Pacientes!$B:$B,0)),"")</f>
      </c>
      <c r="E236" s="6"/>
      <c r="F236" s="6"/>
      <c r="G236" s="6"/>
      <c r="H236" s="6"/>
      <c r="I236" s="6"/>
    </row>
    <row r="237" spans="1:9" x14ac:dyDescent="0.25">
      <c r="A237" s="7"/>
      <c r="B237" s="6"/>
      <c r="C237" s="9">
        <f>IFERROR(INDEX(Pacientes!$A:$A,MATCH($B237,Pacientes!$B:$B,0)),"")</f>
      </c>
      <c r="D237" s="9">
        <f>IFERROR(INDEX(Pacientes!$C:$C,MATCH($B237,Pacientes!$B:$B,0)),"")</f>
      </c>
      <c r="E237" s="6"/>
      <c r="F237" s="6"/>
      <c r="G237" s="6"/>
      <c r="H237" s="6"/>
      <c r="I237" s="6"/>
    </row>
    <row r="238" spans="1:9" x14ac:dyDescent="0.25">
      <c r="A238" s="7"/>
      <c r="B238" s="6"/>
      <c r="C238" s="9">
        <f>IFERROR(INDEX(Pacientes!$A:$A,MATCH($B238,Pacientes!$B:$B,0)),"")</f>
      </c>
      <c r="D238" s="9">
        <f>IFERROR(INDEX(Pacientes!$C:$C,MATCH($B238,Pacientes!$B:$B,0)),"")</f>
      </c>
      <c r="E238" s="6"/>
      <c r="F238" s="6"/>
      <c r="G238" s="6"/>
      <c r="H238" s="6"/>
      <c r="I238" s="6"/>
    </row>
    <row r="239" spans="1:9" x14ac:dyDescent="0.25">
      <c r="A239" s="7"/>
      <c r="B239" s="6"/>
      <c r="C239" s="9">
        <f>IFERROR(INDEX(Pacientes!$A:$A,MATCH($B239,Pacientes!$B:$B,0)),"")</f>
      </c>
      <c r="D239" s="9">
        <f>IFERROR(INDEX(Pacientes!$C:$C,MATCH($B239,Pacientes!$B:$B,0)),"")</f>
      </c>
      <c r="E239" s="6"/>
      <c r="F239" s="6"/>
      <c r="G239" s="6"/>
      <c r="H239" s="6"/>
      <c r="I239" s="6"/>
    </row>
    <row r="240" spans="1:9" x14ac:dyDescent="0.25">
      <c r="A240" s="7"/>
      <c r="B240" s="6"/>
      <c r="C240" s="9">
        <f>IFERROR(INDEX(Pacientes!$A:$A,MATCH($B240,Pacientes!$B:$B,0)),"")</f>
      </c>
      <c r="D240" s="9">
        <f>IFERROR(INDEX(Pacientes!$C:$C,MATCH($B240,Pacientes!$B:$B,0)),"")</f>
      </c>
      <c r="E240" s="6"/>
      <c r="F240" s="6"/>
      <c r="G240" s="6"/>
      <c r="H240" s="6"/>
      <c r="I240" s="6"/>
    </row>
    <row r="241" spans="1:9" x14ac:dyDescent="0.25">
      <c r="A241" s="7"/>
      <c r="B241" s="6"/>
      <c r="C241" s="9">
        <f>IFERROR(INDEX(Pacientes!$A:$A,MATCH($B241,Pacientes!$B:$B,0)),"")</f>
      </c>
      <c r="D241" s="9">
        <f>IFERROR(INDEX(Pacientes!$C:$C,MATCH($B241,Pacientes!$B:$B,0)),"")</f>
      </c>
      <c r="E241" s="6"/>
      <c r="F241" s="6"/>
      <c r="G241" s="6"/>
      <c r="H241" s="6"/>
      <c r="I241" s="6"/>
    </row>
    <row r="242" spans="1:9" x14ac:dyDescent="0.25">
      <c r="A242" s="7"/>
      <c r="B242" s="6"/>
      <c r="C242" s="9">
        <f>IFERROR(INDEX(Pacientes!$A:$A,MATCH($B242,Pacientes!$B:$B,0)),"")</f>
      </c>
      <c r="D242" s="9">
        <f>IFERROR(INDEX(Pacientes!$C:$C,MATCH($B242,Pacientes!$B:$B,0)),"")</f>
      </c>
      <c r="E242" s="6"/>
      <c r="F242" s="6"/>
      <c r="G242" s="6"/>
      <c r="H242" s="6"/>
      <c r="I242" s="6"/>
    </row>
    <row r="243" spans="1:9" x14ac:dyDescent="0.25">
      <c r="A243" s="7"/>
      <c r="B243" s="6"/>
      <c r="C243" s="9">
        <f>IFERROR(INDEX(Pacientes!$A:$A,MATCH($B243,Pacientes!$B:$B,0)),"")</f>
      </c>
      <c r="D243" s="9">
        <f>IFERROR(INDEX(Pacientes!$C:$C,MATCH($B243,Pacientes!$B:$B,0)),"")</f>
      </c>
      <c r="E243" s="6"/>
      <c r="F243" s="6"/>
      <c r="G243" s="6"/>
      <c r="H243" s="6"/>
      <c r="I243" s="6"/>
    </row>
    <row r="244" spans="1:9" x14ac:dyDescent="0.25">
      <c r="A244" s="7"/>
      <c r="B244" s="6"/>
      <c r="C244" s="9">
        <f>IFERROR(INDEX(Pacientes!$A:$A,MATCH($B244,Pacientes!$B:$B,0)),"")</f>
      </c>
      <c r="D244" s="9">
        <f>IFERROR(INDEX(Pacientes!$C:$C,MATCH($B244,Pacientes!$B:$B,0)),"")</f>
      </c>
      <c r="E244" s="6"/>
      <c r="F244" s="6"/>
      <c r="G244" s="6"/>
      <c r="H244" s="6"/>
      <c r="I244" s="6"/>
    </row>
    <row r="245" spans="1:9" x14ac:dyDescent="0.25">
      <c r="A245" s="7"/>
      <c r="B245" s="6"/>
      <c r="C245" s="9">
        <f>IFERROR(INDEX(Pacientes!$A:$A,MATCH($B245,Pacientes!$B:$B,0)),"")</f>
      </c>
      <c r="D245" s="9">
        <f>IFERROR(INDEX(Pacientes!$C:$C,MATCH($B245,Pacientes!$B:$B,0)),"")</f>
      </c>
      <c r="E245" s="6"/>
      <c r="F245" s="6"/>
      <c r="G245" s="6"/>
      <c r="H245" s="6"/>
      <c r="I245" s="6"/>
    </row>
    <row r="246" spans="1:9" x14ac:dyDescent="0.25">
      <c r="A246" s="7"/>
      <c r="B246" s="6"/>
      <c r="C246" s="9">
        <f>IFERROR(INDEX(Pacientes!$A:$A,MATCH($B246,Pacientes!$B:$B,0)),"")</f>
      </c>
      <c r="D246" s="9">
        <f>IFERROR(INDEX(Pacientes!$C:$C,MATCH($B246,Pacientes!$B:$B,0)),"")</f>
      </c>
      <c r="E246" s="6"/>
      <c r="F246" s="6"/>
      <c r="G246" s="6"/>
      <c r="H246" s="6"/>
      <c r="I246" s="6"/>
    </row>
    <row r="247" spans="1:9" x14ac:dyDescent="0.25">
      <c r="A247" s="7"/>
      <c r="B247" s="6"/>
      <c r="C247" s="9">
        <f>IFERROR(INDEX(Pacientes!$A:$A,MATCH($B247,Pacientes!$B:$B,0)),"")</f>
      </c>
      <c r="D247" s="9">
        <f>IFERROR(INDEX(Pacientes!$C:$C,MATCH($B247,Pacientes!$B:$B,0)),"")</f>
      </c>
      <c r="E247" s="6"/>
      <c r="F247" s="6"/>
      <c r="G247" s="6"/>
      <c r="H247" s="6"/>
      <c r="I247" s="6"/>
    </row>
    <row r="248" spans="1:9" x14ac:dyDescent="0.25">
      <c r="A248" s="7"/>
      <c r="B248" s="6"/>
      <c r="C248" s="9">
        <f>IFERROR(INDEX(Pacientes!$A:$A,MATCH($B248,Pacientes!$B:$B,0)),"")</f>
      </c>
      <c r="D248" s="9">
        <f>IFERROR(INDEX(Pacientes!$C:$C,MATCH($B248,Pacientes!$B:$B,0)),"")</f>
      </c>
      <c r="E248" s="6"/>
      <c r="F248" s="6"/>
      <c r="G248" s="6"/>
      <c r="H248" s="6"/>
      <c r="I248" s="6"/>
    </row>
    <row r="249" spans="1:9" x14ac:dyDescent="0.25">
      <c r="A249" s="7"/>
      <c r="B249" s="6"/>
      <c r="C249" s="9">
        <f>IFERROR(INDEX(Pacientes!$A:$A,MATCH($B249,Pacientes!$B:$B,0)),"")</f>
      </c>
      <c r="D249" s="9">
        <f>IFERROR(INDEX(Pacientes!$C:$C,MATCH($B249,Pacientes!$B:$B,0)),"")</f>
      </c>
      <c r="E249" s="6"/>
      <c r="F249" s="6"/>
      <c r="G249" s="6"/>
      <c r="H249" s="6"/>
      <c r="I249" s="6"/>
    </row>
    <row r="250" spans="1:9" x14ac:dyDescent="0.25">
      <c r="A250" s="7"/>
      <c r="B250" s="6"/>
      <c r="C250" s="9">
        <f>IFERROR(INDEX(Pacientes!$A:$A,MATCH($B250,Pacientes!$B:$B,0)),"")</f>
      </c>
      <c r="D250" s="9">
        <f>IFERROR(INDEX(Pacientes!$C:$C,MATCH($B250,Pacientes!$B:$B,0)),"")</f>
      </c>
      <c r="E250" s="6"/>
      <c r="F250" s="6"/>
      <c r="G250" s="6"/>
      <c r="H250" s="6"/>
      <c r="I250" s="6"/>
    </row>
    <row r="251" spans="1:9" x14ac:dyDescent="0.25">
      <c r="A251" s="7"/>
      <c r="B251" s="6"/>
      <c r="C251" s="9">
        <f>IFERROR(INDEX(Pacientes!$A:$A,MATCH($B251,Pacientes!$B:$B,0)),"")</f>
      </c>
      <c r="D251" s="9">
        <f>IFERROR(INDEX(Pacientes!$C:$C,MATCH($B251,Pacientes!$B:$B,0)),"")</f>
      </c>
      <c r="E251" s="6"/>
      <c r="F251" s="6"/>
      <c r="G251" s="6"/>
      <c r="H251" s="6"/>
      <c r="I251" s="6"/>
    </row>
    <row r="252" spans="1:9" x14ac:dyDescent="0.25">
      <c r="A252" s="7"/>
      <c r="B252" s="6"/>
      <c r="C252" s="9">
        <f>IFERROR(INDEX(Pacientes!$A:$A,MATCH($B252,Pacientes!$B:$B,0)),"")</f>
      </c>
      <c r="D252" s="9">
        <f>IFERROR(INDEX(Pacientes!$C:$C,MATCH($B252,Pacientes!$B:$B,0)),"")</f>
      </c>
      <c r="E252" s="6"/>
      <c r="F252" s="6"/>
      <c r="G252" s="6"/>
      <c r="H252" s="6"/>
      <c r="I252" s="6"/>
    </row>
    <row r="253" spans="1:9" x14ac:dyDescent="0.25">
      <c r="A253" s="7"/>
      <c r="B253" s="6"/>
      <c r="C253" s="9">
        <f>IFERROR(INDEX(Pacientes!$A:$A,MATCH($B253,Pacientes!$B:$B,0)),"")</f>
      </c>
      <c r="D253" s="9">
        <f>IFERROR(INDEX(Pacientes!$C:$C,MATCH($B253,Pacientes!$B:$B,0)),"")</f>
      </c>
      <c r="E253" s="6"/>
      <c r="F253" s="6"/>
      <c r="G253" s="6"/>
      <c r="H253" s="6"/>
      <c r="I253" s="6"/>
    </row>
    <row r="254" spans="1:9" x14ac:dyDescent="0.25">
      <c r="A254" s="7"/>
      <c r="B254" s="6"/>
      <c r="C254" s="9">
        <f>IFERROR(INDEX(Pacientes!$A:$A,MATCH($B254,Pacientes!$B:$B,0)),"")</f>
      </c>
      <c r="D254" s="9">
        <f>IFERROR(INDEX(Pacientes!$C:$C,MATCH($B254,Pacientes!$B:$B,0)),"")</f>
      </c>
      <c r="E254" s="6"/>
      <c r="F254" s="6"/>
      <c r="G254" s="6"/>
      <c r="H254" s="6"/>
      <c r="I254" s="6"/>
    </row>
    <row r="255" spans="1:9" x14ac:dyDescent="0.25">
      <c r="A255" s="7"/>
      <c r="B255" s="6"/>
      <c r="C255" s="9">
        <f>IFERROR(INDEX(Pacientes!$A:$A,MATCH($B255,Pacientes!$B:$B,0)),"")</f>
      </c>
      <c r="D255" s="9">
        <f>IFERROR(INDEX(Pacientes!$C:$C,MATCH($B255,Pacientes!$B:$B,0)),"")</f>
      </c>
      <c r="E255" s="6"/>
      <c r="F255" s="6"/>
      <c r="G255" s="6"/>
      <c r="H255" s="6"/>
      <c r="I255" s="6"/>
    </row>
    <row r="256" spans="1:9" x14ac:dyDescent="0.25">
      <c r="A256" s="7"/>
      <c r="B256" s="6"/>
      <c r="C256" s="9">
        <f>IFERROR(INDEX(Pacientes!$A:$A,MATCH($B256,Pacientes!$B:$B,0)),"")</f>
      </c>
      <c r="D256" s="9">
        <f>IFERROR(INDEX(Pacientes!$C:$C,MATCH($B256,Pacientes!$B:$B,0)),"")</f>
      </c>
      <c r="E256" s="6"/>
      <c r="F256" s="6"/>
      <c r="G256" s="6"/>
      <c r="H256" s="6"/>
      <c r="I256" s="6"/>
    </row>
    <row r="257" spans="1:9" x14ac:dyDescent="0.25">
      <c r="A257" s="7"/>
      <c r="B257" s="6"/>
      <c r="C257" s="9">
        <f>IFERROR(INDEX(Pacientes!$A:$A,MATCH($B257,Pacientes!$B:$B,0)),"")</f>
      </c>
      <c r="D257" s="9">
        <f>IFERROR(INDEX(Pacientes!$C:$C,MATCH($B257,Pacientes!$B:$B,0)),"")</f>
      </c>
      <c r="E257" s="6"/>
      <c r="F257" s="6"/>
      <c r="G257" s="6"/>
      <c r="H257" s="6"/>
      <c r="I257" s="6"/>
    </row>
    <row r="258" spans="1:9" x14ac:dyDescent="0.25">
      <c r="A258" s="7"/>
      <c r="B258" s="6"/>
      <c r="C258" s="9">
        <f>IFERROR(INDEX(Pacientes!$A:$A,MATCH($B258,Pacientes!$B:$B,0)),"")</f>
      </c>
      <c r="D258" s="9">
        <f>IFERROR(INDEX(Pacientes!$C:$C,MATCH($B258,Pacientes!$B:$B,0)),"")</f>
      </c>
      <c r="E258" s="6"/>
      <c r="F258" s="6"/>
      <c r="G258" s="6"/>
      <c r="H258" s="6"/>
      <c r="I258" s="6"/>
    </row>
    <row r="259" spans="1:9" x14ac:dyDescent="0.25">
      <c r="A259" s="7"/>
      <c r="B259" s="6"/>
      <c r="C259" s="9">
        <f>IFERROR(INDEX(Pacientes!$A:$A,MATCH($B259,Pacientes!$B:$B,0)),"")</f>
      </c>
      <c r="D259" s="9">
        <f>IFERROR(INDEX(Pacientes!$C:$C,MATCH($B259,Pacientes!$B:$B,0)),"")</f>
      </c>
      <c r="E259" s="6"/>
      <c r="F259" s="6"/>
      <c r="G259" s="6"/>
      <c r="H259" s="6"/>
      <c r="I259" s="6"/>
    </row>
    <row r="260" spans="1:9" x14ac:dyDescent="0.25">
      <c r="A260" s="7"/>
      <c r="B260" s="6"/>
      <c r="C260" s="9">
        <f>IFERROR(INDEX(Pacientes!$A:$A,MATCH($B260,Pacientes!$B:$B,0)),"")</f>
      </c>
      <c r="D260" s="9">
        <f>IFERROR(INDEX(Pacientes!$C:$C,MATCH($B260,Pacientes!$B:$B,0)),"")</f>
      </c>
      <c r="E260" s="6"/>
      <c r="F260" s="6"/>
      <c r="G260" s="6"/>
      <c r="H260" s="6"/>
      <c r="I260" s="6"/>
    </row>
    <row r="261" spans="1:9" x14ac:dyDescent="0.25">
      <c r="A261" s="7"/>
      <c r="B261" s="6"/>
      <c r="C261" s="9">
        <f>IFERROR(INDEX(Pacientes!$A:$A,MATCH($B261,Pacientes!$B:$B,0)),"")</f>
      </c>
      <c r="D261" s="9">
        <f>IFERROR(INDEX(Pacientes!$C:$C,MATCH($B261,Pacientes!$B:$B,0)),"")</f>
      </c>
      <c r="E261" s="6"/>
      <c r="F261" s="6"/>
      <c r="G261" s="6"/>
      <c r="H261" s="6"/>
      <c r="I261" s="6"/>
    </row>
    <row r="262" spans="1:9" x14ac:dyDescent="0.25">
      <c r="A262" s="7"/>
      <c r="B262" s="6"/>
      <c r="C262" s="9">
        <f>IFERROR(INDEX(Pacientes!$A:$A,MATCH($B262,Pacientes!$B:$B,0)),"")</f>
      </c>
      <c r="D262" s="9">
        <f>IFERROR(INDEX(Pacientes!$C:$C,MATCH($B262,Pacientes!$B:$B,0)),"")</f>
      </c>
      <c r="E262" s="6"/>
      <c r="F262" s="6"/>
      <c r="G262" s="6"/>
      <c r="H262" s="6"/>
      <c r="I262" s="6"/>
    </row>
    <row r="263" spans="1:9" x14ac:dyDescent="0.25">
      <c r="A263" s="7"/>
      <c r="B263" s="6"/>
      <c r="C263" s="9">
        <f>IFERROR(INDEX(Pacientes!$A:$A,MATCH($B263,Pacientes!$B:$B,0)),"")</f>
      </c>
      <c r="D263" s="9">
        <f>IFERROR(INDEX(Pacientes!$C:$C,MATCH($B263,Pacientes!$B:$B,0)),"")</f>
      </c>
      <c r="E263" s="6"/>
      <c r="F263" s="6"/>
      <c r="G263" s="6"/>
      <c r="H263" s="6"/>
      <c r="I263" s="6"/>
    </row>
    <row r="264" spans="1:9" x14ac:dyDescent="0.25">
      <c r="A264" s="7"/>
      <c r="B264" s="6"/>
      <c r="C264" s="9">
        <f>IFERROR(INDEX(Pacientes!$A:$A,MATCH($B264,Pacientes!$B:$B,0)),"")</f>
      </c>
      <c r="D264" s="9">
        <f>IFERROR(INDEX(Pacientes!$C:$C,MATCH($B264,Pacientes!$B:$B,0)),"")</f>
      </c>
      <c r="E264" s="6"/>
      <c r="F264" s="6"/>
      <c r="G264" s="6"/>
      <c r="H264" s="6"/>
      <c r="I264" s="6"/>
    </row>
    <row r="265" spans="1:9" x14ac:dyDescent="0.25">
      <c r="A265" s="7"/>
      <c r="B265" s="6"/>
      <c r="C265" s="9">
        <f>IFERROR(INDEX(Pacientes!$A:$A,MATCH($B265,Pacientes!$B:$B,0)),"")</f>
      </c>
      <c r="D265" s="9">
        <f>IFERROR(INDEX(Pacientes!$C:$C,MATCH($B265,Pacientes!$B:$B,0)),"")</f>
      </c>
      <c r="E265" s="6"/>
      <c r="F265" s="6"/>
      <c r="G265" s="6"/>
      <c r="H265" s="6"/>
      <c r="I265" s="6"/>
    </row>
    <row r="266" spans="1:9" x14ac:dyDescent="0.25">
      <c r="A266" s="7"/>
      <c r="B266" s="6"/>
      <c r="C266" s="9">
        <f>IFERROR(INDEX(Pacientes!$A:$A,MATCH($B266,Pacientes!$B:$B,0)),"")</f>
      </c>
      <c r="D266" s="9">
        <f>IFERROR(INDEX(Pacientes!$C:$C,MATCH($B266,Pacientes!$B:$B,0)),"")</f>
      </c>
      <c r="E266" s="6"/>
      <c r="F266" s="6"/>
      <c r="G266" s="6"/>
      <c r="H266" s="6"/>
      <c r="I266" s="6"/>
    </row>
    <row r="267" spans="1:9" x14ac:dyDescent="0.25">
      <c r="A267" s="7"/>
      <c r="B267" s="6"/>
      <c r="C267" s="9">
        <f>IFERROR(INDEX(Pacientes!$A:$A,MATCH($B267,Pacientes!$B:$B,0)),"")</f>
      </c>
      <c r="D267" s="9">
        <f>IFERROR(INDEX(Pacientes!$C:$C,MATCH($B267,Pacientes!$B:$B,0)),"")</f>
      </c>
      <c r="E267" s="6"/>
      <c r="F267" s="6"/>
      <c r="G267" s="6"/>
      <c r="H267" s="6"/>
      <c r="I267" s="6"/>
    </row>
    <row r="268" spans="1:9" x14ac:dyDescent="0.25">
      <c r="A268" s="7"/>
      <c r="B268" s="6"/>
      <c r="C268" s="9">
        <f>IFERROR(INDEX(Pacientes!$A:$A,MATCH($B268,Pacientes!$B:$B,0)),"")</f>
      </c>
      <c r="D268" s="9">
        <f>IFERROR(INDEX(Pacientes!$C:$C,MATCH($B268,Pacientes!$B:$B,0)),"")</f>
      </c>
      <c r="E268" s="6"/>
      <c r="F268" s="6"/>
      <c r="G268" s="6"/>
      <c r="H268" s="6"/>
      <c r="I268" s="6"/>
    </row>
    <row r="269" spans="1:9" x14ac:dyDescent="0.25">
      <c r="A269" s="7"/>
      <c r="B269" s="6"/>
      <c r="C269" s="9">
        <f>IFERROR(INDEX(Pacientes!$A:$A,MATCH($B269,Pacientes!$B:$B,0)),"")</f>
      </c>
      <c r="D269" s="9">
        <f>IFERROR(INDEX(Pacientes!$C:$C,MATCH($B269,Pacientes!$B:$B,0)),"")</f>
      </c>
      <c r="E269" s="6"/>
      <c r="F269" s="6"/>
      <c r="G269" s="6"/>
      <c r="H269" s="6"/>
      <c r="I269" s="6"/>
    </row>
    <row r="270" spans="1:9" x14ac:dyDescent="0.25">
      <c r="A270" s="7"/>
      <c r="B270" s="6"/>
      <c r="C270" s="9">
        <f>IFERROR(INDEX(Pacientes!$A:$A,MATCH($B270,Pacientes!$B:$B,0)),"")</f>
      </c>
      <c r="D270" s="9">
        <f>IFERROR(INDEX(Pacientes!$C:$C,MATCH($B270,Pacientes!$B:$B,0)),"")</f>
      </c>
      <c r="E270" s="6"/>
      <c r="F270" s="6"/>
      <c r="G270" s="6"/>
      <c r="H270" s="6"/>
      <c r="I270" s="6"/>
    </row>
    <row r="271" spans="1:9" x14ac:dyDescent="0.25">
      <c r="A271" s="7"/>
      <c r="B271" s="6"/>
      <c r="C271" s="9">
        <f>IFERROR(INDEX(Pacientes!$A:$A,MATCH($B271,Pacientes!$B:$B,0)),"")</f>
      </c>
      <c r="D271" s="9">
        <f>IFERROR(INDEX(Pacientes!$C:$C,MATCH($B271,Pacientes!$B:$B,0)),"")</f>
      </c>
      <c r="E271" s="6"/>
      <c r="F271" s="6"/>
      <c r="G271" s="6"/>
      <c r="H271" s="6"/>
      <c r="I271" s="6"/>
    </row>
    <row r="272" spans="1:9" x14ac:dyDescent="0.25">
      <c r="A272" s="7"/>
      <c r="B272" s="6"/>
      <c r="C272" s="9">
        <f>IFERROR(INDEX(Pacientes!$A:$A,MATCH($B272,Pacientes!$B:$B,0)),"")</f>
      </c>
      <c r="D272" s="9">
        <f>IFERROR(INDEX(Pacientes!$C:$C,MATCH($B272,Pacientes!$B:$B,0)),"")</f>
      </c>
      <c r="E272" s="6"/>
      <c r="F272" s="6"/>
      <c r="G272" s="6"/>
      <c r="H272" s="6"/>
      <c r="I272" s="6"/>
    </row>
    <row r="273" spans="1:9" x14ac:dyDescent="0.25">
      <c r="A273" s="7"/>
      <c r="B273" s="6"/>
      <c r="C273" s="9">
        <f>IFERROR(INDEX(Pacientes!$A:$A,MATCH($B273,Pacientes!$B:$B,0)),"")</f>
      </c>
      <c r="D273" s="9">
        <f>IFERROR(INDEX(Pacientes!$C:$C,MATCH($B273,Pacientes!$B:$B,0)),"")</f>
      </c>
      <c r="E273" s="6"/>
      <c r="F273" s="6"/>
      <c r="G273" s="6"/>
      <c r="H273" s="6"/>
      <c r="I273" s="6"/>
    </row>
    <row r="274" spans="1:9" x14ac:dyDescent="0.25">
      <c r="A274" s="7"/>
      <c r="B274" s="6"/>
      <c r="C274" s="9">
        <f>IFERROR(INDEX(Pacientes!$A:$A,MATCH($B274,Pacientes!$B:$B,0)),"")</f>
      </c>
      <c r="D274" s="9">
        <f>IFERROR(INDEX(Pacientes!$C:$C,MATCH($B274,Pacientes!$B:$B,0)),"")</f>
      </c>
      <c r="E274" s="6"/>
      <c r="F274" s="6"/>
      <c r="G274" s="6"/>
      <c r="H274" s="6"/>
      <c r="I274" s="6"/>
    </row>
    <row r="275" spans="1:9" x14ac:dyDescent="0.25">
      <c r="A275" s="7"/>
      <c r="B275" s="6"/>
      <c r="C275" s="9">
        <f>IFERROR(INDEX(Pacientes!$A:$A,MATCH($B275,Pacientes!$B:$B,0)),"")</f>
      </c>
      <c r="D275" s="9">
        <f>IFERROR(INDEX(Pacientes!$C:$C,MATCH($B275,Pacientes!$B:$B,0)),"")</f>
      </c>
      <c r="E275" s="6"/>
      <c r="F275" s="6"/>
      <c r="G275" s="6"/>
      <c r="H275" s="6"/>
      <c r="I275" s="6"/>
    </row>
    <row r="276" spans="1:9" x14ac:dyDescent="0.25">
      <c r="A276" s="7"/>
      <c r="B276" s="6"/>
      <c r="C276" s="9">
        <f>IFERROR(INDEX(Pacientes!$A:$A,MATCH($B276,Pacientes!$B:$B,0)),"")</f>
      </c>
      <c r="D276" s="9">
        <f>IFERROR(INDEX(Pacientes!$C:$C,MATCH($B276,Pacientes!$B:$B,0)),"")</f>
      </c>
      <c r="E276" s="6"/>
      <c r="F276" s="6"/>
      <c r="G276" s="6"/>
      <c r="H276" s="6"/>
      <c r="I276" s="6"/>
    </row>
    <row r="277" spans="1:9" x14ac:dyDescent="0.25">
      <c r="A277" s="7"/>
      <c r="B277" s="6"/>
      <c r="C277" s="9">
        <f>IFERROR(INDEX(Pacientes!$A:$A,MATCH($B277,Pacientes!$B:$B,0)),"")</f>
      </c>
      <c r="D277" s="9">
        <f>IFERROR(INDEX(Pacientes!$C:$C,MATCH($B277,Pacientes!$B:$B,0)),"")</f>
      </c>
      <c r="E277" s="6"/>
      <c r="F277" s="6"/>
      <c r="G277" s="6"/>
      <c r="H277" s="6"/>
      <c r="I277" s="6"/>
    </row>
    <row r="278" spans="1:9" x14ac:dyDescent="0.25">
      <c r="A278" s="7"/>
      <c r="B278" s="6"/>
      <c r="C278" s="9">
        <f>IFERROR(INDEX(Pacientes!$A:$A,MATCH($B278,Pacientes!$B:$B,0)),"")</f>
      </c>
      <c r="D278" s="9">
        <f>IFERROR(INDEX(Pacientes!$C:$C,MATCH($B278,Pacientes!$B:$B,0)),"")</f>
      </c>
      <c r="E278" s="6"/>
      <c r="F278" s="6"/>
      <c r="G278" s="6"/>
      <c r="H278" s="6"/>
      <c r="I278" s="6"/>
    </row>
    <row r="279" spans="1:9" x14ac:dyDescent="0.25">
      <c r="A279" s="7"/>
      <c r="B279" s="6"/>
      <c r="C279" s="9">
        <f>IFERROR(INDEX(Pacientes!$A:$A,MATCH($B279,Pacientes!$B:$B,0)),"")</f>
      </c>
      <c r="D279" s="9">
        <f>IFERROR(INDEX(Pacientes!$C:$C,MATCH($B279,Pacientes!$B:$B,0)),"")</f>
      </c>
      <c r="E279" s="6"/>
      <c r="F279" s="6"/>
      <c r="G279" s="6"/>
      <c r="H279" s="6"/>
      <c r="I279" s="6"/>
    </row>
    <row r="280" spans="1:9" x14ac:dyDescent="0.25">
      <c r="A280" s="7"/>
      <c r="B280" s="6"/>
      <c r="C280" s="9">
        <f>IFERROR(INDEX(Pacientes!$A:$A,MATCH($B280,Pacientes!$B:$B,0)),"")</f>
      </c>
      <c r="D280" s="9">
        <f>IFERROR(INDEX(Pacientes!$C:$C,MATCH($B280,Pacientes!$B:$B,0)),"")</f>
      </c>
      <c r="E280" s="6"/>
      <c r="F280" s="6"/>
      <c r="G280" s="6"/>
      <c r="H280" s="6"/>
      <c r="I280" s="6"/>
    </row>
    <row r="281" spans="1:9" x14ac:dyDescent="0.25">
      <c r="A281" s="7"/>
      <c r="B281" s="6"/>
      <c r="C281" s="9">
        <f>IFERROR(INDEX(Pacientes!$A:$A,MATCH($B281,Pacientes!$B:$B,0)),"")</f>
      </c>
      <c r="D281" s="9">
        <f>IFERROR(INDEX(Pacientes!$C:$C,MATCH($B281,Pacientes!$B:$B,0)),"")</f>
      </c>
      <c r="E281" s="6"/>
      <c r="F281" s="6"/>
      <c r="G281" s="6"/>
      <c r="H281" s="6"/>
      <c r="I281" s="6"/>
    </row>
    <row r="282" spans="1:9" x14ac:dyDescent="0.25">
      <c r="A282" s="7"/>
      <c r="B282" s="6"/>
      <c r="C282" s="9">
        <f>IFERROR(INDEX(Pacientes!$A:$A,MATCH($B282,Pacientes!$B:$B,0)),"")</f>
      </c>
      <c r="D282" s="9">
        <f>IFERROR(INDEX(Pacientes!$C:$C,MATCH($B282,Pacientes!$B:$B,0)),"")</f>
      </c>
      <c r="E282" s="6"/>
      <c r="F282" s="6"/>
      <c r="G282" s="6"/>
      <c r="H282" s="6"/>
      <c r="I282" s="6"/>
    </row>
    <row r="283" spans="1:9" x14ac:dyDescent="0.25">
      <c r="A283" s="7"/>
      <c r="B283" s="6"/>
      <c r="C283" s="9">
        <f>IFERROR(INDEX(Pacientes!$A:$A,MATCH($B283,Pacientes!$B:$B,0)),"")</f>
      </c>
      <c r="D283" s="9">
        <f>IFERROR(INDEX(Pacientes!$C:$C,MATCH($B283,Pacientes!$B:$B,0)),"")</f>
      </c>
      <c r="E283" s="6"/>
      <c r="F283" s="6"/>
      <c r="G283" s="6"/>
      <c r="H283" s="6"/>
      <c r="I283" s="6"/>
    </row>
    <row r="284" spans="1:9" x14ac:dyDescent="0.25">
      <c r="A284" s="7"/>
      <c r="B284" s="6"/>
      <c r="C284" s="9">
        <f>IFERROR(INDEX(Pacientes!$A:$A,MATCH($B284,Pacientes!$B:$B,0)),"")</f>
      </c>
      <c r="D284" s="9">
        <f>IFERROR(INDEX(Pacientes!$C:$C,MATCH($B284,Pacientes!$B:$B,0)),"")</f>
      </c>
      <c r="E284" s="6"/>
      <c r="F284" s="6"/>
      <c r="G284" s="6"/>
      <c r="H284" s="6"/>
      <c r="I284" s="6"/>
    </row>
    <row r="285" spans="1:9" x14ac:dyDescent="0.25">
      <c r="A285" s="7"/>
      <c r="B285" s="6"/>
      <c r="C285" s="9">
        <f>IFERROR(INDEX(Pacientes!$A:$A,MATCH($B285,Pacientes!$B:$B,0)),"")</f>
      </c>
      <c r="D285" s="9">
        <f>IFERROR(INDEX(Pacientes!$C:$C,MATCH($B285,Pacientes!$B:$B,0)),"")</f>
      </c>
      <c r="E285" s="6"/>
      <c r="F285" s="6"/>
      <c r="G285" s="6"/>
      <c r="H285" s="6"/>
      <c r="I285" s="6"/>
    </row>
    <row r="286" spans="1:9" x14ac:dyDescent="0.25">
      <c r="A286" s="7"/>
      <c r="B286" s="6"/>
      <c r="C286" s="9">
        <f>IFERROR(INDEX(Pacientes!$A:$A,MATCH($B286,Pacientes!$B:$B,0)),"")</f>
      </c>
      <c r="D286" s="9">
        <f>IFERROR(INDEX(Pacientes!$C:$C,MATCH($B286,Pacientes!$B:$B,0)),"")</f>
      </c>
      <c r="E286" s="6"/>
      <c r="F286" s="6"/>
      <c r="G286" s="6"/>
      <c r="H286" s="6"/>
      <c r="I286" s="6"/>
    </row>
    <row r="287" spans="1:9" x14ac:dyDescent="0.25">
      <c r="A287" s="7"/>
      <c r="B287" s="6"/>
      <c r="C287" s="9">
        <f>IFERROR(INDEX(Pacientes!$A:$A,MATCH($B287,Pacientes!$B:$B,0)),"")</f>
      </c>
      <c r="D287" s="9">
        <f>IFERROR(INDEX(Pacientes!$C:$C,MATCH($B287,Pacientes!$B:$B,0)),"")</f>
      </c>
      <c r="E287" s="6"/>
      <c r="F287" s="6"/>
      <c r="G287" s="6"/>
      <c r="H287" s="6"/>
      <c r="I287" s="6"/>
    </row>
    <row r="288" spans="1:9" x14ac:dyDescent="0.25">
      <c r="A288" s="7"/>
      <c r="B288" s="6"/>
      <c r="C288" s="9">
        <f>IFERROR(INDEX(Pacientes!$A:$A,MATCH($B288,Pacientes!$B:$B,0)),"")</f>
      </c>
      <c r="D288" s="9">
        <f>IFERROR(INDEX(Pacientes!$C:$C,MATCH($B288,Pacientes!$B:$B,0)),"")</f>
      </c>
      <c r="E288" s="6"/>
      <c r="F288" s="6"/>
      <c r="G288" s="6"/>
      <c r="H288" s="6"/>
      <c r="I288" s="6"/>
    </row>
    <row r="289" spans="1:9" x14ac:dyDescent="0.25">
      <c r="A289" s="7"/>
      <c r="B289" s="6"/>
      <c r="C289" s="9">
        <f>IFERROR(INDEX(Pacientes!$A:$A,MATCH($B289,Pacientes!$B:$B,0)),"")</f>
      </c>
      <c r="D289" s="9">
        <f>IFERROR(INDEX(Pacientes!$C:$C,MATCH($B289,Pacientes!$B:$B,0)),"")</f>
      </c>
      <c r="E289" s="6"/>
      <c r="F289" s="6"/>
      <c r="G289" s="6"/>
      <c r="H289" s="6"/>
      <c r="I289" s="6"/>
    </row>
    <row r="290" spans="1:9" x14ac:dyDescent="0.25">
      <c r="A290" s="7"/>
      <c r="B290" s="6"/>
      <c r="C290" s="9">
        <f>IFERROR(INDEX(Pacientes!$A:$A,MATCH($B290,Pacientes!$B:$B,0)),"")</f>
      </c>
      <c r="D290" s="9">
        <f>IFERROR(INDEX(Pacientes!$C:$C,MATCH($B290,Pacientes!$B:$B,0)),"")</f>
      </c>
      <c r="E290" s="6"/>
      <c r="F290" s="6"/>
      <c r="G290" s="6"/>
      <c r="H290" s="6"/>
      <c r="I290" s="6"/>
    </row>
    <row r="291" spans="1:9" x14ac:dyDescent="0.25">
      <c r="A291" s="7"/>
      <c r="B291" s="6"/>
      <c r="C291" s="9">
        <f>IFERROR(INDEX(Pacientes!$A:$A,MATCH($B291,Pacientes!$B:$B,0)),"")</f>
      </c>
      <c r="D291" s="9">
        <f>IFERROR(INDEX(Pacientes!$C:$C,MATCH($B291,Pacientes!$B:$B,0)),"")</f>
      </c>
      <c r="E291" s="6"/>
      <c r="F291" s="6"/>
      <c r="G291" s="6"/>
      <c r="H291" s="6"/>
      <c r="I291" s="6"/>
    </row>
    <row r="292" spans="1:9" x14ac:dyDescent="0.25">
      <c r="A292" s="7"/>
      <c r="B292" s="6"/>
      <c r="C292" s="9">
        <f>IFERROR(INDEX(Pacientes!$A:$A,MATCH($B292,Pacientes!$B:$B,0)),"")</f>
      </c>
      <c r="D292" s="9">
        <f>IFERROR(INDEX(Pacientes!$C:$C,MATCH($B292,Pacientes!$B:$B,0)),"")</f>
      </c>
      <c r="E292" s="6"/>
      <c r="F292" s="6"/>
      <c r="G292" s="6"/>
      <c r="H292" s="6"/>
      <c r="I292" s="6"/>
    </row>
    <row r="293" spans="1:9" x14ac:dyDescent="0.25">
      <c r="A293" s="7"/>
      <c r="B293" s="6"/>
      <c r="C293" s="9">
        <f>IFERROR(INDEX(Pacientes!$A:$A,MATCH($B293,Pacientes!$B:$B,0)),"")</f>
      </c>
      <c r="D293" s="9">
        <f>IFERROR(INDEX(Pacientes!$C:$C,MATCH($B293,Pacientes!$B:$B,0)),"")</f>
      </c>
      <c r="E293" s="6"/>
      <c r="F293" s="6"/>
      <c r="G293" s="6"/>
      <c r="H293" s="6"/>
      <c r="I293" s="6"/>
    </row>
    <row r="294" spans="1:9" x14ac:dyDescent="0.25">
      <c r="A294" s="7"/>
      <c r="B294" s="6"/>
      <c r="C294" s="9">
        <f>IFERROR(INDEX(Pacientes!$A:$A,MATCH($B294,Pacientes!$B:$B,0)),"")</f>
      </c>
      <c r="D294" s="9">
        <f>IFERROR(INDEX(Pacientes!$C:$C,MATCH($B294,Pacientes!$B:$B,0)),"")</f>
      </c>
      <c r="E294" s="6"/>
      <c r="F294" s="6"/>
      <c r="G294" s="6"/>
      <c r="H294" s="6"/>
      <c r="I294" s="6"/>
    </row>
    <row r="295" spans="1:9" x14ac:dyDescent="0.25">
      <c r="A295" s="7"/>
      <c r="B295" s="6"/>
      <c r="C295" s="9">
        <f>IFERROR(INDEX(Pacientes!$A:$A,MATCH($B295,Pacientes!$B:$B,0)),"")</f>
      </c>
      <c r="D295" s="9">
        <f>IFERROR(INDEX(Pacientes!$C:$C,MATCH($B295,Pacientes!$B:$B,0)),"")</f>
      </c>
      <c r="E295" s="6"/>
      <c r="F295" s="6"/>
      <c r="G295" s="6"/>
      <c r="H295" s="6"/>
      <c r="I295" s="6"/>
    </row>
    <row r="296" spans="1:9" x14ac:dyDescent="0.25">
      <c r="A296" s="7"/>
      <c r="B296" s="6"/>
      <c r="C296" s="9">
        <f>IFERROR(INDEX(Pacientes!$A:$A,MATCH($B296,Pacientes!$B:$B,0)),"")</f>
      </c>
      <c r="D296" s="9">
        <f>IFERROR(INDEX(Pacientes!$C:$C,MATCH($B296,Pacientes!$B:$B,0)),"")</f>
      </c>
      <c r="E296" s="6"/>
      <c r="F296" s="6"/>
      <c r="G296" s="6"/>
      <c r="H296" s="6"/>
      <c r="I296" s="6"/>
    </row>
    <row r="297" spans="1:9" x14ac:dyDescent="0.25">
      <c r="A297" s="7"/>
      <c r="B297" s="6"/>
      <c r="C297" s="9">
        <f>IFERROR(INDEX(Pacientes!$A:$A,MATCH($B297,Pacientes!$B:$B,0)),"")</f>
      </c>
      <c r="D297" s="9">
        <f>IFERROR(INDEX(Pacientes!$C:$C,MATCH($B297,Pacientes!$B:$B,0)),"")</f>
      </c>
      <c r="E297" s="6"/>
      <c r="F297" s="6"/>
      <c r="G297" s="6"/>
      <c r="H297" s="6"/>
      <c r="I297" s="6"/>
    </row>
    <row r="298" spans="1:9" x14ac:dyDescent="0.25">
      <c r="A298" s="7"/>
      <c r="B298" s="6"/>
      <c r="C298" s="9">
        <f>IFERROR(INDEX(Pacientes!$A:$A,MATCH($B298,Pacientes!$B:$B,0)),"")</f>
      </c>
      <c r="D298" s="9">
        <f>IFERROR(INDEX(Pacientes!$C:$C,MATCH($B298,Pacientes!$B:$B,0)),"")</f>
      </c>
      <c r="E298" s="6"/>
      <c r="F298" s="6"/>
      <c r="G298" s="6"/>
      <c r="H298" s="6"/>
      <c r="I298" s="6"/>
    </row>
    <row r="299" spans="1:9" x14ac:dyDescent="0.25">
      <c r="A299" s="7"/>
      <c r="B299" s="6"/>
      <c r="C299" s="9">
        <f>IFERROR(INDEX(Pacientes!$A:$A,MATCH($B299,Pacientes!$B:$B,0)),"")</f>
      </c>
      <c r="D299" s="9">
        <f>IFERROR(INDEX(Pacientes!$C:$C,MATCH($B299,Pacientes!$B:$B,0)),"")</f>
      </c>
      <c r="E299" s="6"/>
      <c r="F299" s="6"/>
      <c r="G299" s="6"/>
      <c r="H299" s="6"/>
      <c r="I299" s="6"/>
    </row>
    <row r="300" spans="1:9" x14ac:dyDescent="0.25">
      <c r="A300" s="7"/>
      <c r="B300" s="6"/>
      <c r="C300" s="9">
        <f>IFERROR(INDEX(Pacientes!$A:$A,MATCH($B300,Pacientes!$B:$B,0)),"")</f>
      </c>
      <c r="D300" s="9">
        <f>IFERROR(INDEX(Pacientes!$C:$C,MATCH($B300,Pacientes!$B:$B,0)),"")</f>
      </c>
      <c r="E300" s="6"/>
      <c r="F300" s="6"/>
      <c r="G300" s="6"/>
      <c r="H300" s="6"/>
      <c r="I300" s="6"/>
    </row>
  </sheetData>
  <conditionalFormatting sqref="A2:I300">
    <cfRule type="expression" dxfId="4" priority="10">
      <formula>MOD(ROW(),2)=0</formula>
    </cfRule>
  </conditionalFormatting>
  <conditionalFormatting sqref="G2:G300">
    <cfRule type="containsText" dxfId="5" priority="1">
      <formula>NOT(ISERROR(SEARCH("Aceita",G2)))</formula>
    </cfRule>
    <cfRule type="containsText" dxfId="6" priority="2">
      <formula>NOT(ISERROR(SEARCH("Pendente",G2)))</formula>
    </cfRule>
    <cfRule type="containsText" dxfId="7" priority="3">
      <formula>NOT(ISERROR(SEARCH("Não aceita",G2)))</formula>
    </cfRule>
  </conditionalFormatting>
  <dataValidations count="10">
    <dataValidation type="list" allowBlank="1" sqref="B10:B300">
      <formula1>Pacientes!$B$2:$B$300</formula1>
    </dataValidation>
    <dataValidation type="list" allowBlank="1" sqref="B2:B300">
      <formula1>Pacientes!$B$2:$B$300</formula1>
    </dataValidation>
    <dataValidation type="list" allowBlank="1" sqref="E10:E300">
      <formula1>Listas!$J$2:$J$13</formula1>
    </dataValidation>
    <dataValidation type="list" allowBlank="1" sqref="E2:E300">
      <formula1>Listas!$J$2:$J$13</formula1>
    </dataValidation>
    <dataValidation type="list" allowBlank="1" sqref="G10:G300">
      <formula1>Listas!$K$2:$K$6</formula1>
    </dataValidation>
    <dataValidation type="list" allowBlank="1" sqref="G2:G300">
      <formula1>Listas!$K$2:$K$6</formula1>
    </dataValidation>
    <dataValidation type="list" allowBlank="1" sqref="H10:H300">
      <formula1>Listas!$L$2:$L$9</formula1>
    </dataValidation>
    <dataValidation type="list" allowBlank="1" sqref="H2:H300">
      <formula1>Listas!$L$2:$L$9</formula1>
    </dataValidation>
    <dataValidation type="list" allowBlank="1" sqref="I10:I300">
      <formula1>Listas!$F$2:$F$3</formula1>
    </dataValidation>
    <dataValidation type="list" allowBlank="1" sqref="I2:I300">
      <formula1>Listas!$F$2:$F$3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4" customWidth="1"/>
    <col min="2" max="2" width="24" customWidth="1"/>
    <col min="3" max="3" width="4" customWidth="1"/>
    <col min="4" max="4" width="45" customWidth="1"/>
    <col min="5" max="5" width="12" customWidth="1"/>
  </cols>
  <sheetData>
    <row r="1" spans="1:1" x14ac:dyDescent="0.25">
      <c r="A1" s="11" t="s">
        <v>156</v>
      </c>
    </row>
    <row r="3" spans="1:2" x14ac:dyDescent="0.25">
      <c r="A3" s="12" t="s">
        <v>157</v>
      </c>
      <c r="B3" s="13" t="s">
        <v>77</v>
      </c>
    </row>
    <row r="4" spans="1:2" x14ac:dyDescent="0.25">
      <c r="A4" s="12" t="s">
        <v>158</v>
      </c>
      <c r="B4" s="13">
        <v>2026</v>
      </c>
    </row>
    <row r="5" spans="1:2" x14ac:dyDescent="0.25">
      <c r="A5" s="12" t="s">
        <v>16</v>
      </c>
      <c r="B5" s="13" t="s">
        <v>43</v>
      </c>
    </row>
    <row r="7" spans="1:2" x14ac:dyDescent="0.25">
      <c r="A7" s="14" t="s">
        <v>159</v>
      </c>
      <c r="B7" s="14">
        <f>VALUE(LEFT(B3,FIND(" ",B3)-1))</f>
      </c>
    </row>
    <row r="8" spans="1:2" x14ac:dyDescent="0.25">
      <c r="A8" s="14" t="s">
        <v>160</v>
      </c>
      <c r="B8" s="15">
        <f>DATE(B4,B7,1)</f>
      </c>
    </row>
    <row r="9" spans="1:2" x14ac:dyDescent="0.25">
      <c r="A9" s="14" t="s">
        <v>161</v>
      </c>
      <c r="B9" s="15">
        <f>EOMONTH(B8,0)</f>
      </c>
    </row>
    <row r="12" spans="1:4" x14ac:dyDescent="0.25">
      <c r="A12" s="16" t="s">
        <v>162</v>
      </c>
      <c r="D12" s="17" t="s">
        <v>163</v>
      </c>
    </row>
    <row r="13" spans="1:5" x14ac:dyDescent="0.25">
      <c r="A13" s="18" t="s">
        <v>164</v>
      </c>
      <c r="B13" s="19">
        <f>SUMPRODUCT((Intervenções!$A$2:$A$300&gt;=$B$8)*(Intervenções!$A$2:$A$300&lt;=$B$9)*(($B$5="Todos")+(Intervenções!$D$2:$D$300=$B$5))*(Intervenções!$E$2:$E$300&lt;&gt;""))</f>
      </c>
      <c r="D13" s="12" t="s">
        <v>25</v>
      </c>
      <c r="E13" s="12" t="s">
        <v>165</v>
      </c>
    </row>
    <row r="14" spans="1:5" x14ac:dyDescent="0.25">
      <c r="A14" s="18" t="s">
        <v>166</v>
      </c>
      <c r="B14" s="19">
        <f>SUMPRODUCT((Intervenções!$A$2:$A$300&gt;=$B$8)*(Intervenções!$A$2:$A$300&lt;=$B$9)*(($B$5="Todos")+(Intervenções!$D$2:$D$300=$B$5))*ISNUMBER(SEARCH("Aceita",Intervenções!$G$2:$G$300)))</f>
      </c>
      <c r="D14" s="20" t="s">
        <v>39</v>
      </c>
      <c r="E14" s="20">
        <f>SUMPRODUCT((Intervenções!$A$2:$A$300&gt;=$B$8)*(Intervenções!$A$2:$A$300&lt;=$B$9)*(($B$5="Todos")+(Intervenções!$D$2:$D$300=$B$5))*(Intervenções!$E$2:$E$300=D14))</f>
      </c>
    </row>
    <row r="15" spans="1:5" x14ac:dyDescent="0.25">
      <c r="A15" s="18" t="s">
        <v>167</v>
      </c>
      <c r="B15" s="19">
        <f>IF(B13=0,0,ROUND(B14/B13*100,1))</f>
      </c>
      <c r="D15" s="21" t="s">
        <v>52</v>
      </c>
      <c r="E15" s="21">
        <f>SUMPRODUCT((Intervenções!$A$2:$A$300&gt;=$B$8)*(Intervenções!$A$2:$A$300&lt;=$B$9)*(($B$5="Todos")+(Intervenções!$D$2:$D$300=$B$5))*(Intervenções!$E$2:$E$300=D15))</f>
      </c>
    </row>
    <row r="16" spans="1:5" x14ac:dyDescent="0.25">
      <c r="A16" s="18" t="s">
        <v>168</v>
      </c>
      <c r="B16" s="19">
        <f>SUMPRODUCT((Intervenções!$A$2:$A$300&gt;=$B$8)*(Intervenções!$A$2:$A$300&lt;=$B$9)*(($B$5="Todos")+(Intervenções!$D$2:$D$300=$B$5))*(Intervenções!$I$2:$I$300="Sim"))</f>
      </c>
      <c r="D16" s="20" t="s">
        <v>61</v>
      </c>
      <c r="E16" s="20">
        <f>SUMPRODUCT((Intervenções!$A$2:$A$300&gt;=$B$8)*(Intervenções!$A$2:$A$300&lt;=$B$9)*(($B$5="Todos")+(Intervenções!$D$2:$D$300=$B$5))*(Intervenções!$E$2:$E$300=D16))</f>
      </c>
    </row>
    <row r="17" spans="1:5" x14ac:dyDescent="0.25">
      <c r="A17" s="18" t="s">
        <v>169</v>
      </c>
      <c r="B17" s="19">
        <f>COUNTIF(Pacientes!$E:$E,"Ativo")</f>
      </c>
      <c r="D17" s="21" t="s">
        <v>68</v>
      </c>
      <c r="E17" s="21">
        <f>SUMPRODUCT((Intervenções!$A$2:$A$300&gt;=$B$8)*(Intervenções!$A$2:$A$300&lt;=$B$9)*(($B$5="Todos")+(Intervenções!$D$2:$D$300=$B$5))*(Intervenções!$E$2:$E$300=D17))</f>
      </c>
    </row>
    <row r="18" spans="1:5" x14ac:dyDescent="0.25">
      <c r="A18" s="18" t="s">
        <v>170</v>
      </c>
      <c r="B18" s="19">
        <f>COUNTIF(Pacientes!$E:$E,"Alta")</f>
      </c>
      <c r="D18" s="20" t="s">
        <v>74</v>
      </c>
      <c r="E18" s="20">
        <f>SUMPRODUCT((Intervenções!$A$2:$A$300&gt;=$B$8)*(Intervenções!$A$2:$A$300&lt;=$B$9)*(($B$5="Todos")+(Intervenções!$D$2:$D$300=$B$5))*(Intervenções!$E$2:$E$300=D18))</f>
      </c>
    </row>
    <row r="19" spans="4:5" x14ac:dyDescent="0.25">
      <c r="D19" s="21" t="s">
        <v>79</v>
      </c>
      <c r="E19" s="21">
        <f>SUMPRODUCT((Intervenções!$A$2:$A$300&gt;=$B$8)*(Intervenções!$A$2:$A$300&lt;=$B$9)*(($B$5="Todos")+(Intervenções!$D$2:$D$300=$B$5))*(Intervenções!$E$2:$E$300=D19))</f>
      </c>
    </row>
    <row r="20" spans="4:5" x14ac:dyDescent="0.25">
      <c r="D20" s="20" t="s">
        <v>82</v>
      </c>
      <c r="E20" s="20">
        <f>SUMPRODUCT((Intervenções!$A$2:$A$300&gt;=$B$8)*(Intervenções!$A$2:$A$300&lt;=$B$9)*(($B$5="Todos")+(Intervenções!$D$2:$D$300=$B$5))*(Intervenções!$E$2:$E$300=D20))</f>
      </c>
    </row>
    <row r="21" spans="4:5" x14ac:dyDescent="0.25">
      <c r="D21" s="21" t="s">
        <v>85</v>
      </c>
      <c r="E21" s="21">
        <f>SUMPRODUCT((Intervenções!$A$2:$A$300&gt;=$B$8)*(Intervenções!$A$2:$A$300&lt;=$B$9)*(($B$5="Todos")+(Intervenções!$D$2:$D$300=$B$5))*(Intervenções!$E$2:$E$300=D21))</f>
      </c>
    </row>
    <row r="22" spans="4:5" x14ac:dyDescent="0.25">
      <c r="D22" s="20" t="s">
        <v>88</v>
      </c>
      <c r="E22" s="20">
        <f>SUMPRODUCT((Intervenções!$A$2:$A$300&gt;=$B$8)*(Intervenções!$A$2:$A$300&lt;=$B$9)*(($B$5="Todos")+(Intervenções!$D$2:$D$300=$B$5))*(Intervenções!$E$2:$E$300=D22))</f>
      </c>
    </row>
    <row r="23" spans="4:5" x14ac:dyDescent="0.25">
      <c r="D23" s="21" t="s">
        <v>90</v>
      </c>
      <c r="E23" s="21">
        <f>SUMPRODUCT((Intervenções!$A$2:$A$300&gt;=$B$8)*(Intervenções!$A$2:$A$300&lt;=$B$9)*(($B$5="Todos")+(Intervenções!$D$2:$D$300=$B$5))*(Intervenções!$E$2:$E$300=D23))</f>
      </c>
    </row>
    <row r="24" spans="4:5" x14ac:dyDescent="0.25">
      <c r="D24" s="20" t="s">
        <v>92</v>
      </c>
      <c r="E24" s="20">
        <f>SUMPRODUCT((Intervenções!$A$2:$A$300&gt;=$B$8)*(Intervenções!$A$2:$A$300&lt;=$B$9)*(($B$5="Todos")+(Intervenções!$D$2:$D$300=$B$5))*(Intervenções!$E$2:$E$300=D24))</f>
      </c>
    </row>
    <row r="25" spans="4:5" x14ac:dyDescent="0.25">
      <c r="D25" s="21" t="s">
        <v>94</v>
      </c>
      <c r="E25" s="21">
        <f>SUMPRODUCT((Intervenções!$A$2:$A$300&gt;=$B$8)*(Intervenções!$A$2:$A$300&lt;=$B$9)*(($B$5="Todos")+(Intervenções!$D$2:$D$300=$B$5))*(Intervenções!$E$2:$E$300=D25))</f>
      </c>
    </row>
  </sheetData>
  <dataValidations count="2">
    <dataValidation type="list" allowBlank="1" sqref="B3">
      <formula1>Listas!$M$2:$M$13</formula1>
    </dataValidation>
    <dataValidation type="list" allowBlank="1" sqref="B5">
      <formula1>Listas!$N$2:$N$5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18"/>
  <sheetFormatPr defaultRowHeight="15" outlineLevelRow="0" outlineLevelCol="0" x14ac:dyDescent="55"/>
  <cols>
    <col min="1" max="1" width="10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s="2" customFormat="1" x14ac:dyDescent="0.25">
      <c r="A11" s="2" t="s">
        <v>9</v>
      </c>
    </row>
    <row r="12" spans="1:1" x14ac:dyDescent="0.25">
      <c r="A12" t="s">
        <v>1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Instruções</vt:lpstr>
      <vt:lpstr>Listas</vt:lpstr>
      <vt:lpstr>Pacientes</vt:lpstr>
      <vt:lpstr>Ficha Diária</vt:lpstr>
      <vt:lpstr>Intervenções</vt:lpstr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 - HMAF (v4 planilha)</dc:creator>
  <dc:title/>
  <dc:subject/>
  <dc:description/>
  <cp:keywords/>
  <cp:category/>
  <cp:lastModifiedBy>Unknown</cp:lastModifiedBy>
  <dcterms:created xsi:type="dcterms:W3CDTF">2026-08-23T12:56:11Z</dcterms:created>
  <dcterms:modified xsi:type="dcterms:W3CDTF">2026-08-23T12:56:11Z</dcterms:modified>
</cp:coreProperties>
</file>